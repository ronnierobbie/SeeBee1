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OOLayed\CourtApp\"/>
    </mc:Choice>
  </mc:AlternateContent>
  <xr:revisionPtr revIDLastSave="0" documentId="13_ncr:1_{CBF0C257-BB06-4D10-BF71-F11FE580EE87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LookUP" sheetId="1" r:id="rId1"/>
    <sheet name="TooliD" sheetId="9" r:id="rId2"/>
    <sheet name="Tooli" sheetId="10" r:id="rId3"/>
    <sheet name="Courts" sheetId="3" r:id="rId4"/>
    <sheet name="MFP" sheetId="7" r:id="rId5"/>
    <sheet name="AIO" sheetId="2" r:id="rId6"/>
    <sheet name="DLP" sheetId="4" r:id="rId7"/>
    <sheet name="Scanners" sheetId="5" r:id="rId8"/>
    <sheet name="DisBo" sheetId="6" r:id="rId9"/>
    <sheet name="PAS" sheetId="8" r:id="rId10"/>
  </sheets>
  <definedNames>
    <definedName name="_xlnm._FilterDatabase" localSheetId="5" hidden="1">AIO!$A$1:$V$131</definedName>
    <definedName name="_xlnm._FilterDatabase" localSheetId="4" hidden="1">MFP!$A$1:$U$131</definedName>
    <definedName name="_xlnm._FilterDatabase" localSheetId="9" hidden="1">PAS!$A$1:$I$133</definedName>
    <definedName name="_xlnm._FilterDatabase" localSheetId="7" hidden="1">Scanners!$A$1:$O$1</definedName>
    <definedName name="_xlnm._FilterDatabase" localSheetId="2" hidden="1">Tooli!$A$1:$N$1</definedName>
    <definedName name="_xlnm.Print_Area" localSheetId="3">Courts!$A$1:$G$139</definedName>
    <definedName name="_xlnm.Print_Area" localSheetId="4">MFP!$A$1:$O$139</definedName>
    <definedName name="_xlnm.Print_Titles" localSheetId="3">Courts!$1:$1</definedName>
    <definedName name="_xlnm.Print_Titles" localSheetId="4">MFP!$1:$1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35" i="10" l="1"/>
  <c r="L235" i="10" s="1"/>
  <c r="M235" i="10" s="1"/>
  <c r="J235" i="10"/>
  <c r="H235" i="10"/>
  <c r="G235" i="10"/>
  <c r="F235" i="10"/>
  <c r="E235" i="10"/>
  <c r="K234" i="10"/>
  <c r="L234" i="10" s="1"/>
  <c r="M234" i="10" s="1"/>
  <c r="J234" i="10"/>
  <c r="H234" i="10"/>
  <c r="G234" i="10"/>
  <c r="F234" i="10"/>
  <c r="E234" i="10"/>
  <c r="K233" i="10"/>
  <c r="L233" i="10" s="1"/>
  <c r="M233" i="10" s="1"/>
  <c r="J233" i="10"/>
  <c r="H233" i="10"/>
  <c r="G233" i="10"/>
  <c r="F233" i="10"/>
  <c r="E233" i="10"/>
  <c r="K232" i="10"/>
  <c r="J232" i="10"/>
  <c r="L232" i="10" s="1"/>
  <c r="M232" i="10" s="1"/>
  <c r="H232" i="10"/>
  <c r="G232" i="10"/>
  <c r="F232" i="10"/>
  <c r="E232" i="10"/>
  <c r="K231" i="10"/>
  <c r="J231" i="10"/>
  <c r="H231" i="10"/>
  <c r="G231" i="10"/>
  <c r="F231" i="10"/>
  <c r="E231" i="10"/>
  <c r="K230" i="10"/>
  <c r="L230" i="10" s="1"/>
  <c r="M230" i="10" s="1"/>
  <c r="J230" i="10"/>
  <c r="H230" i="10"/>
  <c r="G230" i="10"/>
  <c r="F230" i="10"/>
  <c r="E230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2" i="10"/>
  <c r="L231" i="10" l="1"/>
  <c r="M231" i="10" s="1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J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L257" i="10" l="1"/>
  <c r="M257" i="10" s="1"/>
  <c r="K19" i="10" l="1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F95" i="9" l="1"/>
  <c r="F101" i="9"/>
  <c r="F107" i="9"/>
  <c r="F113" i="9"/>
  <c r="F119" i="9"/>
  <c r="F125" i="9"/>
  <c r="F131" i="9"/>
  <c r="G8" i="1"/>
  <c r="V87" i="9"/>
  <c r="V88" i="9"/>
  <c r="V89" i="9"/>
  <c r="V90" i="9"/>
  <c r="S87" i="9"/>
  <c r="S88" i="9"/>
  <c r="S89" i="9"/>
  <c r="S90" i="9"/>
  <c r="P87" i="9"/>
  <c r="P88" i="9"/>
  <c r="P89" i="9"/>
  <c r="M87" i="9"/>
  <c r="M88" i="9"/>
  <c r="M89" i="9"/>
  <c r="J87" i="9"/>
  <c r="J88" i="9"/>
  <c r="J89" i="9"/>
  <c r="J90" i="9"/>
  <c r="G87" i="9"/>
  <c r="G88" i="9"/>
  <c r="G89" i="9"/>
  <c r="J87" i="8"/>
  <c r="J88" i="8"/>
  <c r="E87" i="8"/>
  <c r="E88" i="8"/>
  <c r="E89" i="8"/>
  <c r="D87" i="8"/>
  <c r="D88" i="8"/>
  <c r="K88" i="8" s="1"/>
  <c r="L88" i="8" s="1"/>
  <c r="D89" i="8"/>
  <c r="C87" i="8"/>
  <c r="K87" i="8" s="1"/>
  <c r="L87" i="8" s="1"/>
  <c r="C88" i="8"/>
  <c r="J88" i="6"/>
  <c r="K88" i="6" s="1"/>
  <c r="I87" i="6"/>
  <c r="I88" i="6"/>
  <c r="E87" i="6"/>
  <c r="E88" i="6"/>
  <c r="D87" i="6"/>
  <c r="J87" i="6" s="1"/>
  <c r="K87" i="6" s="1"/>
  <c r="D88" i="6"/>
  <c r="C87" i="6"/>
  <c r="C88" i="6"/>
  <c r="L87" i="5"/>
  <c r="L88" i="5"/>
  <c r="L89" i="5"/>
  <c r="C87" i="5"/>
  <c r="M87" i="5" s="1"/>
  <c r="C88" i="5"/>
  <c r="M88" i="5" s="1"/>
  <c r="C89" i="5"/>
  <c r="M89" i="5" s="1"/>
  <c r="P88" i="4"/>
  <c r="R88" i="4" s="1"/>
  <c r="O87" i="4"/>
  <c r="O88" i="4"/>
  <c r="E87" i="4"/>
  <c r="E88" i="4"/>
  <c r="E89" i="4"/>
  <c r="D87" i="4"/>
  <c r="D88" i="4"/>
  <c r="D89" i="4"/>
  <c r="C87" i="4"/>
  <c r="P87" i="4" s="1"/>
  <c r="R87" i="4" s="1"/>
  <c r="C88" i="4"/>
  <c r="C89" i="4"/>
  <c r="S88" i="2"/>
  <c r="R87" i="2"/>
  <c r="T87" i="2" s="1"/>
  <c r="U87" i="2" s="1"/>
  <c r="Q87" i="2"/>
  <c r="Q88" i="2"/>
  <c r="P87" i="2"/>
  <c r="P88" i="2"/>
  <c r="E87" i="2"/>
  <c r="S87" i="2" s="1"/>
  <c r="E88" i="2"/>
  <c r="E89" i="2"/>
  <c r="D87" i="2"/>
  <c r="D88" i="2"/>
  <c r="R88" i="2" s="1"/>
  <c r="T88" i="2" s="1"/>
  <c r="U88" i="2" s="1"/>
  <c r="C87" i="2"/>
  <c r="C88" i="2"/>
  <c r="K87" i="7"/>
  <c r="K88" i="7"/>
  <c r="E87" i="7"/>
  <c r="E88" i="7"/>
  <c r="D87" i="7"/>
  <c r="L87" i="7" s="1"/>
  <c r="M87" i="7" s="1"/>
  <c r="D88" i="7"/>
  <c r="L88" i="7" s="1"/>
  <c r="M88" i="7" s="1"/>
  <c r="C87" i="7"/>
  <c r="C88" i="7"/>
  <c r="E88" i="9"/>
  <c r="E89" i="9"/>
  <c r="D88" i="9"/>
  <c r="F88" i="9" s="1"/>
  <c r="D89" i="9"/>
  <c r="F89" i="9" s="1"/>
  <c r="C88" i="9"/>
  <c r="C89" i="9"/>
  <c r="F88" i="3"/>
  <c r="F87" i="3"/>
  <c r="V18" i="9"/>
  <c r="V30" i="9"/>
  <c r="V104" i="9"/>
  <c r="S11" i="9"/>
  <c r="S29" i="9"/>
  <c r="S47" i="9"/>
  <c r="S65" i="9"/>
  <c r="S83" i="9"/>
  <c r="S103" i="9"/>
  <c r="S121" i="9"/>
  <c r="Q45" i="9"/>
  <c r="J4" i="9"/>
  <c r="E4" i="9"/>
  <c r="F4" i="9" s="1"/>
  <c r="E5" i="9"/>
  <c r="F5" i="9" s="1"/>
  <c r="E6" i="9"/>
  <c r="E7" i="9"/>
  <c r="E8" i="9"/>
  <c r="E9" i="9"/>
  <c r="F9" i="9" s="1"/>
  <c r="E10" i="9"/>
  <c r="F10" i="9" s="1"/>
  <c r="E11" i="9"/>
  <c r="F11" i="9" s="1"/>
  <c r="E12" i="9"/>
  <c r="E13" i="9"/>
  <c r="E14" i="9"/>
  <c r="E15" i="9"/>
  <c r="F15" i="9" s="1"/>
  <c r="E16" i="9"/>
  <c r="F16" i="9" s="1"/>
  <c r="E17" i="9"/>
  <c r="F17" i="9" s="1"/>
  <c r="E18" i="9"/>
  <c r="E19" i="9"/>
  <c r="E20" i="9"/>
  <c r="E21" i="9"/>
  <c r="F21" i="9" s="1"/>
  <c r="E22" i="9"/>
  <c r="F22" i="9" s="1"/>
  <c r="E23" i="9"/>
  <c r="F23" i="9" s="1"/>
  <c r="E24" i="9"/>
  <c r="E25" i="9"/>
  <c r="E26" i="9"/>
  <c r="E27" i="9"/>
  <c r="F27" i="9" s="1"/>
  <c r="E28" i="9"/>
  <c r="F28" i="9" s="1"/>
  <c r="E29" i="9"/>
  <c r="F29" i="9" s="1"/>
  <c r="E30" i="9"/>
  <c r="E31" i="9"/>
  <c r="E32" i="9"/>
  <c r="E33" i="9"/>
  <c r="F33" i="9" s="1"/>
  <c r="E34" i="9"/>
  <c r="F34" i="9" s="1"/>
  <c r="E35" i="9"/>
  <c r="F35" i="9" s="1"/>
  <c r="E36" i="9"/>
  <c r="E37" i="9"/>
  <c r="E38" i="9"/>
  <c r="E39" i="9"/>
  <c r="F39" i="9" s="1"/>
  <c r="E40" i="9"/>
  <c r="F40" i="9" s="1"/>
  <c r="E41" i="9"/>
  <c r="F41" i="9" s="1"/>
  <c r="E42" i="9"/>
  <c r="E43" i="9"/>
  <c r="E44" i="9"/>
  <c r="E45" i="9"/>
  <c r="F45" i="9" s="1"/>
  <c r="E46" i="9"/>
  <c r="F46" i="9" s="1"/>
  <c r="E47" i="9"/>
  <c r="F47" i="9" s="1"/>
  <c r="E48" i="9"/>
  <c r="E49" i="9"/>
  <c r="E50" i="9"/>
  <c r="E51" i="9"/>
  <c r="F51" i="9" s="1"/>
  <c r="E52" i="9"/>
  <c r="F52" i="9" s="1"/>
  <c r="E53" i="9"/>
  <c r="F53" i="9" s="1"/>
  <c r="E54" i="9"/>
  <c r="E55" i="9"/>
  <c r="E56" i="9"/>
  <c r="E57" i="9"/>
  <c r="F57" i="9" s="1"/>
  <c r="E58" i="9"/>
  <c r="F58" i="9" s="1"/>
  <c r="E59" i="9"/>
  <c r="F59" i="9" s="1"/>
  <c r="E60" i="9"/>
  <c r="E61" i="9"/>
  <c r="E62" i="9"/>
  <c r="E63" i="9"/>
  <c r="F63" i="9" s="1"/>
  <c r="E64" i="9"/>
  <c r="F64" i="9" s="1"/>
  <c r="E65" i="9"/>
  <c r="F65" i="9" s="1"/>
  <c r="E66" i="9"/>
  <c r="E67" i="9"/>
  <c r="E68" i="9"/>
  <c r="E69" i="9"/>
  <c r="F69" i="9" s="1"/>
  <c r="E70" i="9"/>
  <c r="F70" i="9" s="1"/>
  <c r="E71" i="9"/>
  <c r="E138" i="9" s="1"/>
  <c r="E72" i="9"/>
  <c r="E73" i="9"/>
  <c r="E74" i="9"/>
  <c r="E75" i="9"/>
  <c r="F75" i="9" s="1"/>
  <c r="E76" i="9"/>
  <c r="F76" i="9" s="1"/>
  <c r="E77" i="9"/>
  <c r="F77" i="9" s="1"/>
  <c r="E78" i="9"/>
  <c r="E79" i="9"/>
  <c r="E80" i="9"/>
  <c r="E81" i="9"/>
  <c r="F81" i="9" s="1"/>
  <c r="E82" i="9"/>
  <c r="F82" i="9" s="1"/>
  <c r="E83" i="9"/>
  <c r="F83" i="9" s="1"/>
  <c r="E84" i="9"/>
  <c r="E85" i="9"/>
  <c r="E86" i="9"/>
  <c r="E87" i="9"/>
  <c r="F87" i="9" s="1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3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138" i="9" s="1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90" i="9"/>
  <c r="D91" i="9"/>
  <c r="D92" i="9"/>
  <c r="D93" i="9"/>
  <c r="D94" i="9"/>
  <c r="F94" i="9" s="1"/>
  <c r="D95" i="9"/>
  <c r="D96" i="9"/>
  <c r="D97" i="9"/>
  <c r="D98" i="9"/>
  <c r="D99" i="9"/>
  <c r="D100" i="9"/>
  <c r="F100" i="9" s="1"/>
  <c r="D101" i="9"/>
  <c r="D102" i="9"/>
  <c r="D103" i="9"/>
  <c r="D104" i="9"/>
  <c r="D105" i="9"/>
  <c r="D106" i="9"/>
  <c r="F106" i="9" s="1"/>
  <c r="D107" i="9"/>
  <c r="D108" i="9"/>
  <c r="D109" i="9"/>
  <c r="D110" i="9"/>
  <c r="D111" i="9"/>
  <c r="D112" i="9"/>
  <c r="F112" i="9" s="1"/>
  <c r="D113" i="9"/>
  <c r="D114" i="9"/>
  <c r="D115" i="9"/>
  <c r="D116" i="9"/>
  <c r="D117" i="9"/>
  <c r="D118" i="9"/>
  <c r="F118" i="9" s="1"/>
  <c r="D119" i="9"/>
  <c r="D120" i="9"/>
  <c r="D121" i="9"/>
  <c r="D122" i="9"/>
  <c r="D123" i="9"/>
  <c r="D124" i="9"/>
  <c r="F124" i="9" s="1"/>
  <c r="D125" i="9"/>
  <c r="D126" i="9"/>
  <c r="D127" i="9"/>
  <c r="D128" i="9"/>
  <c r="D129" i="9"/>
  <c r="D130" i="9"/>
  <c r="F130" i="9" s="1"/>
  <c r="D131" i="9"/>
  <c r="D132" i="9"/>
  <c r="C4" i="9"/>
  <c r="C5" i="9"/>
  <c r="C6" i="9"/>
  <c r="F6" i="9" s="1"/>
  <c r="C7" i="9"/>
  <c r="F7" i="9" s="1"/>
  <c r="C8" i="9"/>
  <c r="F8" i="9" s="1"/>
  <c r="C9" i="9"/>
  <c r="C10" i="9"/>
  <c r="C11" i="9"/>
  <c r="C12" i="9"/>
  <c r="F12" i="9" s="1"/>
  <c r="C13" i="9"/>
  <c r="F13" i="9" s="1"/>
  <c r="C14" i="9"/>
  <c r="F14" i="9" s="1"/>
  <c r="C15" i="9"/>
  <c r="C16" i="9"/>
  <c r="C17" i="9"/>
  <c r="C18" i="9"/>
  <c r="F18" i="9" s="1"/>
  <c r="C19" i="9"/>
  <c r="F19" i="9" s="1"/>
  <c r="C20" i="9"/>
  <c r="F20" i="9" s="1"/>
  <c r="C21" i="9"/>
  <c r="C22" i="9"/>
  <c r="C23" i="9"/>
  <c r="C24" i="9"/>
  <c r="F24" i="9" s="1"/>
  <c r="C25" i="9"/>
  <c r="F25" i="9" s="1"/>
  <c r="C26" i="9"/>
  <c r="F26" i="9" s="1"/>
  <c r="C27" i="9"/>
  <c r="C28" i="9"/>
  <c r="C29" i="9"/>
  <c r="C30" i="9"/>
  <c r="F30" i="9" s="1"/>
  <c r="C31" i="9"/>
  <c r="F31" i="9" s="1"/>
  <c r="C32" i="9"/>
  <c r="F32" i="9" s="1"/>
  <c r="C33" i="9"/>
  <c r="C34" i="9"/>
  <c r="C35" i="9"/>
  <c r="C36" i="9"/>
  <c r="F36" i="9" s="1"/>
  <c r="C37" i="9"/>
  <c r="F37" i="9" s="1"/>
  <c r="C38" i="9"/>
  <c r="F38" i="9" s="1"/>
  <c r="C39" i="9"/>
  <c r="C40" i="9"/>
  <c r="C41" i="9"/>
  <c r="C42" i="9"/>
  <c r="F42" i="9" s="1"/>
  <c r="C43" i="9"/>
  <c r="F43" i="9" s="1"/>
  <c r="C44" i="9"/>
  <c r="F44" i="9" s="1"/>
  <c r="C45" i="9"/>
  <c r="C46" i="9"/>
  <c r="C47" i="9"/>
  <c r="C48" i="9"/>
  <c r="F48" i="9" s="1"/>
  <c r="C49" i="9"/>
  <c r="F49" i="9" s="1"/>
  <c r="C50" i="9"/>
  <c r="F50" i="9" s="1"/>
  <c r="C51" i="9"/>
  <c r="C52" i="9"/>
  <c r="C53" i="9"/>
  <c r="C54" i="9"/>
  <c r="F54" i="9" s="1"/>
  <c r="C55" i="9"/>
  <c r="F55" i="9" s="1"/>
  <c r="C56" i="9"/>
  <c r="F56" i="9" s="1"/>
  <c r="C57" i="9"/>
  <c r="C58" i="9"/>
  <c r="C59" i="9"/>
  <c r="C60" i="9"/>
  <c r="F60" i="9" s="1"/>
  <c r="C61" i="9"/>
  <c r="F61" i="9" s="1"/>
  <c r="C62" i="9"/>
  <c r="F62" i="9" s="1"/>
  <c r="C63" i="9"/>
  <c r="C64" i="9"/>
  <c r="C65" i="9"/>
  <c r="C66" i="9"/>
  <c r="F66" i="9" s="1"/>
  <c r="C67" i="9"/>
  <c r="F67" i="9" s="1"/>
  <c r="C68" i="9"/>
  <c r="F68" i="9" s="1"/>
  <c r="C69" i="9"/>
  <c r="C70" i="9"/>
  <c r="C71" i="9"/>
  <c r="C72" i="9"/>
  <c r="F72" i="9" s="1"/>
  <c r="C73" i="9"/>
  <c r="F73" i="9" s="1"/>
  <c r="C74" i="9"/>
  <c r="F74" i="9" s="1"/>
  <c r="C75" i="9"/>
  <c r="C76" i="9"/>
  <c r="C77" i="9"/>
  <c r="C78" i="9"/>
  <c r="F78" i="9" s="1"/>
  <c r="C79" i="9"/>
  <c r="F79" i="9" s="1"/>
  <c r="C80" i="9"/>
  <c r="F80" i="9" s="1"/>
  <c r="C81" i="9"/>
  <c r="C82" i="9"/>
  <c r="C83" i="9"/>
  <c r="C84" i="9"/>
  <c r="F84" i="9" s="1"/>
  <c r="C85" i="9"/>
  <c r="F85" i="9" s="1"/>
  <c r="C86" i="9"/>
  <c r="F86" i="9" s="1"/>
  <c r="C87" i="9"/>
  <c r="C90" i="9"/>
  <c r="F90" i="9" s="1"/>
  <c r="C91" i="9"/>
  <c r="F91" i="9" s="1"/>
  <c r="C92" i="9"/>
  <c r="F92" i="9" s="1"/>
  <c r="C93" i="9"/>
  <c r="F93" i="9" s="1"/>
  <c r="C94" i="9"/>
  <c r="C95" i="9"/>
  <c r="C96" i="9"/>
  <c r="F96" i="9" s="1"/>
  <c r="C97" i="9"/>
  <c r="F97" i="9" s="1"/>
  <c r="C98" i="9"/>
  <c r="F98" i="9" s="1"/>
  <c r="C99" i="9"/>
  <c r="F99" i="9" s="1"/>
  <c r="C100" i="9"/>
  <c r="C101" i="9"/>
  <c r="C102" i="9"/>
  <c r="F102" i="9" s="1"/>
  <c r="C103" i="9"/>
  <c r="F103" i="9" s="1"/>
  <c r="C104" i="9"/>
  <c r="F104" i="9" s="1"/>
  <c r="C105" i="9"/>
  <c r="F105" i="9" s="1"/>
  <c r="C106" i="9"/>
  <c r="C107" i="9"/>
  <c r="C108" i="9"/>
  <c r="F108" i="9" s="1"/>
  <c r="C109" i="9"/>
  <c r="F109" i="9" s="1"/>
  <c r="C110" i="9"/>
  <c r="F110" i="9" s="1"/>
  <c r="C111" i="9"/>
  <c r="F111" i="9" s="1"/>
  <c r="C112" i="9"/>
  <c r="C113" i="9"/>
  <c r="C114" i="9"/>
  <c r="F114" i="9" s="1"/>
  <c r="C115" i="9"/>
  <c r="F115" i="9" s="1"/>
  <c r="C116" i="9"/>
  <c r="F116" i="9" s="1"/>
  <c r="C117" i="9"/>
  <c r="F117" i="9" s="1"/>
  <c r="C118" i="9"/>
  <c r="C119" i="9"/>
  <c r="C120" i="9"/>
  <c r="F120" i="9" s="1"/>
  <c r="C121" i="9"/>
  <c r="F121" i="9" s="1"/>
  <c r="C122" i="9"/>
  <c r="F122" i="9" s="1"/>
  <c r="C123" i="9"/>
  <c r="F123" i="9" s="1"/>
  <c r="C124" i="9"/>
  <c r="C125" i="9"/>
  <c r="C126" i="9"/>
  <c r="F126" i="9" s="1"/>
  <c r="C127" i="9"/>
  <c r="F127" i="9" s="1"/>
  <c r="C128" i="9"/>
  <c r="F128" i="9" s="1"/>
  <c r="C129" i="9"/>
  <c r="F129" i="9" s="1"/>
  <c r="C130" i="9"/>
  <c r="C131" i="9"/>
  <c r="C132" i="9"/>
  <c r="F132" i="9" s="1"/>
  <c r="C3" i="9"/>
  <c r="F3" i="9" s="1"/>
  <c r="P3" i="2"/>
  <c r="S4" i="9" s="1"/>
  <c r="P4" i="2"/>
  <c r="S5" i="9" s="1"/>
  <c r="P5" i="2"/>
  <c r="S6" i="9" s="1"/>
  <c r="P6" i="2"/>
  <c r="S7" i="9" s="1"/>
  <c r="P7" i="2"/>
  <c r="S8" i="9" s="1"/>
  <c r="P8" i="2"/>
  <c r="S9" i="9" s="1"/>
  <c r="P9" i="2"/>
  <c r="S10" i="9" s="1"/>
  <c r="P10" i="2"/>
  <c r="P11" i="2"/>
  <c r="S12" i="9" s="1"/>
  <c r="P12" i="2"/>
  <c r="S13" i="9" s="1"/>
  <c r="P13" i="2"/>
  <c r="S14" i="9" s="1"/>
  <c r="P14" i="2"/>
  <c r="S15" i="9" s="1"/>
  <c r="P15" i="2"/>
  <c r="S16" i="9" s="1"/>
  <c r="P16" i="2"/>
  <c r="S17" i="9" s="1"/>
  <c r="P17" i="2"/>
  <c r="S18" i="9" s="1"/>
  <c r="P18" i="2"/>
  <c r="S19" i="9" s="1"/>
  <c r="P19" i="2"/>
  <c r="S20" i="9" s="1"/>
  <c r="P20" i="2"/>
  <c r="S21" i="9" s="1"/>
  <c r="P21" i="2"/>
  <c r="S22" i="9" s="1"/>
  <c r="P22" i="2"/>
  <c r="S23" i="9" s="1"/>
  <c r="P23" i="2"/>
  <c r="S24" i="9" s="1"/>
  <c r="P24" i="2"/>
  <c r="S25" i="9" s="1"/>
  <c r="P25" i="2"/>
  <c r="S26" i="9" s="1"/>
  <c r="P26" i="2"/>
  <c r="S27" i="9" s="1"/>
  <c r="P27" i="2"/>
  <c r="S28" i="9" s="1"/>
  <c r="P28" i="2"/>
  <c r="P29" i="2"/>
  <c r="S30" i="9" s="1"/>
  <c r="P30" i="2"/>
  <c r="S31" i="9" s="1"/>
  <c r="P31" i="2"/>
  <c r="S32" i="9" s="1"/>
  <c r="P32" i="2"/>
  <c r="S33" i="9" s="1"/>
  <c r="P33" i="2"/>
  <c r="S34" i="9" s="1"/>
  <c r="P34" i="2"/>
  <c r="S35" i="9" s="1"/>
  <c r="P35" i="2"/>
  <c r="S36" i="9" s="1"/>
  <c r="P36" i="2"/>
  <c r="S37" i="9" s="1"/>
  <c r="P37" i="2"/>
  <c r="S38" i="9" s="1"/>
  <c r="P38" i="2"/>
  <c r="S39" i="9" s="1"/>
  <c r="P39" i="2"/>
  <c r="S40" i="9" s="1"/>
  <c r="P40" i="2"/>
  <c r="S41" i="9" s="1"/>
  <c r="P41" i="2"/>
  <c r="S42" i="9" s="1"/>
  <c r="P42" i="2"/>
  <c r="S43" i="9" s="1"/>
  <c r="P43" i="2"/>
  <c r="S44" i="9" s="1"/>
  <c r="P44" i="2"/>
  <c r="S45" i="9" s="1"/>
  <c r="P45" i="2"/>
  <c r="S46" i="9" s="1"/>
  <c r="P46" i="2"/>
  <c r="P47" i="2"/>
  <c r="S48" i="9" s="1"/>
  <c r="P48" i="2"/>
  <c r="S49" i="9" s="1"/>
  <c r="P49" i="2"/>
  <c r="S50" i="9" s="1"/>
  <c r="P50" i="2"/>
  <c r="S51" i="9" s="1"/>
  <c r="P51" i="2"/>
  <c r="S52" i="9" s="1"/>
  <c r="P52" i="2"/>
  <c r="S53" i="9" s="1"/>
  <c r="P53" i="2"/>
  <c r="S54" i="9" s="1"/>
  <c r="P54" i="2"/>
  <c r="S55" i="9" s="1"/>
  <c r="P55" i="2"/>
  <c r="S56" i="9" s="1"/>
  <c r="P56" i="2"/>
  <c r="S57" i="9" s="1"/>
  <c r="P57" i="2"/>
  <c r="S58" i="9" s="1"/>
  <c r="P58" i="2"/>
  <c r="S59" i="9" s="1"/>
  <c r="P59" i="2"/>
  <c r="S60" i="9" s="1"/>
  <c r="P60" i="2"/>
  <c r="S61" i="9" s="1"/>
  <c r="P61" i="2"/>
  <c r="S62" i="9" s="1"/>
  <c r="P62" i="2"/>
  <c r="S63" i="9" s="1"/>
  <c r="P63" i="2"/>
  <c r="S64" i="9" s="1"/>
  <c r="P64" i="2"/>
  <c r="P65" i="2"/>
  <c r="S66" i="9" s="1"/>
  <c r="P66" i="2"/>
  <c r="S67" i="9" s="1"/>
  <c r="P67" i="2"/>
  <c r="S68" i="9" s="1"/>
  <c r="P68" i="2"/>
  <c r="S69" i="9" s="1"/>
  <c r="P69" i="2"/>
  <c r="S70" i="9" s="1"/>
  <c r="P70" i="2"/>
  <c r="S71" i="9" s="1"/>
  <c r="S138" i="9" s="1"/>
  <c r="P71" i="2"/>
  <c r="S72" i="9" s="1"/>
  <c r="P72" i="2"/>
  <c r="S73" i="9" s="1"/>
  <c r="P73" i="2"/>
  <c r="S74" i="9" s="1"/>
  <c r="P74" i="2"/>
  <c r="S75" i="9" s="1"/>
  <c r="P75" i="2"/>
  <c r="S76" i="9" s="1"/>
  <c r="P76" i="2"/>
  <c r="S77" i="9" s="1"/>
  <c r="P77" i="2"/>
  <c r="S78" i="9" s="1"/>
  <c r="P78" i="2"/>
  <c r="S79" i="9" s="1"/>
  <c r="P79" i="2"/>
  <c r="S80" i="9" s="1"/>
  <c r="P80" i="2"/>
  <c r="S81" i="9" s="1"/>
  <c r="P81" i="2"/>
  <c r="S82" i="9" s="1"/>
  <c r="P82" i="2"/>
  <c r="P83" i="2"/>
  <c r="S84" i="9" s="1"/>
  <c r="P84" i="2"/>
  <c r="S85" i="9" s="1"/>
  <c r="P85" i="2"/>
  <c r="S86" i="9" s="1"/>
  <c r="P86" i="2"/>
  <c r="P89" i="2"/>
  <c r="P90" i="2"/>
  <c r="S91" i="9" s="1"/>
  <c r="P91" i="2"/>
  <c r="S92" i="9" s="1"/>
  <c r="P92" i="2"/>
  <c r="S93" i="9" s="1"/>
  <c r="P93" i="2"/>
  <c r="S94" i="9" s="1"/>
  <c r="P94" i="2"/>
  <c r="S95" i="9" s="1"/>
  <c r="P95" i="2"/>
  <c r="S96" i="9" s="1"/>
  <c r="P96" i="2"/>
  <c r="S97" i="9" s="1"/>
  <c r="P97" i="2"/>
  <c r="S98" i="9" s="1"/>
  <c r="P98" i="2"/>
  <c r="S99" i="9" s="1"/>
  <c r="P99" i="2"/>
  <c r="S100" i="9" s="1"/>
  <c r="P100" i="2"/>
  <c r="S101" i="9" s="1"/>
  <c r="P101" i="2"/>
  <c r="S102" i="9" s="1"/>
  <c r="P102" i="2"/>
  <c r="P103" i="2"/>
  <c r="S104" i="9" s="1"/>
  <c r="P104" i="2"/>
  <c r="S105" i="9" s="1"/>
  <c r="P105" i="2"/>
  <c r="S106" i="9" s="1"/>
  <c r="P106" i="2"/>
  <c r="S107" i="9" s="1"/>
  <c r="P107" i="2"/>
  <c r="S108" i="9" s="1"/>
  <c r="P108" i="2"/>
  <c r="S109" i="9" s="1"/>
  <c r="P109" i="2"/>
  <c r="S110" i="9" s="1"/>
  <c r="P110" i="2"/>
  <c r="S111" i="9" s="1"/>
  <c r="P111" i="2"/>
  <c r="S112" i="9" s="1"/>
  <c r="P112" i="2"/>
  <c r="S113" i="9" s="1"/>
  <c r="P113" i="2"/>
  <c r="S114" i="9" s="1"/>
  <c r="P114" i="2"/>
  <c r="S115" i="9" s="1"/>
  <c r="P115" i="2"/>
  <c r="S116" i="9" s="1"/>
  <c r="P116" i="2"/>
  <c r="S117" i="9" s="1"/>
  <c r="P117" i="2"/>
  <c r="S118" i="9" s="1"/>
  <c r="P118" i="2"/>
  <c r="S119" i="9" s="1"/>
  <c r="P119" i="2"/>
  <c r="S120" i="9" s="1"/>
  <c r="P120" i="2"/>
  <c r="P121" i="2"/>
  <c r="S122" i="9" s="1"/>
  <c r="P122" i="2"/>
  <c r="S123" i="9" s="1"/>
  <c r="P123" i="2"/>
  <c r="S124" i="9" s="1"/>
  <c r="P124" i="2"/>
  <c r="S125" i="9" s="1"/>
  <c r="P125" i="2"/>
  <c r="S126" i="9" s="1"/>
  <c r="P126" i="2"/>
  <c r="S127" i="9" s="1"/>
  <c r="P127" i="2"/>
  <c r="S128" i="9" s="1"/>
  <c r="P128" i="2"/>
  <c r="S129" i="9" s="1"/>
  <c r="P129" i="2"/>
  <c r="S130" i="9" s="1"/>
  <c r="P130" i="2"/>
  <c r="S131" i="9" s="1"/>
  <c r="P131" i="2"/>
  <c r="S132" i="9" s="1"/>
  <c r="P2" i="2"/>
  <c r="S3" i="9" s="1"/>
  <c r="Q136" i="4"/>
  <c r="V137" i="2"/>
  <c r="V136" i="2"/>
  <c r="V135" i="2"/>
  <c r="P137" i="2"/>
  <c r="F23" i="1" s="1"/>
  <c r="N137" i="2"/>
  <c r="N136" i="2"/>
  <c r="N135" i="2"/>
  <c r="M137" i="2"/>
  <c r="M136" i="2"/>
  <c r="M135" i="2"/>
  <c r="L137" i="2"/>
  <c r="L136" i="2"/>
  <c r="L135" i="2"/>
  <c r="K137" i="2"/>
  <c r="K136" i="2"/>
  <c r="K135" i="2"/>
  <c r="K138" i="2" s="1"/>
  <c r="J137" i="2"/>
  <c r="J136" i="2"/>
  <c r="J135" i="2"/>
  <c r="I137" i="2"/>
  <c r="I136" i="2"/>
  <c r="I135" i="2"/>
  <c r="H137" i="2"/>
  <c r="H136" i="2"/>
  <c r="H135" i="2"/>
  <c r="G137" i="2"/>
  <c r="G136" i="2"/>
  <c r="G135" i="2"/>
  <c r="F137" i="2"/>
  <c r="F136" i="2"/>
  <c r="F135" i="2"/>
  <c r="I137" i="8"/>
  <c r="I136" i="8"/>
  <c r="I135" i="8"/>
  <c r="I133" i="8"/>
  <c r="H137" i="8"/>
  <c r="H136" i="8"/>
  <c r="H135" i="8"/>
  <c r="H133" i="8"/>
  <c r="G137" i="8"/>
  <c r="G136" i="8"/>
  <c r="G135" i="8"/>
  <c r="G133" i="8"/>
  <c r="F137" i="8"/>
  <c r="F136" i="8"/>
  <c r="F135" i="8"/>
  <c r="F133" i="8"/>
  <c r="K137" i="5"/>
  <c r="K136" i="5"/>
  <c r="K135" i="5"/>
  <c r="K133" i="5"/>
  <c r="J137" i="5"/>
  <c r="J136" i="5"/>
  <c r="J135" i="5"/>
  <c r="J133" i="5"/>
  <c r="I137" i="5"/>
  <c r="I136" i="5"/>
  <c r="I135" i="5"/>
  <c r="I133" i="5"/>
  <c r="H137" i="5"/>
  <c r="H136" i="5"/>
  <c r="H135" i="5"/>
  <c r="H133" i="5"/>
  <c r="G137" i="5"/>
  <c r="G136" i="5"/>
  <c r="G135" i="5"/>
  <c r="G133" i="5"/>
  <c r="F137" i="5"/>
  <c r="F136" i="5"/>
  <c r="F135" i="5"/>
  <c r="F133" i="5"/>
  <c r="E137" i="5"/>
  <c r="E136" i="5"/>
  <c r="E135" i="5"/>
  <c r="E133" i="5"/>
  <c r="D137" i="5"/>
  <c r="D136" i="5"/>
  <c r="D135" i="5"/>
  <c r="D133" i="5"/>
  <c r="N137" i="7"/>
  <c r="N136" i="7"/>
  <c r="N135" i="7"/>
  <c r="N133" i="7"/>
  <c r="J137" i="7"/>
  <c r="J136" i="7"/>
  <c r="J135" i="7"/>
  <c r="J133" i="7"/>
  <c r="I137" i="7"/>
  <c r="I136" i="7"/>
  <c r="I135" i="7"/>
  <c r="I133" i="7"/>
  <c r="H137" i="7"/>
  <c r="H136" i="7"/>
  <c r="H135" i="7"/>
  <c r="H133" i="7"/>
  <c r="G137" i="7"/>
  <c r="G136" i="7"/>
  <c r="G135" i="7"/>
  <c r="G133" i="7"/>
  <c r="F137" i="7"/>
  <c r="F136" i="7"/>
  <c r="F135" i="7"/>
  <c r="F133" i="7"/>
  <c r="Q137" i="4"/>
  <c r="N133" i="4"/>
  <c r="M133" i="4"/>
  <c r="L133" i="4"/>
  <c r="N137" i="4"/>
  <c r="N136" i="4"/>
  <c r="N135" i="4"/>
  <c r="M137" i="4"/>
  <c r="M136" i="4"/>
  <c r="M135" i="4"/>
  <c r="L137" i="4"/>
  <c r="L136" i="4"/>
  <c r="L135" i="4"/>
  <c r="J137" i="4"/>
  <c r="J136" i="4"/>
  <c r="J135" i="4"/>
  <c r="I137" i="4"/>
  <c r="I136" i="4"/>
  <c r="I135" i="4"/>
  <c r="L138" i="6"/>
  <c r="L137" i="6"/>
  <c r="L136" i="6"/>
  <c r="H138" i="6"/>
  <c r="H137" i="6"/>
  <c r="H136" i="6"/>
  <c r="G138" i="6"/>
  <c r="G137" i="6"/>
  <c r="G136" i="6"/>
  <c r="F138" i="6"/>
  <c r="F137" i="6"/>
  <c r="F136" i="6"/>
  <c r="I3" i="6"/>
  <c r="I4" i="6"/>
  <c r="J5" i="9" s="1"/>
  <c r="I5" i="6"/>
  <c r="J6" i="9" s="1"/>
  <c r="I6" i="6"/>
  <c r="J7" i="9" s="1"/>
  <c r="I7" i="6"/>
  <c r="J8" i="9" s="1"/>
  <c r="I8" i="6"/>
  <c r="J9" i="9" s="1"/>
  <c r="I9" i="6"/>
  <c r="J10" i="9" s="1"/>
  <c r="I10" i="6"/>
  <c r="J11" i="9" s="1"/>
  <c r="I11" i="6"/>
  <c r="J12" i="9" s="1"/>
  <c r="I12" i="6"/>
  <c r="J13" i="9" s="1"/>
  <c r="I13" i="6"/>
  <c r="J14" i="9" s="1"/>
  <c r="I14" i="6"/>
  <c r="J15" i="9" s="1"/>
  <c r="I15" i="6"/>
  <c r="J16" i="9" s="1"/>
  <c r="I16" i="6"/>
  <c r="J17" i="9" s="1"/>
  <c r="I17" i="6"/>
  <c r="J18" i="9" s="1"/>
  <c r="I18" i="6"/>
  <c r="J19" i="9" s="1"/>
  <c r="I19" i="6"/>
  <c r="J20" i="9" s="1"/>
  <c r="I20" i="6"/>
  <c r="J21" i="9" s="1"/>
  <c r="I21" i="6"/>
  <c r="J22" i="9" s="1"/>
  <c r="I22" i="6"/>
  <c r="J23" i="9" s="1"/>
  <c r="I23" i="6"/>
  <c r="J24" i="9" s="1"/>
  <c r="I24" i="6"/>
  <c r="J25" i="9" s="1"/>
  <c r="I25" i="6"/>
  <c r="J26" i="9" s="1"/>
  <c r="I26" i="6"/>
  <c r="J27" i="9" s="1"/>
  <c r="I27" i="6"/>
  <c r="J28" i="9" s="1"/>
  <c r="I28" i="6"/>
  <c r="J29" i="9" s="1"/>
  <c r="I29" i="6"/>
  <c r="J30" i="9" s="1"/>
  <c r="I30" i="6"/>
  <c r="J31" i="9" s="1"/>
  <c r="I31" i="6"/>
  <c r="J32" i="9" s="1"/>
  <c r="I32" i="6"/>
  <c r="J33" i="9" s="1"/>
  <c r="I33" i="6"/>
  <c r="J34" i="9" s="1"/>
  <c r="I34" i="6"/>
  <c r="J35" i="9" s="1"/>
  <c r="I35" i="6"/>
  <c r="J36" i="9" s="1"/>
  <c r="I36" i="6"/>
  <c r="J37" i="9" s="1"/>
  <c r="I37" i="6"/>
  <c r="J38" i="9" s="1"/>
  <c r="I38" i="6"/>
  <c r="J39" i="9" s="1"/>
  <c r="I39" i="6"/>
  <c r="J40" i="9" s="1"/>
  <c r="I40" i="6"/>
  <c r="J41" i="9" s="1"/>
  <c r="I41" i="6"/>
  <c r="J42" i="9" s="1"/>
  <c r="I42" i="6"/>
  <c r="J43" i="9" s="1"/>
  <c r="I43" i="6"/>
  <c r="J44" i="9" s="1"/>
  <c r="I44" i="6"/>
  <c r="J45" i="9" s="1"/>
  <c r="I45" i="6"/>
  <c r="J46" i="9" s="1"/>
  <c r="I46" i="6"/>
  <c r="J47" i="9" s="1"/>
  <c r="I47" i="6"/>
  <c r="J48" i="9" s="1"/>
  <c r="I48" i="6"/>
  <c r="J49" i="9" s="1"/>
  <c r="I49" i="6"/>
  <c r="J50" i="9" s="1"/>
  <c r="I50" i="6"/>
  <c r="J51" i="9" s="1"/>
  <c r="I51" i="6"/>
  <c r="J52" i="9" s="1"/>
  <c r="I52" i="6"/>
  <c r="J53" i="9" s="1"/>
  <c r="I53" i="6"/>
  <c r="J54" i="9" s="1"/>
  <c r="I54" i="6"/>
  <c r="J55" i="9" s="1"/>
  <c r="I55" i="6"/>
  <c r="J56" i="9" s="1"/>
  <c r="I56" i="6"/>
  <c r="J57" i="9" s="1"/>
  <c r="I57" i="6"/>
  <c r="J58" i="9" s="1"/>
  <c r="I58" i="6"/>
  <c r="J59" i="9" s="1"/>
  <c r="I59" i="6"/>
  <c r="J60" i="9" s="1"/>
  <c r="I60" i="6"/>
  <c r="J61" i="9" s="1"/>
  <c r="I61" i="6"/>
  <c r="J62" i="9" s="1"/>
  <c r="I62" i="6"/>
  <c r="J63" i="9" s="1"/>
  <c r="I63" i="6"/>
  <c r="J64" i="9" s="1"/>
  <c r="I64" i="6"/>
  <c r="J65" i="9" s="1"/>
  <c r="I65" i="6"/>
  <c r="J66" i="9" s="1"/>
  <c r="I66" i="6"/>
  <c r="J67" i="9" s="1"/>
  <c r="I67" i="6"/>
  <c r="J68" i="9" s="1"/>
  <c r="I68" i="6"/>
  <c r="J69" i="9" s="1"/>
  <c r="I69" i="6"/>
  <c r="J70" i="9" s="1"/>
  <c r="I70" i="6"/>
  <c r="J71" i="9" s="1"/>
  <c r="J138" i="9" s="1"/>
  <c r="I71" i="6"/>
  <c r="J72" i="9" s="1"/>
  <c r="I72" i="6"/>
  <c r="J73" i="9" s="1"/>
  <c r="I73" i="6"/>
  <c r="J74" i="9" s="1"/>
  <c r="I74" i="6"/>
  <c r="J75" i="9" s="1"/>
  <c r="I75" i="6"/>
  <c r="J76" i="9" s="1"/>
  <c r="I76" i="6"/>
  <c r="J77" i="9" s="1"/>
  <c r="I77" i="6"/>
  <c r="J78" i="9" s="1"/>
  <c r="I78" i="6"/>
  <c r="J79" i="9" s="1"/>
  <c r="I79" i="6"/>
  <c r="J80" i="9" s="1"/>
  <c r="I80" i="6"/>
  <c r="J81" i="9" s="1"/>
  <c r="I81" i="6"/>
  <c r="J82" i="9" s="1"/>
  <c r="I82" i="6"/>
  <c r="J83" i="9" s="1"/>
  <c r="I83" i="6"/>
  <c r="J84" i="9" s="1"/>
  <c r="I84" i="6"/>
  <c r="J85" i="9" s="1"/>
  <c r="I85" i="6"/>
  <c r="J86" i="9" s="1"/>
  <c r="I86" i="6"/>
  <c r="I89" i="6"/>
  <c r="I90" i="6"/>
  <c r="J91" i="9" s="1"/>
  <c r="I91" i="6"/>
  <c r="J92" i="9" s="1"/>
  <c r="I92" i="6"/>
  <c r="J93" i="9" s="1"/>
  <c r="I93" i="6"/>
  <c r="J94" i="9" s="1"/>
  <c r="I94" i="6"/>
  <c r="J95" i="9" s="1"/>
  <c r="I95" i="6"/>
  <c r="J96" i="9" s="1"/>
  <c r="I96" i="6"/>
  <c r="J97" i="9" s="1"/>
  <c r="I97" i="6"/>
  <c r="J98" i="9" s="1"/>
  <c r="I98" i="6"/>
  <c r="J99" i="9" s="1"/>
  <c r="I99" i="6"/>
  <c r="J100" i="9" s="1"/>
  <c r="I100" i="6"/>
  <c r="J101" i="9" s="1"/>
  <c r="I101" i="6"/>
  <c r="J102" i="9" s="1"/>
  <c r="I102" i="6"/>
  <c r="J103" i="9" s="1"/>
  <c r="I103" i="6"/>
  <c r="J104" i="9" s="1"/>
  <c r="I104" i="6"/>
  <c r="J105" i="9" s="1"/>
  <c r="I105" i="6"/>
  <c r="J106" i="9" s="1"/>
  <c r="I106" i="6"/>
  <c r="J107" i="9" s="1"/>
  <c r="I107" i="6"/>
  <c r="J108" i="9" s="1"/>
  <c r="I108" i="6"/>
  <c r="J109" i="9" s="1"/>
  <c r="I109" i="6"/>
  <c r="J110" i="9" s="1"/>
  <c r="I110" i="6"/>
  <c r="J111" i="9" s="1"/>
  <c r="I111" i="6"/>
  <c r="J112" i="9" s="1"/>
  <c r="I112" i="6"/>
  <c r="J113" i="9" s="1"/>
  <c r="I113" i="6"/>
  <c r="J114" i="9" s="1"/>
  <c r="I114" i="6"/>
  <c r="J115" i="9" s="1"/>
  <c r="I115" i="6"/>
  <c r="J116" i="9" s="1"/>
  <c r="I116" i="6"/>
  <c r="J117" i="9" s="1"/>
  <c r="I117" i="6"/>
  <c r="J118" i="9" s="1"/>
  <c r="I118" i="6"/>
  <c r="J119" i="9" s="1"/>
  <c r="I119" i="6"/>
  <c r="J120" i="9" s="1"/>
  <c r="I120" i="6"/>
  <c r="J121" i="9" s="1"/>
  <c r="I121" i="6"/>
  <c r="J122" i="9" s="1"/>
  <c r="I122" i="6"/>
  <c r="J123" i="9" s="1"/>
  <c r="I123" i="6"/>
  <c r="J124" i="9" s="1"/>
  <c r="I124" i="6"/>
  <c r="J125" i="9" s="1"/>
  <c r="I125" i="6"/>
  <c r="J126" i="9" s="1"/>
  <c r="I126" i="6"/>
  <c r="J127" i="9" s="1"/>
  <c r="I127" i="6"/>
  <c r="J128" i="9" s="1"/>
  <c r="I128" i="6"/>
  <c r="J129" i="9" s="1"/>
  <c r="I129" i="6"/>
  <c r="J130" i="9" s="1"/>
  <c r="I130" i="6"/>
  <c r="J131" i="9" s="1"/>
  <c r="I131" i="6"/>
  <c r="J132" i="9" s="1"/>
  <c r="I2" i="6"/>
  <c r="J3" i="9" s="1"/>
  <c r="K2" i="7"/>
  <c r="M3" i="9" s="1"/>
  <c r="E137" i="3"/>
  <c r="E136" i="3"/>
  <c r="E135" i="3"/>
  <c r="E133" i="3"/>
  <c r="D137" i="3"/>
  <c r="D136" i="3"/>
  <c r="D135" i="3"/>
  <c r="D133" i="3"/>
  <c r="C137" i="3"/>
  <c r="C136" i="3"/>
  <c r="C135" i="3"/>
  <c r="C13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137" i="3" s="1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2" i="3"/>
  <c r="V133" i="2"/>
  <c r="J3" i="8"/>
  <c r="V4" i="9" s="1"/>
  <c r="J4" i="8"/>
  <c r="V5" i="9" s="1"/>
  <c r="J5" i="8"/>
  <c r="V6" i="9" s="1"/>
  <c r="J6" i="8"/>
  <c r="V7" i="9" s="1"/>
  <c r="J7" i="8"/>
  <c r="V8" i="9" s="1"/>
  <c r="J8" i="8"/>
  <c r="V9" i="9" s="1"/>
  <c r="J9" i="8"/>
  <c r="V10" i="9" s="1"/>
  <c r="J10" i="8"/>
  <c r="V11" i="9" s="1"/>
  <c r="J11" i="8"/>
  <c r="V12" i="9" s="1"/>
  <c r="J12" i="8"/>
  <c r="V13" i="9" s="1"/>
  <c r="J13" i="8"/>
  <c r="V14" i="9" s="1"/>
  <c r="J14" i="8"/>
  <c r="V15" i="9" s="1"/>
  <c r="J15" i="8"/>
  <c r="V16" i="9" s="1"/>
  <c r="J16" i="8"/>
  <c r="V17" i="9" s="1"/>
  <c r="J17" i="8"/>
  <c r="J18" i="8"/>
  <c r="V19" i="9" s="1"/>
  <c r="J19" i="8"/>
  <c r="V20" i="9" s="1"/>
  <c r="J20" i="8"/>
  <c r="V21" i="9" s="1"/>
  <c r="J21" i="8"/>
  <c r="V22" i="9" s="1"/>
  <c r="J22" i="8"/>
  <c r="V23" i="9" s="1"/>
  <c r="J23" i="8"/>
  <c r="V24" i="9" s="1"/>
  <c r="J24" i="8"/>
  <c r="V25" i="9" s="1"/>
  <c r="J25" i="8"/>
  <c r="V26" i="9" s="1"/>
  <c r="J26" i="8"/>
  <c r="V27" i="9" s="1"/>
  <c r="J27" i="8"/>
  <c r="V28" i="9" s="1"/>
  <c r="J28" i="8"/>
  <c r="V29" i="9" s="1"/>
  <c r="J29" i="8"/>
  <c r="J30" i="8"/>
  <c r="V31" i="9" s="1"/>
  <c r="J31" i="8"/>
  <c r="V32" i="9" s="1"/>
  <c r="J32" i="8"/>
  <c r="V33" i="9" s="1"/>
  <c r="J33" i="8"/>
  <c r="V34" i="9" s="1"/>
  <c r="J34" i="8"/>
  <c r="V35" i="9" s="1"/>
  <c r="J35" i="8"/>
  <c r="V36" i="9" s="1"/>
  <c r="J36" i="8"/>
  <c r="V37" i="9" s="1"/>
  <c r="J37" i="8"/>
  <c r="V38" i="9" s="1"/>
  <c r="J38" i="8"/>
  <c r="V39" i="9" s="1"/>
  <c r="J39" i="8"/>
  <c r="V40" i="9" s="1"/>
  <c r="J40" i="8"/>
  <c r="V41" i="9" s="1"/>
  <c r="J41" i="8"/>
  <c r="V42" i="9" s="1"/>
  <c r="J42" i="8"/>
  <c r="V43" i="9" s="1"/>
  <c r="J43" i="8"/>
  <c r="V44" i="9" s="1"/>
  <c r="J44" i="8"/>
  <c r="V45" i="9" s="1"/>
  <c r="J45" i="8"/>
  <c r="V46" i="9" s="1"/>
  <c r="J46" i="8"/>
  <c r="V47" i="9" s="1"/>
  <c r="J47" i="8"/>
  <c r="V48" i="9" s="1"/>
  <c r="J48" i="8"/>
  <c r="V49" i="9" s="1"/>
  <c r="J49" i="8"/>
  <c r="V50" i="9" s="1"/>
  <c r="J50" i="8"/>
  <c r="V51" i="9" s="1"/>
  <c r="J51" i="8"/>
  <c r="V52" i="9" s="1"/>
  <c r="J52" i="8"/>
  <c r="V53" i="9" s="1"/>
  <c r="J53" i="8"/>
  <c r="V54" i="9" s="1"/>
  <c r="J54" i="8"/>
  <c r="V55" i="9" s="1"/>
  <c r="J55" i="8"/>
  <c r="V56" i="9" s="1"/>
  <c r="J56" i="8"/>
  <c r="V57" i="9" s="1"/>
  <c r="J57" i="8"/>
  <c r="V58" i="9" s="1"/>
  <c r="J58" i="8"/>
  <c r="V59" i="9" s="1"/>
  <c r="J59" i="8"/>
  <c r="V60" i="9" s="1"/>
  <c r="J60" i="8"/>
  <c r="V61" i="9" s="1"/>
  <c r="J61" i="8"/>
  <c r="V62" i="9" s="1"/>
  <c r="J62" i="8"/>
  <c r="V63" i="9" s="1"/>
  <c r="J63" i="8"/>
  <c r="V64" i="9" s="1"/>
  <c r="J64" i="8"/>
  <c r="V65" i="9" s="1"/>
  <c r="J65" i="8"/>
  <c r="V66" i="9" s="1"/>
  <c r="J66" i="8"/>
  <c r="V67" i="9" s="1"/>
  <c r="J67" i="8"/>
  <c r="V68" i="9" s="1"/>
  <c r="J68" i="8"/>
  <c r="V69" i="9" s="1"/>
  <c r="J69" i="8"/>
  <c r="V70" i="9" s="1"/>
  <c r="J70" i="8"/>
  <c r="J137" i="8" s="1"/>
  <c r="J71" i="8"/>
  <c r="V72" i="9" s="1"/>
  <c r="J72" i="8"/>
  <c r="V73" i="9" s="1"/>
  <c r="J73" i="8"/>
  <c r="V74" i="9" s="1"/>
  <c r="J74" i="8"/>
  <c r="V75" i="9" s="1"/>
  <c r="J75" i="8"/>
  <c r="V76" i="9" s="1"/>
  <c r="J76" i="8"/>
  <c r="V77" i="9" s="1"/>
  <c r="J77" i="8"/>
  <c r="V78" i="9" s="1"/>
  <c r="J78" i="8"/>
  <c r="V79" i="9" s="1"/>
  <c r="J79" i="8"/>
  <c r="V80" i="9" s="1"/>
  <c r="J80" i="8"/>
  <c r="V81" i="9" s="1"/>
  <c r="J81" i="8"/>
  <c r="V82" i="9" s="1"/>
  <c r="J82" i="8"/>
  <c r="V83" i="9" s="1"/>
  <c r="J83" i="8"/>
  <c r="V84" i="9" s="1"/>
  <c r="J84" i="8"/>
  <c r="V85" i="9" s="1"/>
  <c r="J85" i="8"/>
  <c r="V86" i="9" s="1"/>
  <c r="J86" i="8"/>
  <c r="J89" i="8"/>
  <c r="J90" i="8"/>
  <c r="V91" i="9" s="1"/>
  <c r="J91" i="8"/>
  <c r="V92" i="9" s="1"/>
  <c r="J92" i="8"/>
  <c r="V93" i="9" s="1"/>
  <c r="J93" i="8"/>
  <c r="V94" i="9" s="1"/>
  <c r="J94" i="8"/>
  <c r="V95" i="9" s="1"/>
  <c r="J95" i="8"/>
  <c r="V96" i="9" s="1"/>
  <c r="J96" i="8"/>
  <c r="V97" i="9" s="1"/>
  <c r="J97" i="8"/>
  <c r="V98" i="9" s="1"/>
  <c r="J98" i="8"/>
  <c r="V99" i="9" s="1"/>
  <c r="J99" i="8"/>
  <c r="V100" i="9" s="1"/>
  <c r="J100" i="8"/>
  <c r="V101" i="9" s="1"/>
  <c r="J101" i="8"/>
  <c r="V102" i="9" s="1"/>
  <c r="J102" i="8"/>
  <c r="V103" i="9" s="1"/>
  <c r="J103" i="8"/>
  <c r="J104" i="8"/>
  <c r="V105" i="9" s="1"/>
  <c r="J105" i="8"/>
  <c r="V106" i="9" s="1"/>
  <c r="J106" i="8"/>
  <c r="V107" i="9" s="1"/>
  <c r="J107" i="8"/>
  <c r="V108" i="9" s="1"/>
  <c r="J108" i="8"/>
  <c r="V109" i="9" s="1"/>
  <c r="J109" i="8"/>
  <c r="V110" i="9" s="1"/>
  <c r="J110" i="8"/>
  <c r="V111" i="9" s="1"/>
  <c r="J111" i="8"/>
  <c r="V112" i="9" s="1"/>
  <c r="J112" i="8"/>
  <c r="V113" i="9" s="1"/>
  <c r="J113" i="8"/>
  <c r="V114" i="9" s="1"/>
  <c r="J114" i="8"/>
  <c r="V115" i="9" s="1"/>
  <c r="J115" i="8"/>
  <c r="V116" i="9" s="1"/>
  <c r="J116" i="8"/>
  <c r="V117" i="9" s="1"/>
  <c r="J117" i="8"/>
  <c r="V118" i="9" s="1"/>
  <c r="J118" i="8"/>
  <c r="V119" i="9" s="1"/>
  <c r="J119" i="8"/>
  <c r="V120" i="9" s="1"/>
  <c r="J120" i="8"/>
  <c r="V121" i="9" s="1"/>
  <c r="J121" i="8"/>
  <c r="V122" i="9" s="1"/>
  <c r="J122" i="8"/>
  <c r="V123" i="9" s="1"/>
  <c r="J123" i="8"/>
  <c r="V124" i="9" s="1"/>
  <c r="J124" i="8"/>
  <c r="V125" i="9" s="1"/>
  <c r="J125" i="8"/>
  <c r="V126" i="9" s="1"/>
  <c r="J126" i="8"/>
  <c r="V127" i="9" s="1"/>
  <c r="J127" i="8"/>
  <c r="V128" i="9" s="1"/>
  <c r="J128" i="8"/>
  <c r="V129" i="9" s="1"/>
  <c r="J129" i="8"/>
  <c r="V130" i="9" s="1"/>
  <c r="J130" i="8"/>
  <c r="V131" i="9" s="1"/>
  <c r="J131" i="8"/>
  <c r="V132" i="9" s="1"/>
  <c r="J2" i="8"/>
  <c r="V3" i="9" s="1"/>
  <c r="B138" i="8"/>
  <c r="E131" i="8"/>
  <c r="D131" i="8"/>
  <c r="C131" i="8"/>
  <c r="E130" i="8"/>
  <c r="D130" i="8"/>
  <c r="C130" i="8"/>
  <c r="E129" i="8"/>
  <c r="D129" i="8"/>
  <c r="C129" i="8"/>
  <c r="E128" i="8"/>
  <c r="D128" i="8"/>
  <c r="C128" i="8"/>
  <c r="E127" i="8"/>
  <c r="D127" i="8"/>
  <c r="C127" i="8"/>
  <c r="E126" i="8"/>
  <c r="D126" i="8"/>
  <c r="C126" i="8"/>
  <c r="E125" i="8"/>
  <c r="D125" i="8"/>
  <c r="C125" i="8"/>
  <c r="E124" i="8"/>
  <c r="D124" i="8"/>
  <c r="C124" i="8"/>
  <c r="E123" i="8"/>
  <c r="D123" i="8"/>
  <c r="C123" i="8"/>
  <c r="E122" i="8"/>
  <c r="D122" i="8"/>
  <c r="C122" i="8"/>
  <c r="E121" i="8"/>
  <c r="D121" i="8"/>
  <c r="C121" i="8"/>
  <c r="E120" i="8"/>
  <c r="D120" i="8"/>
  <c r="C120" i="8"/>
  <c r="E119" i="8"/>
  <c r="D119" i="8"/>
  <c r="C119" i="8"/>
  <c r="E118" i="8"/>
  <c r="D118" i="8"/>
  <c r="C118" i="8"/>
  <c r="E117" i="8"/>
  <c r="D117" i="8"/>
  <c r="C117" i="8"/>
  <c r="E116" i="8"/>
  <c r="D116" i="8"/>
  <c r="C116" i="8"/>
  <c r="E115" i="8"/>
  <c r="D115" i="8"/>
  <c r="C115" i="8"/>
  <c r="E114" i="8"/>
  <c r="D114" i="8"/>
  <c r="C114" i="8"/>
  <c r="E113" i="8"/>
  <c r="D113" i="8"/>
  <c r="C113" i="8"/>
  <c r="E112" i="8"/>
  <c r="D112" i="8"/>
  <c r="C112" i="8"/>
  <c r="E111" i="8"/>
  <c r="D111" i="8"/>
  <c r="C111" i="8"/>
  <c r="E110" i="8"/>
  <c r="D110" i="8"/>
  <c r="C110" i="8"/>
  <c r="E109" i="8"/>
  <c r="D109" i="8"/>
  <c r="C109" i="8"/>
  <c r="E108" i="8"/>
  <c r="D108" i="8"/>
  <c r="C108" i="8"/>
  <c r="E107" i="8"/>
  <c r="D107" i="8"/>
  <c r="C107" i="8"/>
  <c r="E106" i="8"/>
  <c r="D106" i="8"/>
  <c r="C106" i="8"/>
  <c r="E105" i="8"/>
  <c r="D105" i="8"/>
  <c r="C105" i="8"/>
  <c r="E104" i="8"/>
  <c r="D104" i="8"/>
  <c r="C104" i="8"/>
  <c r="E103" i="8"/>
  <c r="D103" i="8"/>
  <c r="C103" i="8"/>
  <c r="E102" i="8"/>
  <c r="D102" i="8"/>
  <c r="C102" i="8"/>
  <c r="E101" i="8"/>
  <c r="D101" i="8"/>
  <c r="C101" i="8"/>
  <c r="E100" i="8"/>
  <c r="D100" i="8"/>
  <c r="C100" i="8"/>
  <c r="E99" i="8"/>
  <c r="D99" i="8"/>
  <c r="C99" i="8"/>
  <c r="E98" i="8"/>
  <c r="D98" i="8"/>
  <c r="C98" i="8"/>
  <c r="E97" i="8"/>
  <c r="D97" i="8"/>
  <c r="C97" i="8"/>
  <c r="E96" i="8"/>
  <c r="D96" i="8"/>
  <c r="C96" i="8"/>
  <c r="E95" i="8"/>
  <c r="D95" i="8"/>
  <c r="C95" i="8"/>
  <c r="E94" i="8"/>
  <c r="D94" i="8"/>
  <c r="C94" i="8"/>
  <c r="E93" i="8"/>
  <c r="D93" i="8"/>
  <c r="C93" i="8"/>
  <c r="E92" i="8"/>
  <c r="D92" i="8"/>
  <c r="C92" i="8"/>
  <c r="E91" i="8"/>
  <c r="D91" i="8"/>
  <c r="C91" i="8"/>
  <c r="E90" i="8"/>
  <c r="D90" i="8"/>
  <c r="C90" i="8"/>
  <c r="C89" i="8"/>
  <c r="E86" i="8"/>
  <c r="D86" i="8"/>
  <c r="C86" i="8"/>
  <c r="E85" i="8"/>
  <c r="D85" i="8"/>
  <c r="C85" i="8"/>
  <c r="E84" i="8"/>
  <c r="D84" i="8"/>
  <c r="C84" i="8"/>
  <c r="E83" i="8"/>
  <c r="D83" i="8"/>
  <c r="C83" i="8"/>
  <c r="E82" i="8"/>
  <c r="D82" i="8"/>
  <c r="C82" i="8"/>
  <c r="E81" i="8"/>
  <c r="D81" i="8"/>
  <c r="C81" i="8"/>
  <c r="E80" i="8"/>
  <c r="D80" i="8"/>
  <c r="C80" i="8"/>
  <c r="E79" i="8"/>
  <c r="D79" i="8"/>
  <c r="C79" i="8"/>
  <c r="E78" i="8"/>
  <c r="D78" i="8"/>
  <c r="C78" i="8"/>
  <c r="E77" i="8"/>
  <c r="D77" i="8"/>
  <c r="C77" i="8"/>
  <c r="E76" i="8"/>
  <c r="D76" i="8"/>
  <c r="C76" i="8"/>
  <c r="E75" i="8"/>
  <c r="D75" i="8"/>
  <c r="C75" i="8"/>
  <c r="E74" i="8"/>
  <c r="D74" i="8"/>
  <c r="C74" i="8"/>
  <c r="E73" i="8"/>
  <c r="D73" i="8"/>
  <c r="C73" i="8"/>
  <c r="E72" i="8"/>
  <c r="D72" i="8"/>
  <c r="C72" i="8"/>
  <c r="E71" i="8"/>
  <c r="D71" i="8"/>
  <c r="C71" i="8"/>
  <c r="E70" i="8"/>
  <c r="E137" i="8" s="1"/>
  <c r="D70" i="8"/>
  <c r="D137" i="8" s="1"/>
  <c r="C70" i="8"/>
  <c r="C137" i="8" s="1"/>
  <c r="E69" i="8"/>
  <c r="D69" i="8"/>
  <c r="C69" i="8"/>
  <c r="E68" i="8"/>
  <c r="D68" i="8"/>
  <c r="C68" i="8"/>
  <c r="E67" i="8"/>
  <c r="D67" i="8"/>
  <c r="C67" i="8"/>
  <c r="E66" i="8"/>
  <c r="D66" i="8"/>
  <c r="C66" i="8"/>
  <c r="E65" i="8"/>
  <c r="D65" i="8"/>
  <c r="C65" i="8"/>
  <c r="E64" i="8"/>
  <c r="D64" i="8"/>
  <c r="C64" i="8"/>
  <c r="E63" i="8"/>
  <c r="D63" i="8"/>
  <c r="C63" i="8"/>
  <c r="E62" i="8"/>
  <c r="D62" i="8"/>
  <c r="C62" i="8"/>
  <c r="E61" i="8"/>
  <c r="D61" i="8"/>
  <c r="C61" i="8"/>
  <c r="E60" i="8"/>
  <c r="D60" i="8"/>
  <c r="C60" i="8"/>
  <c r="E59" i="8"/>
  <c r="D59" i="8"/>
  <c r="C59" i="8"/>
  <c r="E58" i="8"/>
  <c r="D58" i="8"/>
  <c r="C58" i="8"/>
  <c r="E57" i="8"/>
  <c r="D57" i="8"/>
  <c r="C57" i="8"/>
  <c r="E56" i="8"/>
  <c r="D56" i="8"/>
  <c r="C56" i="8"/>
  <c r="E55" i="8"/>
  <c r="D55" i="8"/>
  <c r="C55" i="8"/>
  <c r="E54" i="8"/>
  <c r="D54" i="8"/>
  <c r="C54" i="8"/>
  <c r="E53" i="8"/>
  <c r="D53" i="8"/>
  <c r="C53" i="8"/>
  <c r="E52" i="8"/>
  <c r="D52" i="8"/>
  <c r="C52" i="8"/>
  <c r="E51" i="8"/>
  <c r="D51" i="8"/>
  <c r="C51" i="8"/>
  <c r="E50" i="8"/>
  <c r="D50" i="8"/>
  <c r="C50" i="8"/>
  <c r="E49" i="8"/>
  <c r="D49" i="8"/>
  <c r="C49" i="8"/>
  <c r="E48" i="8"/>
  <c r="D48" i="8"/>
  <c r="C48" i="8"/>
  <c r="E47" i="8"/>
  <c r="D47" i="8"/>
  <c r="C47" i="8"/>
  <c r="E46" i="8"/>
  <c r="D46" i="8"/>
  <c r="C46" i="8"/>
  <c r="E45" i="8"/>
  <c r="D45" i="8"/>
  <c r="C45" i="8"/>
  <c r="E44" i="8"/>
  <c r="D44" i="8"/>
  <c r="C44" i="8"/>
  <c r="E43" i="8"/>
  <c r="D43" i="8"/>
  <c r="C43" i="8"/>
  <c r="E42" i="8"/>
  <c r="D42" i="8"/>
  <c r="C42" i="8"/>
  <c r="E41" i="8"/>
  <c r="D41" i="8"/>
  <c r="C41" i="8"/>
  <c r="E40" i="8"/>
  <c r="D40" i="8"/>
  <c r="C40" i="8"/>
  <c r="E39" i="8"/>
  <c r="D39" i="8"/>
  <c r="C39" i="8"/>
  <c r="E38" i="8"/>
  <c r="D38" i="8"/>
  <c r="C38" i="8"/>
  <c r="E37" i="8"/>
  <c r="D37" i="8"/>
  <c r="C37" i="8"/>
  <c r="E36" i="8"/>
  <c r="D36" i="8"/>
  <c r="C36" i="8"/>
  <c r="E35" i="8"/>
  <c r="D35" i="8"/>
  <c r="C35" i="8"/>
  <c r="E34" i="8"/>
  <c r="D34" i="8"/>
  <c r="C34" i="8"/>
  <c r="E33" i="8"/>
  <c r="D33" i="8"/>
  <c r="C33" i="8"/>
  <c r="E32" i="8"/>
  <c r="D32" i="8"/>
  <c r="C32" i="8"/>
  <c r="E31" i="8"/>
  <c r="D31" i="8"/>
  <c r="C31" i="8"/>
  <c r="E30" i="8"/>
  <c r="D30" i="8"/>
  <c r="C30" i="8"/>
  <c r="E29" i="8"/>
  <c r="D29" i="8"/>
  <c r="C29" i="8"/>
  <c r="E28" i="8"/>
  <c r="D28" i="8"/>
  <c r="C28" i="8"/>
  <c r="E27" i="8"/>
  <c r="D27" i="8"/>
  <c r="C27" i="8"/>
  <c r="E26" i="8"/>
  <c r="D26" i="8"/>
  <c r="C26" i="8"/>
  <c r="E25" i="8"/>
  <c r="D25" i="8"/>
  <c r="C25" i="8"/>
  <c r="E24" i="8"/>
  <c r="D24" i="8"/>
  <c r="C24" i="8"/>
  <c r="E23" i="8"/>
  <c r="D23" i="8"/>
  <c r="C23" i="8"/>
  <c r="E22" i="8"/>
  <c r="D22" i="8"/>
  <c r="C22" i="8"/>
  <c r="E21" i="8"/>
  <c r="D21" i="8"/>
  <c r="C21" i="8"/>
  <c r="E20" i="8"/>
  <c r="D20" i="8"/>
  <c r="C20" i="8"/>
  <c r="E19" i="8"/>
  <c r="D19" i="8"/>
  <c r="C19" i="8"/>
  <c r="E18" i="8"/>
  <c r="D18" i="8"/>
  <c r="C18" i="8"/>
  <c r="E17" i="8"/>
  <c r="D17" i="8"/>
  <c r="C17" i="8"/>
  <c r="E16" i="8"/>
  <c r="D16" i="8"/>
  <c r="C16" i="8"/>
  <c r="E15" i="8"/>
  <c r="D15" i="8"/>
  <c r="C15" i="8"/>
  <c r="E14" i="8"/>
  <c r="D14" i="8"/>
  <c r="C14" i="8"/>
  <c r="E13" i="8"/>
  <c r="D13" i="8"/>
  <c r="C13" i="8"/>
  <c r="E12" i="8"/>
  <c r="D12" i="8"/>
  <c r="C12" i="8"/>
  <c r="E11" i="8"/>
  <c r="D11" i="8"/>
  <c r="C11" i="8"/>
  <c r="E10" i="8"/>
  <c r="D10" i="8"/>
  <c r="C10" i="8"/>
  <c r="E9" i="8"/>
  <c r="D9" i="8"/>
  <c r="C9" i="8"/>
  <c r="E8" i="8"/>
  <c r="D8" i="8"/>
  <c r="C8" i="8"/>
  <c r="E7" i="8"/>
  <c r="D7" i="8"/>
  <c r="C7" i="8"/>
  <c r="E6" i="8"/>
  <c r="D6" i="8"/>
  <c r="C6" i="8"/>
  <c r="E5" i="8"/>
  <c r="D5" i="8"/>
  <c r="C5" i="8"/>
  <c r="E4" i="8"/>
  <c r="D4" i="8"/>
  <c r="C4" i="8"/>
  <c r="E3" i="8"/>
  <c r="D3" i="8"/>
  <c r="C3" i="8"/>
  <c r="E2" i="8"/>
  <c r="D2" i="8"/>
  <c r="C2" i="8"/>
  <c r="Q89" i="9" l="1"/>
  <c r="J521" i="10" s="1"/>
  <c r="L521" i="10" s="1"/>
  <c r="M521" i="10" s="1"/>
  <c r="S88" i="4"/>
  <c r="F136" i="9"/>
  <c r="F139" i="9" s="1"/>
  <c r="Q88" i="9"/>
  <c r="J515" i="10" s="1"/>
  <c r="L515" i="10" s="1"/>
  <c r="M515" i="10" s="1"/>
  <c r="S87" i="4"/>
  <c r="F137" i="9"/>
  <c r="F71" i="9"/>
  <c r="F138" i="9" s="1"/>
  <c r="K87" i="9"/>
  <c r="L87" i="9" s="1"/>
  <c r="H89" i="9"/>
  <c r="H88" i="9"/>
  <c r="R89" i="9"/>
  <c r="T87" i="9"/>
  <c r="J510" i="10" s="1"/>
  <c r="L510" i="10" s="1"/>
  <c r="M510" i="10" s="1"/>
  <c r="T89" i="9"/>
  <c r="H90" i="9"/>
  <c r="T88" i="9"/>
  <c r="I89" i="9"/>
  <c r="O88" i="9"/>
  <c r="H87" i="9"/>
  <c r="N89" i="9"/>
  <c r="K90" i="9"/>
  <c r="L90" i="9" s="1"/>
  <c r="N88" i="9"/>
  <c r="J514" i="10" s="1"/>
  <c r="L514" i="10" s="1"/>
  <c r="M514" i="10" s="1"/>
  <c r="W90" i="9"/>
  <c r="K89" i="9"/>
  <c r="L89" i="9" s="1"/>
  <c r="N87" i="9"/>
  <c r="W89" i="9"/>
  <c r="K88" i="9"/>
  <c r="L88" i="9" s="1"/>
  <c r="W88" i="9"/>
  <c r="V71" i="9"/>
  <c r="V138" i="9" s="1"/>
  <c r="F138" i="8"/>
  <c r="I138" i="8"/>
  <c r="G138" i="8"/>
  <c r="G139" i="6"/>
  <c r="I137" i="6"/>
  <c r="F139" i="6"/>
  <c r="H139" i="6"/>
  <c r="N89" i="5"/>
  <c r="N88" i="5"/>
  <c r="N87" i="5"/>
  <c r="F138" i="5"/>
  <c r="K138" i="5"/>
  <c r="J138" i="5"/>
  <c r="H138" i="5"/>
  <c r="D138" i="5"/>
  <c r="G138" i="5"/>
  <c r="M138" i="4"/>
  <c r="J138" i="4"/>
  <c r="P136" i="2"/>
  <c r="F18" i="1" s="1"/>
  <c r="H138" i="2"/>
  <c r="J138" i="2"/>
  <c r="L138" i="2"/>
  <c r="H138" i="7"/>
  <c r="F138" i="7"/>
  <c r="V136" i="9"/>
  <c r="J137" i="9"/>
  <c r="J136" i="9"/>
  <c r="S136" i="9"/>
  <c r="V137" i="9"/>
  <c r="S134" i="9"/>
  <c r="S137" i="9"/>
  <c r="W119" i="9"/>
  <c r="W107" i="9"/>
  <c r="K95" i="9"/>
  <c r="L95" i="9" s="1"/>
  <c r="N81" i="9"/>
  <c r="J472" i="10" s="1"/>
  <c r="L472" i="10" s="1"/>
  <c r="M472" i="10" s="1"/>
  <c r="K69" i="9"/>
  <c r="L69" i="9" s="1"/>
  <c r="H57" i="9"/>
  <c r="K51" i="9"/>
  <c r="L51" i="9" s="1"/>
  <c r="K45" i="9"/>
  <c r="L45" i="9" s="1"/>
  <c r="K39" i="9"/>
  <c r="L39" i="9" s="1"/>
  <c r="T33" i="9"/>
  <c r="T21" i="9"/>
  <c r="W9" i="9"/>
  <c r="K123" i="9"/>
  <c r="L123" i="9" s="1"/>
  <c r="W117" i="9"/>
  <c r="N111" i="9"/>
  <c r="J652" i="10" s="1"/>
  <c r="L652" i="10" s="1"/>
  <c r="M652" i="10" s="1"/>
  <c r="K105" i="9"/>
  <c r="L105" i="9" s="1"/>
  <c r="K99" i="9"/>
  <c r="L99" i="9" s="1"/>
  <c r="W93" i="9"/>
  <c r="K85" i="9"/>
  <c r="L85" i="9" s="1"/>
  <c r="N79" i="9"/>
  <c r="J460" i="10" s="1"/>
  <c r="L460" i="10" s="1"/>
  <c r="M460" i="10" s="1"/>
  <c r="K73" i="9"/>
  <c r="L73" i="9" s="1"/>
  <c r="N67" i="9"/>
  <c r="J388" i="10" s="1"/>
  <c r="L388" i="10" s="1"/>
  <c r="M388" i="10" s="1"/>
  <c r="N61" i="9"/>
  <c r="J352" i="10" s="1"/>
  <c r="L352" i="10" s="1"/>
  <c r="M352" i="10" s="1"/>
  <c r="K55" i="9"/>
  <c r="L55" i="9" s="1"/>
  <c r="K49" i="9"/>
  <c r="L49" i="9" s="1"/>
  <c r="N43" i="9"/>
  <c r="J244" i="10" s="1"/>
  <c r="L244" i="10" s="1"/>
  <c r="M244" i="10" s="1"/>
  <c r="N37" i="9"/>
  <c r="J208" i="10" s="1"/>
  <c r="L208" i="10" s="1"/>
  <c r="M208" i="10" s="1"/>
  <c r="N31" i="9"/>
  <c r="J172" i="10" s="1"/>
  <c r="L172" i="10" s="1"/>
  <c r="M172" i="10" s="1"/>
  <c r="W25" i="9"/>
  <c r="K19" i="9"/>
  <c r="L19" i="9" s="1"/>
  <c r="K13" i="9"/>
  <c r="L13" i="9" s="1"/>
  <c r="N7" i="9"/>
  <c r="J28" i="10" s="1"/>
  <c r="L28" i="10" s="1"/>
  <c r="M28" i="10" s="1"/>
  <c r="N121" i="9"/>
  <c r="J712" i="10" s="1"/>
  <c r="L712" i="10" s="1"/>
  <c r="M712" i="10" s="1"/>
  <c r="H77" i="9"/>
  <c r="T65" i="9"/>
  <c r="N23" i="9"/>
  <c r="J124" i="10" s="1"/>
  <c r="L124" i="10" s="1"/>
  <c r="M124" i="10" s="1"/>
  <c r="T5" i="9"/>
  <c r="K117" i="9"/>
  <c r="L117" i="9" s="1"/>
  <c r="K93" i="9"/>
  <c r="L93" i="9" s="1"/>
  <c r="W79" i="9"/>
  <c r="N73" i="9"/>
  <c r="J424" i="10" s="1"/>
  <c r="L424" i="10" s="1"/>
  <c r="M424" i="10" s="1"/>
  <c r="K67" i="9"/>
  <c r="L67" i="9" s="1"/>
  <c r="W61" i="9"/>
  <c r="K37" i="9"/>
  <c r="L37" i="9" s="1"/>
  <c r="K25" i="9"/>
  <c r="L25" i="9" s="1"/>
  <c r="W19" i="9"/>
  <c r="K128" i="9"/>
  <c r="L128" i="9" s="1"/>
  <c r="W60" i="9"/>
  <c r="K54" i="9"/>
  <c r="L54" i="9" s="1"/>
  <c r="W18" i="9"/>
  <c r="W43" i="9"/>
  <c r="N9" i="9"/>
  <c r="J40" i="10" s="1"/>
  <c r="L40" i="10" s="1"/>
  <c r="M40" i="10" s="1"/>
  <c r="W37" i="9"/>
  <c r="W116" i="9"/>
  <c r="W72" i="9"/>
  <c r="N66" i="9"/>
  <c r="J382" i="10" s="1"/>
  <c r="L382" i="10" s="1"/>
  <c r="M382" i="10" s="1"/>
  <c r="K79" i="9"/>
  <c r="L79" i="9" s="1"/>
  <c r="T107" i="9"/>
  <c r="N128" i="9"/>
  <c r="J754" i="10" s="1"/>
  <c r="L754" i="10" s="1"/>
  <c r="M754" i="10" s="1"/>
  <c r="K116" i="9"/>
  <c r="L116" i="9" s="1"/>
  <c r="K110" i="9"/>
  <c r="L110" i="9" s="1"/>
  <c r="N104" i="9"/>
  <c r="J610" i="10" s="1"/>
  <c r="L610" i="10" s="1"/>
  <c r="M610" i="10" s="1"/>
  <c r="K92" i="9"/>
  <c r="L92" i="9" s="1"/>
  <c r="K72" i="9"/>
  <c r="L72" i="9" s="1"/>
  <c r="N54" i="9"/>
  <c r="J310" i="10" s="1"/>
  <c r="L310" i="10" s="1"/>
  <c r="M310" i="10" s="1"/>
  <c r="N30" i="9"/>
  <c r="J166" i="10" s="1"/>
  <c r="L166" i="10" s="1"/>
  <c r="M166" i="10" s="1"/>
  <c r="N24" i="9"/>
  <c r="J130" i="10" s="1"/>
  <c r="L130" i="10" s="1"/>
  <c r="M130" i="10" s="1"/>
  <c r="N18" i="9"/>
  <c r="J94" i="10" s="1"/>
  <c r="L94" i="10" s="1"/>
  <c r="M94" i="10" s="1"/>
  <c r="T131" i="9"/>
  <c r="W125" i="9"/>
  <c r="T113" i="9"/>
  <c r="W101" i="9"/>
  <c r="W81" i="9"/>
  <c r="N69" i="9"/>
  <c r="J400" i="10" s="1"/>
  <c r="L400" i="10" s="1"/>
  <c r="M400" i="10" s="1"/>
  <c r="K63" i="9"/>
  <c r="L63" i="9" s="1"/>
  <c r="N107" i="9"/>
  <c r="J628" i="10" s="1"/>
  <c r="L628" i="10" s="1"/>
  <c r="M628" i="10" s="1"/>
  <c r="E136" i="8"/>
  <c r="D138" i="3"/>
  <c r="T132" i="9"/>
  <c r="N90" i="9"/>
  <c r="J526" i="10" s="1"/>
  <c r="L526" i="10" s="1"/>
  <c r="M526" i="10" s="1"/>
  <c r="H46" i="9"/>
  <c r="H22" i="9"/>
  <c r="T10" i="9"/>
  <c r="N91" i="9"/>
  <c r="J532" i="10" s="1"/>
  <c r="L532" i="10" s="1"/>
  <c r="M532" i="10" s="1"/>
  <c r="H65" i="9"/>
  <c r="T47" i="9"/>
  <c r="T23" i="9"/>
  <c r="H11" i="9"/>
  <c r="K124" i="9"/>
  <c r="L124" i="9" s="1"/>
  <c r="H112" i="9"/>
  <c r="H100" i="9"/>
  <c r="T94" i="9"/>
  <c r="H86" i="9"/>
  <c r="K80" i="9"/>
  <c r="L80" i="9" s="1"/>
  <c r="H68" i="9"/>
  <c r="K62" i="9"/>
  <c r="L62" i="9" s="1"/>
  <c r="H56" i="9"/>
  <c r="H50" i="9"/>
  <c r="K44" i="9"/>
  <c r="L44" i="9" s="1"/>
  <c r="T38" i="9"/>
  <c r="H32" i="9"/>
  <c r="K26" i="9"/>
  <c r="L26" i="9" s="1"/>
  <c r="K20" i="9"/>
  <c r="L20" i="9" s="1"/>
  <c r="H14" i="9"/>
  <c r="H33" i="9"/>
  <c r="T69" i="9"/>
  <c r="H131" i="9"/>
  <c r="H125" i="9"/>
  <c r="N119" i="9"/>
  <c r="J700" i="10" s="1"/>
  <c r="L700" i="10" s="1"/>
  <c r="M700" i="10" s="1"/>
  <c r="H124" i="9"/>
  <c r="H23" i="9"/>
  <c r="K125" i="9"/>
  <c r="L125" i="9" s="1"/>
  <c r="K5" i="9"/>
  <c r="L5" i="9" s="1"/>
  <c r="H121" i="9"/>
  <c r="N125" i="9"/>
  <c r="J736" i="10" s="1"/>
  <c r="L736" i="10" s="1"/>
  <c r="M736" i="10" s="1"/>
  <c r="W100" i="9"/>
  <c r="H113" i="9"/>
  <c r="T50" i="9"/>
  <c r="W132" i="9"/>
  <c r="K132" i="9"/>
  <c r="L132" i="9" s="1"/>
  <c r="N132" i="9"/>
  <c r="J778" i="10" s="1"/>
  <c r="L778" i="10" s="1"/>
  <c r="M778" i="10" s="1"/>
  <c r="W126" i="9"/>
  <c r="T126" i="9"/>
  <c r="K126" i="9"/>
  <c r="L126" i="9" s="1"/>
  <c r="N126" i="9"/>
  <c r="J742" i="10" s="1"/>
  <c r="L742" i="10" s="1"/>
  <c r="M742" i="10" s="1"/>
  <c r="H126" i="9"/>
  <c r="W120" i="9"/>
  <c r="K120" i="9"/>
  <c r="L120" i="9" s="1"/>
  <c r="N120" i="9"/>
  <c r="J706" i="10" s="1"/>
  <c r="L706" i="10" s="1"/>
  <c r="M706" i="10" s="1"/>
  <c r="T120" i="9"/>
  <c r="H120" i="9"/>
  <c r="W114" i="9"/>
  <c r="K114" i="9"/>
  <c r="L114" i="9" s="1"/>
  <c r="T114" i="9"/>
  <c r="H114" i="9"/>
  <c r="N114" i="9"/>
  <c r="J670" i="10" s="1"/>
  <c r="L670" i="10" s="1"/>
  <c r="M670" i="10" s="1"/>
  <c r="W108" i="9"/>
  <c r="T108" i="9"/>
  <c r="N108" i="9"/>
  <c r="J634" i="10" s="1"/>
  <c r="L634" i="10" s="1"/>
  <c r="M634" i="10" s="1"/>
  <c r="K108" i="9"/>
  <c r="L108" i="9" s="1"/>
  <c r="H108" i="9"/>
  <c r="W102" i="9"/>
  <c r="K102" i="9"/>
  <c r="L102" i="9" s="1"/>
  <c r="N102" i="9"/>
  <c r="J598" i="10" s="1"/>
  <c r="L598" i="10" s="1"/>
  <c r="M598" i="10" s="1"/>
  <c r="T102" i="9"/>
  <c r="W96" i="9"/>
  <c r="K96" i="9"/>
  <c r="L96" i="9" s="1"/>
  <c r="T96" i="9"/>
  <c r="N96" i="9"/>
  <c r="J562" i="10" s="1"/>
  <c r="L562" i="10" s="1"/>
  <c r="M562" i="10" s="1"/>
  <c r="H96" i="9"/>
  <c r="T90" i="9"/>
  <c r="W82" i="9"/>
  <c r="K82" i="9"/>
  <c r="L82" i="9" s="1"/>
  <c r="T82" i="9"/>
  <c r="N82" i="9"/>
  <c r="J478" i="10" s="1"/>
  <c r="L478" i="10" s="1"/>
  <c r="M478" i="10" s="1"/>
  <c r="H82" i="9"/>
  <c r="W76" i="9"/>
  <c r="K76" i="9"/>
  <c r="L76" i="9" s="1"/>
  <c r="N76" i="9"/>
  <c r="J442" i="10" s="1"/>
  <c r="L442" i="10" s="1"/>
  <c r="M442" i="10" s="1"/>
  <c r="T76" i="9"/>
  <c r="W70" i="9"/>
  <c r="T70" i="9"/>
  <c r="N70" i="9"/>
  <c r="J406" i="10" s="1"/>
  <c r="L406" i="10" s="1"/>
  <c r="M406" i="10" s="1"/>
  <c r="K70" i="9"/>
  <c r="L70" i="9" s="1"/>
  <c r="H70" i="9"/>
  <c r="W64" i="9"/>
  <c r="K64" i="9"/>
  <c r="L64" i="9" s="1"/>
  <c r="N64" i="9"/>
  <c r="J370" i="10" s="1"/>
  <c r="L370" i="10" s="1"/>
  <c r="M370" i="10" s="1"/>
  <c r="T64" i="9"/>
  <c r="H64" i="9"/>
  <c r="W58" i="9"/>
  <c r="K58" i="9"/>
  <c r="L58" i="9" s="1"/>
  <c r="T58" i="9"/>
  <c r="H58" i="9"/>
  <c r="W52" i="9"/>
  <c r="T52" i="9"/>
  <c r="K52" i="9"/>
  <c r="L52" i="9" s="1"/>
  <c r="N52" i="9"/>
  <c r="J298" i="10" s="1"/>
  <c r="L298" i="10" s="1"/>
  <c r="M298" i="10" s="1"/>
  <c r="H52" i="9"/>
  <c r="W46" i="9"/>
  <c r="K46" i="9"/>
  <c r="L46" i="9" s="1"/>
  <c r="T46" i="9"/>
  <c r="N46" i="9"/>
  <c r="J262" i="10" s="1"/>
  <c r="L262" i="10" s="1"/>
  <c r="M262" i="10" s="1"/>
  <c r="W40" i="9"/>
  <c r="K40" i="9"/>
  <c r="L40" i="9" s="1"/>
  <c r="T40" i="9"/>
  <c r="H40" i="9"/>
  <c r="W34" i="9"/>
  <c r="T34" i="9"/>
  <c r="N34" i="9"/>
  <c r="J190" i="10" s="1"/>
  <c r="L190" i="10" s="1"/>
  <c r="M190" i="10" s="1"/>
  <c r="K34" i="9"/>
  <c r="L34" i="9" s="1"/>
  <c r="W28" i="9"/>
  <c r="K28" i="9"/>
  <c r="L28" i="9" s="1"/>
  <c r="N28" i="9"/>
  <c r="J154" i="10" s="1"/>
  <c r="L154" i="10" s="1"/>
  <c r="M154" i="10" s="1"/>
  <c r="T28" i="9"/>
  <c r="H28" i="9"/>
  <c r="W22" i="9"/>
  <c r="K22" i="9"/>
  <c r="L22" i="9" s="1"/>
  <c r="N22" i="9"/>
  <c r="J118" i="10" s="1"/>
  <c r="L118" i="10" s="1"/>
  <c r="M118" i="10" s="1"/>
  <c r="T22" i="9"/>
  <c r="W16" i="9"/>
  <c r="T16" i="9"/>
  <c r="K16" i="9"/>
  <c r="L16" i="9" s="1"/>
  <c r="H16" i="9"/>
  <c r="N16" i="9"/>
  <c r="J82" i="10" s="1"/>
  <c r="L82" i="10" s="1"/>
  <c r="M82" i="10" s="1"/>
  <c r="W10" i="9"/>
  <c r="N10" i="9"/>
  <c r="J46" i="10" s="1"/>
  <c r="L46" i="10" s="1"/>
  <c r="M46" i="10" s="1"/>
  <c r="H10" i="9"/>
  <c r="W4" i="9"/>
  <c r="T4" i="9"/>
  <c r="H4" i="9"/>
  <c r="K4" i="9"/>
  <c r="L4" i="9" s="1"/>
  <c r="H106" i="9"/>
  <c r="T106" i="9"/>
  <c r="H132" i="9"/>
  <c r="K10" i="9"/>
  <c r="L10" i="9" s="1"/>
  <c r="N40" i="9"/>
  <c r="J226" i="10" s="1"/>
  <c r="L226" i="10" s="1"/>
  <c r="M226" i="10" s="1"/>
  <c r="H76" i="9"/>
  <c r="H44" i="9"/>
  <c r="K106" i="9"/>
  <c r="L106" i="9" s="1"/>
  <c r="N58" i="9"/>
  <c r="J334" i="10" s="1"/>
  <c r="L334" i="10" s="1"/>
  <c r="M334" i="10" s="1"/>
  <c r="W3" i="9"/>
  <c r="K3" i="9"/>
  <c r="L3" i="9" s="1"/>
  <c r="T3" i="9"/>
  <c r="J6" i="10" s="1"/>
  <c r="L6" i="10" s="1"/>
  <c r="M6" i="10" s="1"/>
  <c r="N3" i="9"/>
  <c r="W127" i="9"/>
  <c r="T127" i="9"/>
  <c r="K127" i="9"/>
  <c r="L127" i="9" s="1"/>
  <c r="N127" i="9"/>
  <c r="J748" i="10" s="1"/>
  <c r="L748" i="10" s="1"/>
  <c r="M748" i="10" s="1"/>
  <c r="H127" i="9"/>
  <c r="W121" i="9"/>
  <c r="K121" i="9"/>
  <c r="L121" i="9" s="1"/>
  <c r="T121" i="9"/>
  <c r="W115" i="9"/>
  <c r="N115" i="9"/>
  <c r="J676" i="10" s="1"/>
  <c r="L676" i="10" s="1"/>
  <c r="M676" i="10" s="1"/>
  <c r="K115" i="9"/>
  <c r="L115" i="9" s="1"/>
  <c r="T115" i="9"/>
  <c r="H115" i="9"/>
  <c r="W109" i="9"/>
  <c r="T109" i="9"/>
  <c r="N109" i="9"/>
  <c r="J640" i="10" s="1"/>
  <c r="L640" i="10" s="1"/>
  <c r="M640" i="10" s="1"/>
  <c r="K109" i="9"/>
  <c r="L109" i="9" s="1"/>
  <c r="H109" i="9"/>
  <c r="W103" i="9"/>
  <c r="K103" i="9"/>
  <c r="L103" i="9" s="1"/>
  <c r="H103" i="9"/>
  <c r="T103" i="9"/>
  <c r="N103" i="9"/>
  <c r="J604" i="10" s="1"/>
  <c r="L604" i="10" s="1"/>
  <c r="M604" i="10" s="1"/>
  <c r="W97" i="9"/>
  <c r="K97" i="9"/>
  <c r="L97" i="9" s="1"/>
  <c r="T97" i="9"/>
  <c r="N97" i="9"/>
  <c r="J568" i="10" s="1"/>
  <c r="L568" i="10" s="1"/>
  <c r="M568" i="10" s="1"/>
  <c r="H97" i="9"/>
  <c r="W91" i="9"/>
  <c r="T91" i="9"/>
  <c r="K91" i="9"/>
  <c r="L91" i="9" s="1"/>
  <c r="H91" i="9"/>
  <c r="W83" i="9"/>
  <c r="K83" i="9"/>
  <c r="L83" i="9" s="1"/>
  <c r="H83" i="9"/>
  <c r="T83" i="9"/>
  <c r="N83" i="9"/>
  <c r="J484" i="10" s="1"/>
  <c r="L484" i="10" s="1"/>
  <c r="M484" i="10" s="1"/>
  <c r="W77" i="9"/>
  <c r="N77" i="9"/>
  <c r="J448" i="10" s="1"/>
  <c r="L448" i="10" s="1"/>
  <c r="M448" i="10" s="1"/>
  <c r="K77" i="9"/>
  <c r="L77" i="9" s="1"/>
  <c r="T77" i="9"/>
  <c r="C138" i="9"/>
  <c r="W71" i="9"/>
  <c r="J415" i="10" s="1"/>
  <c r="L415" i="10" s="1"/>
  <c r="M415" i="10" s="1"/>
  <c r="T71" i="9"/>
  <c r="J414" i="10" s="1"/>
  <c r="L414" i="10" s="1"/>
  <c r="M414" i="10" s="1"/>
  <c r="N71" i="9"/>
  <c r="J412" i="10" s="1"/>
  <c r="L412" i="10" s="1"/>
  <c r="M412" i="10" s="1"/>
  <c r="K71" i="9"/>
  <c r="H71" i="9"/>
  <c r="W65" i="9"/>
  <c r="K65" i="9"/>
  <c r="L65" i="9" s="1"/>
  <c r="N65" i="9"/>
  <c r="J376" i="10" s="1"/>
  <c r="L376" i="10" s="1"/>
  <c r="M376" i="10" s="1"/>
  <c r="W59" i="9"/>
  <c r="K59" i="9"/>
  <c r="L59" i="9" s="1"/>
  <c r="N59" i="9"/>
  <c r="J340" i="10" s="1"/>
  <c r="L340" i="10" s="1"/>
  <c r="M340" i="10" s="1"/>
  <c r="H59" i="9"/>
  <c r="T59" i="9"/>
  <c r="W53" i="9"/>
  <c r="T53" i="9"/>
  <c r="K53" i="9"/>
  <c r="L53" i="9" s="1"/>
  <c r="H53" i="9"/>
  <c r="N53" i="9"/>
  <c r="J304" i="10" s="1"/>
  <c r="L304" i="10" s="1"/>
  <c r="M304" i="10" s="1"/>
  <c r="W47" i="9"/>
  <c r="K47" i="9"/>
  <c r="L47" i="9" s="1"/>
  <c r="H47" i="9"/>
  <c r="N47" i="9"/>
  <c r="J268" i="10" s="1"/>
  <c r="L268" i="10" s="1"/>
  <c r="M268" i="10" s="1"/>
  <c r="W41" i="9"/>
  <c r="X41" i="9" s="1"/>
  <c r="N41" i="9"/>
  <c r="K41" i="9"/>
  <c r="L41" i="9" s="1"/>
  <c r="T41" i="9"/>
  <c r="U41" i="9" s="1"/>
  <c r="H41" i="9"/>
  <c r="W35" i="9"/>
  <c r="T35" i="9"/>
  <c r="N35" i="9"/>
  <c r="J196" i="10" s="1"/>
  <c r="L196" i="10" s="1"/>
  <c r="M196" i="10" s="1"/>
  <c r="K35" i="9"/>
  <c r="L35" i="9" s="1"/>
  <c r="H35" i="9"/>
  <c r="W29" i="9"/>
  <c r="K29" i="9"/>
  <c r="L29" i="9" s="1"/>
  <c r="N29" i="9"/>
  <c r="J160" i="10" s="1"/>
  <c r="L160" i="10" s="1"/>
  <c r="M160" i="10" s="1"/>
  <c r="H29" i="9"/>
  <c r="W23" i="9"/>
  <c r="K23" i="9"/>
  <c r="L23" i="9" s="1"/>
  <c r="W17" i="9"/>
  <c r="T17" i="9"/>
  <c r="N17" i="9"/>
  <c r="J88" i="10" s="1"/>
  <c r="L88" i="10" s="1"/>
  <c r="M88" i="10" s="1"/>
  <c r="H17" i="9"/>
  <c r="K17" i="9"/>
  <c r="L17" i="9" s="1"/>
  <c r="W11" i="9"/>
  <c r="K11" i="9"/>
  <c r="L11" i="9" s="1"/>
  <c r="T11" i="9"/>
  <c r="N11" i="9"/>
  <c r="J52" i="10" s="1"/>
  <c r="L52" i="10" s="1"/>
  <c r="M52" i="10" s="1"/>
  <c r="W5" i="9"/>
  <c r="N5" i="9"/>
  <c r="J16" i="10" s="1"/>
  <c r="L16" i="10" s="1"/>
  <c r="M16" i="10" s="1"/>
  <c r="H5" i="9"/>
  <c r="N36" i="9"/>
  <c r="J202" i="10" s="1"/>
  <c r="L202" i="10" s="1"/>
  <c r="M202" i="10" s="1"/>
  <c r="K36" i="9"/>
  <c r="L36" i="9" s="1"/>
  <c r="H3" i="9"/>
  <c r="H102" i="9"/>
  <c r="H34" i="9"/>
  <c r="N4" i="9"/>
  <c r="J10" i="10" s="1"/>
  <c r="L10" i="10" s="1"/>
  <c r="M10" i="10" s="1"/>
  <c r="T29" i="9"/>
  <c r="W113" i="9"/>
  <c r="N101" i="9"/>
  <c r="J592" i="10" s="1"/>
  <c r="L592" i="10" s="1"/>
  <c r="M592" i="10" s="1"/>
  <c r="T101" i="9"/>
  <c r="H101" i="9"/>
  <c r="W75" i="9"/>
  <c r="N75" i="9"/>
  <c r="J436" i="10" s="1"/>
  <c r="L436" i="10" s="1"/>
  <c r="M436" i="10" s="1"/>
  <c r="N63" i="9"/>
  <c r="J364" i="10" s="1"/>
  <c r="L364" i="10" s="1"/>
  <c r="M364" i="10" s="1"/>
  <c r="T63" i="9"/>
  <c r="H63" i="9"/>
  <c r="N51" i="9"/>
  <c r="J292" i="10" s="1"/>
  <c r="L292" i="10" s="1"/>
  <c r="M292" i="10" s="1"/>
  <c r="W39" i="9"/>
  <c r="N39" i="9"/>
  <c r="J220" i="10" s="1"/>
  <c r="L220" i="10" s="1"/>
  <c r="M220" i="10" s="1"/>
  <c r="N27" i="9"/>
  <c r="J148" i="10" s="1"/>
  <c r="L148" i="10" s="1"/>
  <c r="M148" i="10" s="1"/>
  <c r="T27" i="9"/>
  <c r="H27" i="9"/>
  <c r="K15" i="9"/>
  <c r="L15" i="9" s="1"/>
  <c r="H75" i="9"/>
  <c r="H21" i="9"/>
  <c r="K113" i="9"/>
  <c r="L113" i="9" s="1"/>
  <c r="K101" i="9"/>
  <c r="L101" i="9" s="1"/>
  <c r="K75" i="9"/>
  <c r="L75" i="9" s="1"/>
  <c r="T125" i="9"/>
  <c r="W99" i="9"/>
  <c r="W73" i="9"/>
  <c r="W55" i="9"/>
  <c r="W33" i="9"/>
  <c r="W15" i="9"/>
  <c r="N130" i="9"/>
  <c r="J766" i="10" s="1"/>
  <c r="L766" i="10" s="1"/>
  <c r="M766" i="10" s="1"/>
  <c r="W130" i="9"/>
  <c r="K130" i="9"/>
  <c r="L130" i="9" s="1"/>
  <c r="T130" i="9"/>
  <c r="N124" i="9"/>
  <c r="J730" i="10" s="1"/>
  <c r="L730" i="10" s="1"/>
  <c r="M730" i="10" s="1"/>
  <c r="T124" i="9"/>
  <c r="W124" i="9"/>
  <c r="N118" i="9"/>
  <c r="J694" i="10" s="1"/>
  <c r="L694" i="10" s="1"/>
  <c r="M694" i="10" s="1"/>
  <c r="T118" i="9"/>
  <c r="W118" i="9"/>
  <c r="N112" i="9"/>
  <c r="J658" i="10" s="1"/>
  <c r="L658" i="10" s="1"/>
  <c r="M658" i="10" s="1"/>
  <c r="W112" i="9"/>
  <c r="T112" i="9"/>
  <c r="K112" i="9"/>
  <c r="L112" i="9" s="1"/>
  <c r="N106" i="9"/>
  <c r="J622" i="10" s="1"/>
  <c r="L622" i="10" s="1"/>
  <c r="M622" i="10" s="1"/>
  <c r="W106" i="9"/>
  <c r="N100" i="9"/>
  <c r="J586" i="10" s="1"/>
  <c r="L586" i="10" s="1"/>
  <c r="M586" i="10" s="1"/>
  <c r="T100" i="9"/>
  <c r="N94" i="9"/>
  <c r="J550" i="10" s="1"/>
  <c r="L550" i="10" s="1"/>
  <c r="M550" i="10" s="1"/>
  <c r="W94" i="9"/>
  <c r="K94" i="9"/>
  <c r="L94" i="9" s="1"/>
  <c r="N86" i="9"/>
  <c r="J502" i="10" s="1"/>
  <c r="L502" i="10" s="1"/>
  <c r="M502" i="10" s="1"/>
  <c r="T86" i="9"/>
  <c r="K86" i="9"/>
  <c r="L86" i="9" s="1"/>
  <c r="N80" i="9"/>
  <c r="J466" i="10" s="1"/>
  <c r="L466" i="10" s="1"/>
  <c r="M466" i="10" s="1"/>
  <c r="T80" i="9"/>
  <c r="W80" i="9"/>
  <c r="N74" i="9"/>
  <c r="J430" i="10" s="1"/>
  <c r="L430" i="10" s="1"/>
  <c r="M430" i="10" s="1"/>
  <c r="W74" i="9"/>
  <c r="J433" i="10" s="1"/>
  <c r="L433" i="10" s="1"/>
  <c r="M433" i="10" s="1"/>
  <c r="K74" i="9"/>
  <c r="L74" i="9" s="1"/>
  <c r="T74" i="9"/>
  <c r="N68" i="9"/>
  <c r="J394" i="10" s="1"/>
  <c r="L394" i="10" s="1"/>
  <c r="M394" i="10" s="1"/>
  <c r="T68" i="9"/>
  <c r="W68" i="9"/>
  <c r="K68" i="9"/>
  <c r="L68" i="9" s="1"/>
  <c r="N62" i="9"/>
  <c r="J358" i="10" s="1"/>
  <c r="L358" i="10" s="1"/>
  <c r="M358" i="10" s="1"/>
  <c r="T62" i="9"/>
  <c r="W62" i="9"/>
  <c r="N56" i="9"/>
  <c r="J322" i="10" s="1"/>
  <c r="L322" i="10" s="1"/>
  <c r="M322" i="10" s="1"/>
  <c r="W56" i="9"/>
  <c r="T56" i="9"/>
  <c r="K56" i="9"/>
  <c r="L56" i="9" s="1"/>
  <c r="N50" i="9"/>
  <c r="J286" i="10" s="1"/>
  <c r="L286" i="10" s="1"/>
  <c r="M286" i="10" s="1"/>
  <c r="W50" i="9"/>
  <c r="K50" i="9"/>
  <c r="L50" i="9" s="1"/>
  <c r="N44" i="9"/>
  <c r="J250" i="10" s="1"/>
  <c r="L250" i="10" s="1"/>
  <c r="M250" i="10" s="1"/>
  <c r="T44" i="9"/>
  <c r="N38" i="9"/>
  <c r="J214" i="10" s="1"/>
  <c r="L214" i="10" s="1"/>
  <c r="M214" i="10" s="1"/>
  <c r="W38" i="9"/>
  <c r="K38" i="9"/>
  <c r="L38" i="9" s="1"/>
  <c r="N32" i="9"/>
  <c r="J178" i="10" s="1"/>
  <c r="L178" i="10" s="1"/>
  <c r="M178" i="10" s="1"/>
  <c r="T32" i="9"/>
  <c r="K32" i="9"/>
  <c r="L32" i="9" s="1"/>
  <c r="N26" i="9"/>
  <c r="J142" i="10" s="1"/>
  <c r="L142" i="10" s="1"/>
  <c r="M142" i="10" s="1"/>
  <c r="T26" i="9"/>
  <c r="W26" i="9"/>
  <c r="N20" i="9"/>
  <c r="J106" i="10" s="1"/>
  <c r="L106" i="10" s="1"/>
  <c r="M106" i="10" s="1"/>
  <c r="W20" i="9"/>
  <c r="T20" i="9"/>
  <c r="N14" i="9"/>
  <c r="J70" i="10" s="1"/>
  <c r="L70" i="10" s="1"/>
  <c r="M70" i="10" s="1"/>
  <c r="K14" i="9"/>
  <c r="L14" i="9" s="1"/>
  <c r="T14" i="9"/>
  <c r="W14" i="9"/>
  <c r="N8" i="9"/>
  <c r="J34" i="10" s="1"/>
  <c r="L34" i="10" s="1"/>
  <c r="M34" i="10" s="1"/>
  <c r="T8" i="9"/>
  <c r="K8" i="9"/>
  <c r="L8" i="9" s="1"/>
  <c r="W8" i="9"/>
  <c r="H130" i="9"/>
  <c r="H118" i="9"/>
  <c r="H107" i="9"/>
  <c r="H74" i="9"/>
  <c r="H62" i="9"/>
  <c r="H51" i="9"/>
  <c r="H20" i="9"/>
  <c r="H8" i="9"/>
  <c r="K111" i="9"/>
  <c r="L111" i="9" s="1"/>
  <c r="K100" i="9"/>
  <c r="L100" i="9" s="1"/>
  <c r="K61" i="9"/>
  <c r="L61" i="9" s="1"/>
  <c r="K33" i="9"/>
  <c r="L33" i="9" s="1"/>
  <c r="N99" i="9"/>
  <c r="J580" i="10" s="1"/>
  <c r="L580" i="10" s="1"/>
  <c r="M580" i="10" s="1"/>
  <c r="N33" i="9"/>
  <c r="J184" i="10" s="1"/>
  <c r="L184" i="10" s="1"/>
  <c r="M184" i="10" s="1"/>
  <c r="T39" i="9"/>
  <c r="W51" i="9"/>
  <c r="W32" i="9"/>
  <c r="W131" i="9"/>
  <c r="N131" i="9"/>
  <c r="J772" i="10" s="1"/>
  <c r="L772" i="10" s="1"/>
  <c r="M772" i="10" s="1"/>
  <c r="T119" i="9"/>
  <c r="H119" i="9"/>
  <c r="W95" i="9"/>
  <c r="N95" i="9"/>
  <c r="J556" i="10" s="1"/>
  <c r="L556" i="10" s="1"/>
  <c r="M556" i="10" s="1"/>
  <c r="T81" i="9"/>
  <c r="H81" i="9"/>
  <c r="W57" i="9"/>
  <c r="N57" i="9"/>
  <c r="J328" i="10" s="1"/>
  <c r="L328" i="10" s="1"/>
  <c r="M328" i="10" s="1"/>
  <c r="T45" i="9"/>
  <c r="H45" i="9"/>
  <c r="K21" i="9"/>
  <c r="L21" i="9" s="1"/>
  <c r="W21" i="9"/>
  <c r="N21" i="9"/>
  <c r="J112" i="10" s="1"/>
  <c r="L112" i="10" s="1"/>
  <c r="M112" i="10" s="1"/>
  <c r="T9" i="9"/>
  <c r="K9" i="9"/>
  <c r="L9" i="9" s="1"/>
  <c r="H9" i="9"/>
  <c r="T129" i="9"/>
  <c r="N129" i="9"/>
  <c r="J760" i="10" s="1"/>
  <c r="L760" i="10" s="1"/>
  <c r="M760" i="10" s="1"/>
  <c r="H129" i="9"/>
  <c r="H95" i="9"/>
  <c r="H39" i="9"/>
  <c r="K131" i="9"/>
  <c r="L131" i="9" s="1"/>
  <c r="K119" i="9"/>
  <c r="L119" i="9" s="1"/>
  <c r="K57" i="9"/>
  <c r="L57" i="9" s="1"/>
  <c r="K31" i="9"/>
  <c r="L31" i="9" s="1"/>
  <c r="N113" i="9"/>
  <c r="J664" i="10" s="1"/>
  <c r="L664" i="10" s="1"/>
  <c r="M664" i="10" s="1"/>
  <c r="N15" i="9"/>
  <c r="J76" i="10" s="1"/>
  <c r="L76" i="10" s="1"/>
  <c r="M76" i="10" s="1"/>
  <c r="T57" i="9"/>
  <c r="T15" i="9"/>
  <c r="W129" i="9"/>
  <c r="W111" i="9"/>
  <c r="W87" i="9"/>
  <c r="W69" i="9"/>
  <c r="W45" i="9"/>
  <c r="W27" i="9"/>
  <c r="W7" i="9"/>
  <c r="J31" i="10" s="1"/>
  <c r="L31" i="10" s="1"/>
  <c r="M31" i="10" s="1"/>
  <c r="D133" i="8"/>
  <c r="T128" i="9"/>
  <c r="H128" i="9"/>
  <c r="T122" i="9"/>
  <c r="W122" i="9"/>
  <c r="N122" i="9"/>
  <c r="J718" i="10" s="1"/>
  <c r="L718" i="10" s="1"/>
  <c r="M718" i="10" s="1"/>
  <c r="H122" i="9"/>
  <c r="K122" i="9"/>
  <c r="L122" i="9" s="1"/>
  <c r="T116" i="9"/>
  <c r="H116" i="9"/>
  <c r="N116" i="9"/>
  <c r="J682" i="10" s="1"/>
  <c r="L682" i="10" s="1"/>
  <c r="M682" i="10" s="1"/>
  <c r="T110" i="9"/>
  <c r="H110" i="9"/>
  <c r="W110" i="9"/>
  <c r="N110" i="9"/>
  <c r="J646" i="10" s="1"/>
  <c r="L646" i="10" s="1"/>
  <c r="M646" i="10" s="1"/>
  <c r="T104" i="9"/>
  <c r="W104" i="9"/>
  <c r="H104" i="9"/>
  <c r="K104" i="9"/>
  <c r="L104" i="9" s="1"/>
  <c r="T98" i="9"/>
  <c r="H98" i="9"/>
  <c r="W98" i="9"/>
  <c r="N98" i="9"/>
  <c r="J574" i="10" s="1"/>
  <c r="L574" i="10" s="1"/>
  <c r="M574" i="10" s="1"/>
  <c r="T92" i="9"/>
  <c r="H92" i="9"/>
  <c r="W92" i="9"/>
  <c r="T84" i="9"/>
  <c r="W84" i="9"/>
  <c r="N84" i="9"/>
  <c r="J490" i="10" s="1"/>
  <c r="L490" i="10" s="1"/>
  <c r="M490" i="10" s="1"/>
  <c r="H84" i="9"/>
  <c r="K84" i="9"/>
  <c r="L84" i="9" s="1"/>
  <c r="T78" i="9"/>
  <c r="H78" i="9"/>
  <c r="N78" i="9"/>
  <c r="J454" i="10" s="1"/>
  <c r="L454" i="10" s="1"/>
  <c r="M454" i="10" s="1"/>
  <c r="W78" i="9"/>
  <c r="K78" i="9"/>
  <c r="L78" i="9" s="1"/>
  <c r="T72" i="9"/>
  <c r="H72" i="9"/>
  <c r="N72" i="9"/>
  <c r="J418" i="10" s="1"/>
  <c r="L418" i="10" s="1"/>
  <c r="M418" i="10" s="1"/>
  <c r="T66" i="9"/>
  <c r="W66" i="9"/>
  <c r="H66" i="9"/>
  <c r="K66" i="9"/>
  <c r="L66" i="9" s="1"/>
  <c r="T60" i="9"/>
  <c r="H60" i="9"/>
  <c r="N60" i="9"/>
  <c r="J346" i="10" s="1"/>
  <c r="L346" i="10" s="1"/>
  <c r="M346" i="10" s="1"/>
  <c r="K60" i="9"/>
  <c r="L60" i="9" s="1"/>
  <c r="T54" i="9"/>
  <c r="H54" i="9"/>
  <c r="W54" i="9"/>
  <c r="T48" i="9"/>
  <c r="W48" i="9"/>
  <c r="N48" i="9"/>
  <c r="J274" i="10" s="1"/>
  <c r="L274" i="10" s="1"/>
  <c r="M274" i="10" s="1"/>
  <c r="H48" i="9"/>
  <c r="K48" i="9"/>
  <c r="L48" i="9" s="1"/>
  <c r="T42" i="9"/>
  <c r="H42" i="9"/>
  <c r="N42" i="9"/>
  <c r="J238" i="10" s="1"/>
  <c r="L238" i="10" s="1"/>
  <c r="M238" i="10" s="1"/>
  <c r="W42" i="9"/>
  <c r="K42" i="9"/>
  <c r="L42" i="9" s="1"/>
  <c r="T36" i="9"/>
  <c r="H36" i="9"/>
  <c r="W36" i="9"/>
  <c r="T30" i="9"/>
  <c r="W30" i="9"/>
  <c r="H30" i="9"/>
  <c r="K30" i="9"/>
  <c r="L30" i="9" s="1"/>
  <c r="T24" i="9"/>
  <c r="K24" i="9"/>
  <c r="L24" i="9" s="1"/>
  <c r="H24" i="9"/>
  <c r="W24" i="9"/>
  <c r="T18" i="9"/>
  <c r="K18" i="9"/>
  <c r="L18" i="9" s="1"/>
  <c r="H18" i="9"/>
  <c r="T12" i="9"/>
  <c r="K12" i="9"/>
  <c r="L12" i="9" s="1"/>
  <c r="W12" i="9"/>
  <c r="N12" i="9"/>
  <c r="J58" i="10" s="1"/>
  <c r="L58" i="10" s="1"/>
  <c r="M58" i="10" s="1"/>
  <c r="H12" i="9"/>
  <c r="T6" i="9"/>
  <c r="K6" i="9"/>
  <c r="L6" i="9" s="1"/>
  <c r="H6" i="9"/>
  <c r="N6" i="9"/>
  <c r="J22" i="10" s="1"/>
  <c r="L22" i="10" s="1"/>
  <c r="M22" i="10" s="1"/>
  <c r="H94" i="9"/>
  <c r="H80" i="9"/>
  <c r="H69" i="9"/>
  <c r="H38" i="9"/>
  <c r="H26" i="9"/>
  <c r="H15" i="9"/>
  <c r="K129" i="9"/>
  <c r="L129" i="9" s="1"/>
  <c r="K118" i="9"/>
  <c r="L118" i="9" s="1"/>
  <c r="K107" i="9"/>
  <c r="L107" i="9" s="1"/>
  <c r="K98" i="9"/>
  <c r="L98" i="9" s="1"/>
  <c r="K81" i="9"/>
  <c r="L81" i="9" s="1"/>
  <c r="K43" i="9"/>
  <c r="L43" i="9" s="1"/>
  <c r="K27" i="9"/>
  <c r="L27" i="9" s="1"/>
  <c r="N92" i="9"/>
  <c r="J538" i="10" s="1"/>
  <c r="L538" i="10" s="1"/>
  <c r="M538" i="10" s="1"/>
  <c r="N45" i="9"/>
  <c r="J256" i="10" s="1"/>
  <c r="L256" i="10" s="1"/>
  <c r="M256" i="10" s="1"/>
  <c r="N25" i="9"/>
  <c r="J136" i="10" s="1"/>
  <c r="L136" i="10" s="1"/>
  <c r="M136" i="10" s="1"/>
  <c r="T95" i="9"/>
  <c r="T75" i="9"/>
  <c r="J438" i="10" s="1"/>
  <c r="L438" i="10" s="1"/>
  <c r="M438" i="10" s="1"/>
  <c r="T51" i="9"/>
  <c r="W128" i="9"/>
  <c r="W86" i="9"/>
  <c r="W63" i="9"/>
  <c r="W44" i="9"/>
  <c r="W6" i="9"/>
  <c r="T123" i="9"/>
  <c r="W123" i="9"/>
  <c r="N123" i="9"/>
  <c r="J724" i="10" s="1"/>
  <c r="L724" i="10" s="1"/>
  <c r="M724" i="10" s="1"/>
  <c r="H123" i="9"/>
  <c r="T117" i="9"/>
  <c r="H117" i="9"/>
  <c r="T111" i="9"/>
  <c r="H111" i="9"/>
  <c r="T105" i="9"/>
  <c r="W105" i="9"/>
  <c r="H105" i="9"/>
  <c r="T99" i="9"/>
  <c r="H99" i="9"/>
  <c r="T93" i="9"/>
  <c r="N93" i="9"/>
  <c r="J544" i="10" s="1"/>
  <c r="L544" i="10" s="1"/>
  <c r="M544" i="10" s="1"/>
  <c r="H93" i="9"/>
  <c r="T85" i="9"/>
  <c r="W85" i="9"/>
  <c r="N85" i="9"/>
  <c r="J496" i="10" s="1"/>
  <c r="L496" i="10" s="1"/>
  <c r="M496" i="10" s="1"/>
  <c r="H85" i="9"/>
  <c r="T79" i="9"/>
  <c r="H79" i="9"/>
  <c r="T73" i="9"/>
  <c r="H73" i="9"/>
  <c r="T67" i="9"/>
  <c r="W67" i="9"/>
  <c r="H67" i="9"/>
  <c r="N117" i="9"/>
  <c r="J688" i="10" s="1"/>
  <c r="L688" i="10" s="1"/>
  <c r="M688" i="10" s="1"/>
  <c r="N105" i="9"/>
  <c r="J616" i="10" s="1"/>
  <c r="L616" i="10" s="1"/>
  <c r="M616" i="10" s="1"/>
  <c r="T61" i="9"/>
  <c r="T55" i="9"/>
  <c r="T49" i="9"/>
  <c r="T43" i="9"/>
  <c r="T37" i="9"/>
  <c r="T31" i="9"/>
  <c r="T25" i="9"/>
  <c r="T19" i="9"/>
  <c r="T13" i="9"/>
  <c r="T7" i="9"/>
  <c r="J30" i="10" s="1"/>
  <c r="L30" i="10" s="1"/>
  <c r="M30" i="10" s="1"/>
  <c r="H61" i="9"/>
  <c r="H55" i="9"/>
  <c r="H49" i="9"/>
  <c r="H43" i="9"/>
  <c r="H37" i="9"/>
  <c r="H31" i="9"/>
  <c r="H25" i="9"/>
  <c r="H19" i="9"/>
  <c r="H13" i="9"/>
  <c r="H7" i="9"/>
  <c r="N49" i="9"/>
  <c r="J280" i="10" s="1"/>
  <c r="L280" i="10" s="1"/>
  <c r="M280" i="10" s="1"/>
  <c r="N13" i="9"/>
  <c r="J64" i="10" s="1"/>
  <c r="L64" i="10" s="1"/>
  <c r="M64" i="10" s="1"/>
  <c r="W49" i="9"/>
  <c r="W31" i="9"/>
  <c r="W13" i="9"/>
  <c r="K7" i="9"/>
  <c r="L7" i="9" s="1"/>
  <c r="N55" i="9"/>
  <c r="J316" i="10" s="1"/>
  <c r="L316" i="10" s="1"/>
  <c r="M316" i="10" s="1"/>
  <c r="N19" i="9"/>
  <c r="J100" i="10" s="1"/>
  <c r="L100" i="10" s="1"/>
  <c r="M100" i="10" s="1"/>
  <c r="J134" i="9"/>
  <c r="D134" i="9"/>
  <c r="E136" i="9"/>
  <c r="E137" i="9"/>
  <c r="E134" i="9"/>
  <c r="C137" i="9"/>
  <c r="C134" i="9"/>
  <c r="D137" i="9"/>
  <c r="D136" i="9"/>
  <c r="C136" i="9"/>
  <c r="M138" i="2"/>
  <c r="G138" i="2"/>
  <c r="I138" i="2"/>
  <c r="J135" i="8"/>
  <c r="I136" i="6"/>
  <c r="D136" i="8"/>
  <c r="F133" i="3"/>
  <c r="J136" i="8"/>
  <c r="F136" i="3"/>
  <c r="E138" i="3"/>
  <c r="L138" i="4"/>
  <c r="D135" i="8"/>
  <c r="E133" i="8"/>
  <c r="E135" i="8"/>
  <c r="F135" i="3"/>
  <c r="E138" i="5"/>
  <c r="I138" i="6"/>
  <c r="N138" i="7"/>
  <c r="N138" i="2"/>
  <c r="N138" i="4"/>
  <c r="G138" i="7"/>
  <c r="J138" i="7"/>
  <c r="I138" i="5"/>
  <c r="F138" i="2"/>
  <c r="I138" i="4"/>
  <c r="H138" i="8"/>
  <c r="J133" i="8"/>
  <c r="I138" i="7"/>
  <c r="V138" i="2"/>
  <c r="P135" i="2"/>
  <c r="F13" i="1" s="1"/>
  <c r="L139" i="6"/>
  <c r="C138" i="3"/>
  <c r="K130" i="8"/>
  <c r="L130" i="8" s="1"/>
  <c r="K122" i="8"/>
  <c r="L122" i="8" s="1"/>
  <c r="K126" i="8"/>
  <c r="L126" i="8" s="1"/>
  <c r="K129" i="8"/>
  <c r="L129" i="8" s="1"/>
  <c r="K114" i="8"/>
  <c r="L114" i="8" s="1"/>
  <c r="K118" i="8"/>
  <c r="L118" i="8" s="1"/>
  <c r="K98" i="8"/>
  <c r="L98" i="8" s="1"/>
  <c r="K102" i="8"/>
  <c r="L102" i="8" s="1"/>
  <c r="K106" i="8"/>
  <c r="L106" i="8" s="1"/>
  <c r="K110" i="8"/>
  <c r="L110" i="8" s="1"/>
  <c r="K8" i="8"/>
  <c r="L8" i="8" s="1"/>
  <c r="K28" i="8"/>
  <c r="L28" i="8" s="1"/>
  <c r="K44" i="8"/>
  <c r="L44" i="8" s="1"/>
  <c r="K64" i="8"/>
  <c r="L64" i="8" s="1"/>
  <c r="K90" i="8"/>
  <c r="L90" i="8" s="1"/>
  <c r="K12" i="8"/>
  <c r="L12" i="8" s="1"/>
  <c r="K24" i="8"/>
  <c r="L24" i="8" s="1"/>
  <c r="K40" i="8"/>
  <c r="L40" i="8" s="1"/>
  <c r="K56" i="8"/>
  <c r="L56" i="8" s="1"/>
  <c r="K72" i="8"/>
  <c r="L72" i="8" s="1"/>
  <c r="K84" i="8"/>
  <c r="L84" i="8" s="1"/>
  <c r="K3" i="8"/>
  <c r="K7" i="8"/>
  <c r="L7" i="8" s="1"/>
  <c r="K11" i="8"/>
  <c r="L11" i="8" s="1"/>
  <c r="K15" i="8"/>
  <c r="L15" i="8" s="1"/>
  <c r="K19" i="8"/>
  <c r="L19" i="8" s="1"/>
  <c r="K23" i="8"/>
  <c r="L23" i="8" s="1"/>
  <c r="K27" i="8"/>
  <c r="L27" i="8" s="1"/>
  <c r="K31" i="8"/>
  <c r="L31" i="8" s="1"/>
  <c r="K35" i="8"/>
  <c r="L35" i="8" s="1"/>
  <c r="K39" i="8"/>
  <c r="L39" i="8" s="1"/>
  <c r="K43" i="8"/>
  <c r="L43" i="8" s="1"/>
  <c r="K47" i="8"/>
  <c r="L47" i="8" s="1"/>
  <c r="K51" i="8"/>
  <c r="L51" i="8" s="1"/>
  <c r="K55" i="8"/>
  <c r="L55" i="8" s="1"/>
  <c r="K59" i="8"/>
  <c r="L59" i="8" s="1"/>
  <c r="K63" i="8"/>
  <c r="L63" i="8" s="1"/>
  <c r="K67" i="8"/>
  <c r="L67" i="8" s="1"/>
  <c r="K71" i="8"/>
  <c r="K75" i="8"/>
  <c r="L75" i="8" s="1"/>
  <c r="K79" i="8"/>
  <c r="L79" i="8" s="1"/>
  <c r="K83" i="8"/>
  <c r="L83" i="8" s="1"/>
  <c r="K89" i="8"/>
  <c r="L89" i="8" s="1"/>
  <c r="K93" i="8"/>
  <c r="L93" i="8" s="1"/>
  <c r="K97" i="8"/>
  <c r="L97" i="8" s="1"/>
  <c r="K101" i="8"/>
  <c r="L101" i="8" s="1"/>
  <c r="K105" i="8"/>
  <c r="L105" i="8" s="1"/>
  <c r="K109" i="8"/>
  <c r="L109" i="8" s="1"/>
  <c r="K113" i="8"/>
  <c r="L113" i="8" s="1"/>
  <c r="K117" i="8"/>
  <c r="L117" i="8" s="1"/>
  <c r="K121" i="8"/>
  <c r="L121" i="8" s="1"/>
  <c r="K125" i="8"/>
  <c r="L125" i="8" s="1"/>
  <c r="K2" i="8"/>
  <c r="K6" i="8"/>
  <c r="L6" i="8" s="1"/>
  <c r="K10" i="8"/>
  <c r="L10" i="8" s="1"/>
  <c r="K14" i="8"/>
  <c r="L14" i="8" s="1"/>
  <c r="K18" i="8"/>
  <c r="L18" i="8" s="1"/>
  <c r="K22" i="8"/>
  <c r="L22" i="8" s="1"/>
  <c r="K26" i="8"/>
  <c r="L26" i="8" s="1"/>
  <c r="K30" i="8"/>
  <c r="L30" i="8" s="1"/>
  <c r="K34" i="8"/>
  <c r="L34" i="8" s="1"/>
  <c r="K38" i="8"/>
  <c r="L38" i="8" s="1"/>
  <c r="K42" i="8"/>
  <c r="L42" i="8" s="1"/>
  <c r="K46" i="8"/>
  <c r="L46" i="8" s="1"/>
  <c r="K50" i="8"/>
  <c r="L50" i="8" s="1"/>
  <c r="K54" i="8"/>
  <c r="L54" i="8" s="1"/>
  <c r="K58" i="8"/>
  <c r="L58" i="8" s="1"/>
  <c r="K62" i="8"/>
  <c r="L62" i="8" s="1"/>
  <c r="K66" i="8"/>
  <c r="L66" i="8" s="1"/>
  <c r="K74" i="8"/>
  <c r="L74" i="8" s="1"/>
  <c r="K78" i="8"/>
  <c r="L78" i="8" s="1"/>
  <c r="K82" i="8"/>
  <c r="L82" i="8" s="1"/>
  <c r="K86" i="8"/>
  <c r="L86" i="8" s="1"/>
  <c r="K92" i="8"/>
  <c r="L92" i="8" s="1"/>
  <c r="K96" i="8"/>
  <c r="L96" i="8" s="1"/>
  <c r="K100" i="8"/>
  <c r="L100" i="8" s="1"/>
  <c r="K104" i="8"/>
  <c r="L104" i="8" s="1"/>
  <c r="K108" i="8"/>
  <c r="L108" i="8" s="1"/>
  <c r="K112" i="8"/>
  <c r="L112" i="8" s="1"/>
  <c r="K116" i="8"/>
  <c r="L116" i="8" s="1"/>
  <c r="K120" i="8"/>
  <c r="L120" i="8" s="1"/>
  <c r="K124" i="8"/>
  <c r="L124" i="8" s="1"/>
  <c r="K128" i="8"/>
  <c r="L128" i="8" s="1"/>
  <c r="K5" i="8"/>
  <c r="L5" i="8" s="1"/>
  <c r="K9" i="8"/>
  <c r="L9" i="8" s="1"/>
  <c r="K13" i="8"/>
  <c r="L13" i="8" s="1"/>
  <c r="K17" i="8"/>
  <c r="L17" i="8" s="1"/>
  <c r="K21" i="8"/>
  <c r="L21" i="8" s="1"/>
  <c r="K25" i="8"/>
  <c r="L25" i="8" s="1"/>
  <c r="K29" i="8"/>
  <c r="L29" i="8" s="1"/>
  <c r="K33" i="8"/>
  <c r="L33" i="8" s="1"/>
  <c r="K37" i="8"/>
  <c r="L37" i="8" s="1"/>
  <c r="K41" i="8"/>
  <c r="L41" i="8" s="1"/>
  <c r="K45" i="8"/>
  <c r="L45" i="8" s="1"/>
  <c r="K49" i="8"/>
  <c r="L49" i="8" s="1"/>
  <c r="K53" i="8"/>
  <c r="L53" i="8" s="1"/>
  <c r="K57" i="8"/>
  <c r="L57" i="8" s="1"/>
  <c r="K61" i="8"/>
  <c r="L61" i="8" s="1"/>
  <c r="K65" i="8"/>
  <c r="L65" i="8" s="1"/>
  <c r="K69" i="8"/>
  <c r="L69" i="8" s="1"/>
  <c r="K73" i="8"/>
  <c r="L73" i="8" s="1"/>
  <c r="K77" i="8"/>
  <c r="L77" i="8" s="1"/>
  <c r="K81" i="8"/>
  <c r="L81" i="8" s="1"/>
  <c r="K85" i="8"/>
  <c r="L85" i="8" s="1"/>
  <c r="K91" i="8"/>
  <c r="L91" i="8" s="1"/>
  <c r="K95" i="8"/>
  <c r="L95" i="8" s="1"/>
  <c r="K99" i="8"/>
  <c r="L99" i="8" s="1"/>
  <c r="K103" i="8"/>
  <c r="L103" i="8" s="1"/>
  <c r="K107" i="8"/>
  <c r="K111" i="8"/>
  <c r="L111" i="8" s="1"/>
  <c r="K115" i="8"/>
  <c r="L115" i="8" s="1"/>
  <c r="K119" i="8"/>
  <c r="L119" i="8" s="1"/>
  <c r="K123" i="8"/>
  <c r="L123" i="8" s="1"/>
  <c r="K127" i="8"/>
  <c r="L127" i="8" s="1"/>
  <c r="K131" i="8"/>
  <c r="L131" i="8" s="1"/>
  <c r="K4" i="8"/>
  <c r="L4" i="8" s="1"/>
  <c r="K20" i="8"/>
  <c r="L20" i="8" s="1"/>
  <c r="K32" i="8"/>
  <c r="L32" i="8" s="1"/>
  <c r="K48" i="8"/>
  <c r="L48" i="8" s="1"/>
  <c r="K60" i="8"/>
  <c r="L60" i="8" s="1"/>
  <c r="K76" i="8"/>
  <c r="L76" i="8" s="1"/>
  <c r="K94" i="8"/>
  <c r="L94" i="8" s="1"/>
  <c r="K16" i="8"/>
  <c r="L16" i="8" s="1"/>
  <c r="K36" i="8"/>
  <c r="L36" i="8" s="1"/>
  <c r="K52" i="8"/>
  <c r="L52" i="8" s="1"/>
  <c r="K68" i="8"/>
  <c r="L68" i="8" s="1"/>
  <c r="K80" i="8"/>
  <c r="L80" i="8" s="1"/>
  <c r="K70" i="8"/>
  <c r="K137" i="8" s="1"/>
  <c r="C136" i="8"/>
  <c r="C133" i="8"/>
  <c r="C135" i="8"/>
  <c r="J387" i="10" l="1"/>
  <c r="L387" i="10" s="1"/>
  <c r="M387" i="10" s="1"/>
  <c r="J386" i="10"/>
  <c r="L386" i="10" s="1"/>
  <c r="M386" i="10" s="1"/>
  <c r="U79" i="9"/>
  <c r="J462" i="10"/>
  <c r="L462" i="10" s="1"/>
  <c r="M462" i="10" s="1"/>
  <c r="U105" i="9"/>
  <c r="J618" i="10"/>
  <c r="L618" i="10" s="1"/>
  <c r="M618" i="10" s="1"/>
  <c r="J627" i="10"/>
  <c r="L627" i="10" s="1"/>
  <c r="M627" i="10" s="1"/>
  <c r="J626" i="10"/>
  <c r="L626" i="10" s="1"/>
  <c r="M626" i="10" s="1"/>
  <c r="U130" i="9"/>
  <c r="J768" i="10"/>
  <c r="L768" i="10" s="1"/>
  <c r="M768" i="10" s="1"/>
  <c r="J567" i="10"/>
  <c r="L567" i="10" s="1"/>
  <c r="M567" i="10" s="1"/>
  <c r="J566" i="10"/>
  <c r="L566" i="10" s="1"/>
  <c r="M566" i="10" s="1"/>
  <c r="U103" i="9"/>
  <c r="J606" i="10"/>
  <c r="L606" i="10" s="1"/>
  <c r="M606" i="10" s="1"/>
  <c r="X120" i="9"/>
  <c r="J709" i="10"/>
  <c r="L709" i="10" s="1"/>
  <c r="M709" i="10" s="1"/>
  <c r="U5" i="9"/>
  <c r="J18" i="10"/>
  <c r="L18" i="10" s="1"/>
  <c r="M18" i="10" s="1"/>
  <c r="J507" i="10"/>
  <c r="L507" i="10" s="1"/>
  <c r="M507" i="10" s="1"/>
  <c r="J506" i="10"/>
  <c r="L506" i="10" s="1"/>
  <c r="M506" i="10" s="1"/>
  <c r="U13" i="9"/>
  <c r="J66" i="10"/>
  <c r="L66" i="10" s="1"/>
  <c r="M66" i="10" s="1"/>
  <c r="J651" i="10"/>
  <c r="L651" i="10" s="1"/>
  <c r="M651" i="10" s="1"/>
  <c r="J650" i="10"/>
  <c r="L650" i="10" s="1"/>
  <c r="M650" i="10" s="1"/>
  <c r="U29" i="9"/>
  <c r="J162" i="10"/>
  <c r="L162" i="10" s="1"/>
  <c r="M162" i="10" s="1"/>
  <c r="X83" i="9"/>
  <c r="J487" i="10"/>
  <c r="L487" i="10" s="1"/>
  <c r="M487" i="10" s="1"/>
  <c r="U109" i="9"/>
  <c r="J642" i="10"/>
  <c r="L642" i="10" s="1"/>
  <c r="M642" i="10" s="1"/>
  <c r="X115" i="9"/>
  <c r="J679" i="10"/>
  <c r="L679" i="10" s="1"/>
  <c r="M679" i="10" s="1"/>
  <c r="X3" i="9"/>
  <c r="J7" i="10"/>
  <c r="L7" i="10" s="1"/>
  <c r="M7" i="10" s="1"/>
  <c r="U4" i="9"/>
  <c r="J12" i="10"/>
  <c r="L12" i="10" s="1"/>
  <c r="M12" i="10" s="1"/>
  <c r="J81" i="10"/>
  <c r="L81" i="10" s="1"/>
  <c r="M81" i="10" s="1"/>
  <c r="J80" i="10"/>
  <c r="L80" i="10" s="1"/>
  <c r="M80" i="10" s="1"/>
  <c r="U40" i="9"/>
  <c r="J228" i="10"/>
  <c r="L228" i="10" s="1"/>
  <c r="M228" i="10" s="1"/>
  <c r="J477" i="10"/>
  <c r="L477" i="10" s="1"/>
  <c r="M477" i="10" s="1"/>
  <c r="J476" i="10"/>
  <c r="L476" i="10" s="1"/>
  <c r="M476" i="10" s="1"/>
  <c r="X101" i="9"/>
  <c r="J595" i="10"/>
  <c r="L595" i="10" s="1"/>
  <c r="M595" i="10" s="1"/>
  <c r="X60" i="9"/>
  <c r="J349" i="10"/>
  <c r="L349" i="10" s="1"/>
  <c r="M349" i="10" s="1"/>
  <c r="X9" i="9"/>
  <c r="J43" i="10"/>
  <c r="L43" i="10" s="1"/>
  <c r="M43" i="10" s="1"/>
  <c r="U88" i="9"/>
  <c r="J516" i="10"/>
  <c r="L516" i="10" s="1"/>
  <c r="M516" i="10" s="1"/>
  <c r="J27" i="10"/>
  <c r="L27" i="10" s="1"/>
  <c r="M27" i="10" s="1"/>
  <c r="J26" i="10"/>
  <c r="L26" i="10" s="1"/>
  <c r="M26" i="10" s="1"/>
  <c r="X129" i="9"/>
  <c r="J763" i="10"/>
  <c r="L763" i="10" s="1"/>
  <c r="M763" i="10" s="1"/>
  <c r="U80" i="9"/>
  <c r="J468" i="10"/>
  <c r="L468" i="10" s="1"/>
  <c r="M468" i="10" s="1"/>
  <c r="X94" i="9"/>
  <c r="J553" i="10"/>
  <c r="L553" i="10" s="1"/>
  <c r="M553" i="10" s="1"/>
  <c r="X130" i="9"/>
  <c r="J769" i="10"/>
  <c r="L769" i="10" s="1"/>
  <c r="M769" i="10" s="1"/>
  <c r="X99" i="9"/>
  <c r="J583" i="10"/>
  <c r="L583" i="10" s="1"/>
  <c r="M583" i="10" s="1"/>
  <c r="J435" i="10"/>
  <c r="L435" i="10" s="1"/>
  <c r="M435" i="10" s="1"/>
  <c r="J434" i="10"/>
  <c r="L434" i="10" s="1"/>
  <c r="M434" i="10" s="1"/>
  <c r="X39" i="9"/>
  <c r="J223" i="10"/>
  <c r="L223" i="10" s="1"/>
  <c r="M223" i="10" s="1"/>
  <c r="X75" i="9"/>
  <c r="J439" i="10"/>
  <c r="L439" i="10" s="1"/>
  <c r="M439" i="10" s="1"/>
  <c r="J15" i="10"/>
  <c r="L15" i="10" s="1"/>
  <c r="M15" i="10" s="1"/>
  <c r="J14" i="10"/>
  <c r="L14" i="10" s="1"/>
  <c r="M14" i="10" s="1"/>
  <c r="X11" i="9"/>
  <c r="J55" i="10"/>
  <c r="L55" i="10" s="1"/>
  <c r="M55" i="10" s="1"/>
  <c r="J195" i="10"/>
  <c r="L195" i="10" s="1"/>
  <c r="M195" i="10" s="1"/>
  <c r="J194" i="10"/>
  <c r="L194" i="10" s="1"/>
  <c r="M194" i="10" s="1"/>
  <c r="X53" i="9"/>
  <c r="J307" i="10"/>
  <c r="L307" i="10" s="1"/>
  <c r="M307" i="10" s="1"/>
  <c r="X77" i="9"/>
  <c r="J451" i="10"/>
  <c r="L451" i="10" s="1"/>
  <c r="M451" i="10" s="1"/>
  <c r="J531" i="10"/>
  <c r="L531" i="10" s="1"/>
  <c r="M531" i="10" s="1"/>
  <c r="J530" i="10"/>
  <c r="L530" i="10" s="1"/>
  <c r="M530" i="10" s="1"/>
  <c r="U97" i="9"/>
  <c r="J570" i="10"/>
  <c r="L570" i="10" s="1"/>
  <c r="M570" i="10" s="1"/>
  <c r="X109" i="9"/>
  <c r="J643" i="10"/>
  <c r="L643" i="10" s="1"/>
  <c r="M643" i="10" s="1"/>
  <c r="U121" i="9"/>
  <c r="J714" i="10"/>
  <c r="L714" i="10" s="1"/>
  <c r="M714" i="10" s="1"/>
  <c r="U127" i="9"/>
  <c r="J750" i="10"/>
  <c r="L750" i="10" s="1"/>
  <c r="M750" i="10" s="1"/>
  <c r="J777" i="10"/>
  <c r="L777" i="10" s="1"/>
  <c r="M777" i="10" s="1"/>
  <c r="J776" i="10"/>
  <c r="L776" i="10" s="1"/>
  <c r="M776" i="10" s="1"/>
  <c r="X4" i="9"/>
  <c r="J13" i="10"/>
  <c r="L13" i="10" s="1"/>
  <c r="M13" i="10" s="1"/>
  <c r="X22" i="9"/>
  <c r="J121" i="10"/>
  <c r="L121" i="10" s="1"/>
  <c r="M121" i="10" s="1"/>
  <c r="J297" i="10"/>
  <c r="L297" i="10" s="1"/>
  <c r="M297" i="10" s="1"/>
  <c r="J296" i="10"/>
  <c r="L296" i="10" s="1"/>
  <c r="M296" i="10" s="1"/>
  <c r="U58" i="9"/>
  <c r="J336" i="10"/>
  <c r="L336" i="10" s="1"/>
  <c r="M336" i="10" s="1"/>
  <c r="X70" i="9"/>
  <c r="J409" i="10"/>
  <c r="L409" i="10" s="1"/>
  <c r="M409" i="10" s="1"/>
  <c r="X108" i="9"/>
  <c r="J637" i="10"/>
  <c r="L637" i="10" s="1"/>
  <c r="M637" i="10" s="1"/>
  <c r="J705" i="10"/>
  <c r="L705" i="10" s="1"/>
  <c r="M705" i="10" s="1"/>
  <c r="J704" i="10"/>
  <c r="L704" i="10" s="1"/>
  <c r="M704" i="10" s="1"/>
  <c r="X132" i="9"/>
  <c r="J781" i="10"/>
  <c r="L781" i="10" s="1"/>
  <c r="M781" i="10" s="1"/>
  <c r="J771" i="10"/>
  <c r="L771" i="10" s="1"/>
  <c r="M771" i="10" s="1"/>
  <c r="J770" i="10"/>
  <c r="L770" i="10" s="1"/>
  <c r="M770" i="10" s="1"/>
  <c r="J177" i="10"/>
  <c r="L177" i="10" s="1"/>
  <c r="M177" i="10" s="1"/>
  <c r="J176" i="10"/>
  <c r="L176" i="10" s="1"/>
  <c r="M176" i="10" s="1"/>
  <c r="J392" i="10"/>
  <c r="L392" i="10" s="1"/>
  <c r="M392" i="10" s="1"/>
  <c r="J393" i="10"/>
  <c r="L393" i="10" s="1"/>
  <c r="M393" i="10" s="1"/>
  <c r="U10" i="9"/>
  <c r="J48" i="10"/>
  <c r="L48" i="10" s="1"/>
  <c r="M48" i="10" s="1"/>
  <c r="U113" i="9"/>
  <c r="J666" i="10"/>
  <c r="L666" i="10" s="1"/>
  <c r="M666" i="10" s="1"/>
  <c r="X37" i="9"/>
  <c r="J211" i="10"/>
  <c r="L211" i="10" s="1"/>
  <c r="M211" i="10" s="1"/>
  <c r="U65" i="9"/>
  <c r="J378" i="10"/>
  <c r="L378" i="10" s="1"/>
  <c r="M378" i="10" s="1"/>
  <c r="X25" i="9"/>
  <c r="J139" i="10"/>
  <c r="L139" i="10" s="1"/>
  <c r="M139" i="10" s="1"/>
  <c r="U21" i="9"/>
  <c r="J114" i="10"/>
  <c r="L114" i="10" s="1"/>
  <c r="M114" i="10" s="1"/>
  <c r="X90" i="9"/>
  <c r="J529" i="10"/>
  <c r="L529" i="10" s="1"/>
  <c r="M529" i="10" s="1"/>
  <c r="I87" i="9"/>
  <c r="J525" i="10"/>
  <c r="L525" i="10" s="1"/>
  <c r="M525" i="10" s="1"/>
  <c r="J524" i="10"/>
  <c r="L524" i="10" s="1"/>
  <c r="M524" i="10" s="1"/>
  <c r="J555" i="10"/>
  <c r="L555" i="10" s="1"/>
  <c r="M555" i="10" s="1"/>
  <c r="J554" i="10"/>
  <c r="L554" i="10" s="1"/>
  <c r="M554" i="10" s="1"/>
  <c r="U9" i="9"/>
  <c r="J42" i="10"/>
  <c r="L42" i="10" s="1"/>
  <c r="M42" i="10" s="1"/>
  <c r="X106" i="9"/>
  <c r="J625" i="10"/>
  <c r="L625" i="10" s="1"/>
  <c r="M625" i="10" s="1"/>
  <c r="X118" i="9"/>
  <c r="J697" i="10"/>
  <c r="L697" i="10" s="1"/>
  <c r="M697" i="10" s="1"/>
  <c r="X55" i="9"/>
  <c r="J319" i="10"/>
  <c r="L319" i="10" s="1"/>
  <c r="M319" i="10" s="1"/>
  <c r="X113" i="9"/>
  <c r="J667" i="10"/>
  <c r="L667" i="10" s="1"/>
  <c r="M667" i="10" s="1"/>
  <c r="U11" i="9"/>
  <c r="J54" i="10"/>
  <c r="L54" i="10" s="1"/>
  <c r="M54" i="10" s="1"/>
  <c r="X35" i="9"/>
  <c r="J199" i="10"/>
  <c r="L199" i="10" s="1"/>
  <c r="M199" i="10" s="1"/>
  <c r="U102" i="9"/>
  <c r="J600" i="10"/>
  <c r="L600" i="10" s="1"/>
  <c r="M600" i="10" s="1"/>
  <c r="J585" i="10"/>
  <c r="L585" i="10" s="1"/>
  <c r="M585" i="10" s="1"/>
  <c r="J584" i="10"/>
  <c r="L584" i="10" s="1"/>
  <c r="M584" i="10" s="1"/>
  <c r="X81" i="9"/>
  <c r="J475" i="10"/>
  <c r="L475" i="10" s="1"/>
  <c r="M475" i="10" s="1"/>
  <c r="X61" i="9"/>
  <c r="J355" i="10"/>
  <c r="L355" i="10" s="1"/>
  <c r="M355" i="10" s="1"/>
  <c r="X119" i="9"/>
  <c r="J703" i="10"/>
  <c r="L703" i="10" s="1"/>
  <c r="M703" i="10" s="1"/>
  <c r="J465" i="10"/>
  <c r="L465" i="10" s="1"/>
  <c r="M465" i="10" s="1"/>
  <c r="J464" i="10"/>
  <c r="L464" i="10" s="1"/>
  <c r="M464" i="10" s="1"/>
  <c r="U36" i="9"/>
  <c r="J204" i="10"/>
  <c r="L204" i="10" s="1"/>
  <c r="M204" i="10" s="1"/>
  <c r="U72" i="9"/>
  <c r="J420" i="10"/>
  <c r="L420" i="10" s="1"/>
  <c r="M420" i="10" s="1"/>
  <c r="J537" i="10"/>
  <c r="L537" i="10" s="1"/>
  <c r="M537" i="10" s="1"/>
  <c r="J536" i="10"/>
  <c r="L536" i="10" s="1"/>
  <c r="M536" i="10" s="1"/>
  <c r="J645" i="10"/>
  <c r="L645" i="10" s="1"/>
  <c r="M645" i="10" s="1"/>
  <c r="J644" i="10"/>
  <c r="L644" i="10" s="1"/>
  <c r="M644" i="10" s="1"/>
  <c r="J717" i="10"/>
  <c r="L717" i="10" s="1"/>
  <c r="M717" i="10" s="1"/>
  <c r="J716" i="10"/>
  <c r="L716" i="10" s="1"/>
  <c r="M716" i="10" s="1"/>
  <c r="U119" i="9"/>
  <c r="J702" i="10"/>
  <c r="L702" i="10" s="1"/>
  <c r="M702" i="10" s="1"/>
  <c r="J603" i="10"/>
  <c r="L603" i="10" s="1"/>
  <c r="M603" i="10" s="1"/>
  <c r="J602" i="10"/>
  <c r="L602" i="10" s="1"/>
  <c r="M602" i="10" s="1"/>
  <c r="X28" i="9"/>
  <c r="J157" i="10"/>
  <c r="L157" i="10" s="1"/>
  <c r="M157" i="10" s="1"/>
  <c r="X46" i="9"/>
  <c r="J265" i="10"/>
  <c r="L265" i="10" s="1"/>
  <c r="M265" i="10" s="1"/>
  <c r="J332" i="10"/>
  <c r="L332" i="10" s="1"/>
  <c r="M332" i="10" s="1"/>
  <c r="J333" i="10"/>
  <c r="L333" i="10" s="1"/>
  <c r="M333" i="10" s="1"/>
  <c r="U70" i="9"/>
  <c r="J408" i="10"/>
  <c r="L408" i="10" s="1"/>
  <c r="M408" i="10" s="1"/>
  <c r="U108" i="9"/>
  <c r="J636" i="10"/>
  <c r="L636" i="10" s="1"/>
  <c r="M636" i="10" s="1"/>
  <c r="X116" i="9"/>
  <c r="J685" i="10"/>
  <c r="L685" i="10" s="1"/>
  <c r="M685" i="10" s="1"/>
  <c r="J327" i="10"/>
  <c r="L327" i="10" s="1"/>
  <c r="M327" i="10" s="1"/>
  <c r="J326" i="10"/>
  <c r="L326" i="10" s="1"/>
  <c r="M326" i="10" s="1"/>
  <c r="U111" i="9"/>
  <c r="J654" i="10"/>
  <c r="L654" i="10" s="1"/>
  <c r="M654" i="10" s="1"/>
  <c r="J549" i="10"/>
  <c r="L549" i="10" s="1"/>
  <c r="M549" i="10" s="1"/>
  <c r="J548" i="10"/>
  <c r="L548" i="10" s="1"/>
  <c r="M548" i="10" s="1"/>
  <c r="J165" i="10"/>
  <c r="L165" i="10" s="1"/>
  <c r="M165" i="10" s="1"/>
  <c r="J164" i="10"/>
  <c r="L164" i="10" s="1"/>
  <c r="M164" i="10" s="1"/>
  <c r="U54" i="9"/>
  <c r="J312" i="10"/>
  <c r="L312" i="10" s="1"/>
  <c r="M312" i="10" s="1"/>
  <c r="J380" i="10"/>
  <c r="L380" i="10" s="1"/>
  <c r="M380" i="10" s="1"/>
  <c r="J381" i="10"/>
  <c r="L381" i="10" s="1"/>
  <c r="M381" i="10" s="1"/>
  <c r="J489" i="10"/>
  <c r="L489" i="10" s="1"/>
  <c r="M489" i="10" s="1"/>
  <c r="J488" i="10"/>
  <c r="L488" i="10" s="1"/>
  <c r="M488" i="10" s="1"/>
  <c r="U110" i="9"/>
  <c r="J648" i="10"/>
  <c r="L648" i="10" s="1"/>
  <c r="M648" i="10" s="1"/>
  <c r="X21" i="9"/>
  <c r="J115" i="10"/>
  <c r="L115" i="10" s="1"/>
  <c r="M115" i="10" s="1"/>
  <c r="J471" i="10"/>
  <c r="L471" i="10" s="1"/>
  <c r="M471" i="10" s="1"/>
  <c r="J470" i="10"/>
  <c r="L470" i="10" s="1"/>
  <c r="M470" i="10" s="1"/>
  <c r="J105" i="10"/>
  <c r="L105" i="10" s="1"/>
  <c r="M105" i="10" s="1"/>
  <c r="J104" i="10"/>
  <c r="L104" i="10" s="1"/>
  <c r="M104" i="10" s="1"/>
  <c r="J765" i="10"/>
  <c r="L765" i="10" s="1"/>
  <c r="M765" i="10" s="1"/>
  <c r="J764" i="10"/>
  <c r="L764" i="10" s="1"/>
  <c r="M764" i="10" s="1"/>
  <c r="U14" i="9"/>
  <c r="J72" i="10"/>
  <c r="L72" i="10" s="1"/>
  <c r="M72" i="10" s="1"/>
  <c r="X26" i="9"/>
  <c r="J145" i="10"/>
  <c r="L145" i="10" s="1"/>
  <c r="M145" i="10" s="1"/>
  <c r="X50" i="9"/>
  <c r="J289" i="10"/>
  <c r="L289" i="10" s="1"/>
  <c r="M289" i="10" s="1"/>
  <c r="X62" i="9"/>
  <c r="J361" i="10"/>
  <c r="L361" i="10" s="1"/>
  <c r="M361" i="10" s="1"/>
  <c r="X13" i="9"/>
  <c r="J67" i="10"/>
  <c r="L67" i="10" s="1"/>
  <c r="M67" i="10" s="1"/>
  <c r="J62" i="10"/>
  <c r="L62" i="10" s="1"/>
  <c r="M62" i="10" s="1"/>
  <c r="J63" i="10"/>
  <c r="L63" i="10" s="1"/>
  <c r="M63" i="10" s="1"/>
  <c r="J279" i="10"/>
  <c r="L279" i="10" s="1"/>
  <c r="M279" i="10" s="1"/>
  <c r="J278" i="10"/>
  <c r="L278" i="10" s="1"/>
  <c r="M278" i="10" s="1"/>
  <c r="U25" i="9"/>
  <c r="J138" i="10"/>
  <c r="L138" i="10" s="1"/>
  <c r="M138" i="10" s="1"/>
  <c r="U61" i="9"/>
  <c r="J354" i="10"/>
  <c r="L354" i="10" s="1"/>
  <c r="M354" i="10" s="1"/>
  <c r="J423" i="10"/>
  <c r="L423" i="10" s="1"/>
  <c r="M423" i="10" s="1"/>
  <c r="J422" i="10"/>
  <c r="L422" i="10" s="1"/>
  <c r="M422" i="10" s="1"/>
  <c r="X85" i="9"/>
  <c r="J499" i="10"/>
  <c r="L499" i="10" s="1"/>
  <c r="M499" i="10" s="1"/>
  <c r="U99" i="9"/>
  <c r="J582" i="10"/>
  <c r="L582" i="10" s="1"/>
  <c r="M582" i="10" s="1"/>
  <c r="J687" i="10"/>
  <c r="L687" i="10" s="1"/>
  <c r="M687" i="10" s="1"/>
  <c r="J686" i="10"/>
  <c r="L686" i="10" s="1"/>
  <c r="M686" i="10" s="1"/>
  <c r="X6" i="9"/>
  <c r="J25" i="10"/>
  <c r="L25" i="10" s="1"/>
  <c r="M25" i="10" s="1"/>
  <c r="J75" i="10"/>
  <c r="L75" i="10" s="1"/>
  <c r="M75" i="10" s="1"/>
  <c r="J74" i="10"/>
  <c r="L74" i="10" s="1"/>
  <c r="M74" i="10" s="1"/>
  <c r="X12" i="9"/>
  <c r="J61" i="10"/>
  <c r="L61" i="10" s="1"/>
  <c r="M61" i="10" s="1"/>
  <c r="X24" i="9"/>
  <c r="J133" i="10"/>
  <c r="L133" i="10" s="1"/>
  <c r="M133" i="10" s="1"/>
  <c r="X30" i="9"/>
  <c r="J169" i="10"/>
  <c r="L169" i="10" s="1"/>
  <c r="M169" i="10" s="1"/>
  <c r="X42" i="9"/>
  <c r="J241" i="10"/>
  <c r="L241" i="10" s="1"/>
  <c r="M241" i="10" s="1"/>
  <c r="X66" i="9"/>
  <c r="J385" i="10"/>
  <c r="L385" i="10" s="1"/>
  <c r="M385" i="10" s="1"/>
  <c r="X78" i="9"/>
  <c r="J457" i="10"/>
  <c r="L457" i="10" s="1"/>
  <c r="M457" i="10" s="1"/>
  <c r="X104" i="9"/>
  <c r="J613" i="10"/>
  <c r="L613" i="10" s="1"/>
  <c r="M613" i="10" s="1"/>
  <c r="X122" i="9"/>
  <c r="J721" i="10"/>
  <c r="L721" i="10" s="1"/>
  <c r="M721" i="10" s="1"/>
  <c r="X27" i="9"/>
  <c r="J151" i="10"/>
  <c r="L151" i="10" s="1"/>
  <c r="M151" i="10" s="1"/>
  <c r="U15" i="9"/>
  <c r="J78" i="10"/>
  <c r="L78" i="10" s="1"/>
  <c r="M78" i="10" s="1"/>
  <c r="U129" i="9"/>
  <c r="J762" i="10"/>
  <c r="L762" i="10" s="1"/>
  <c r="M762" i="10" s="1"/>
  <c r="U81" i="9"/>
  <c r="J474" i="10"/>
  <c r="L474" i="10" s="1"/>
  <c r="M474" i="10" s="1"/>
  <c r="X131" i="9"/>
  <c r="J775" i="10"/>
  <c r="L775" i="10" s="1"/>
  <c r="M775" i="10" s="1"/>
  <c r="J290" i="10"/>
  <c r="L290" i="10" s="1"/>
  <c r="M290" i="10" s="1"/>
  <c r="J291" i="10"/>
  <c r="L291" i="10" s="1"/>
  <c r="M291" i="10" s="1"/>
  <c r="X8" i="9"/>
  <c r="J37" i="10"/>
  <c r="L37" i="10" s="1"/>
  <c r="M37" i="10" s="1"/>
  <c r="U26" i="9"/>
  <c r="J144" i="10"/>
  <c r="L144" i="10" s="1"/>
  <c r="M144" i="10" s="1"/>
  <c r="X38" i="9"/>
  <c r="J217" i="10"/>
  <c r="L217" i="10" s="1"/>
  <c r="M217" i="10" s="1"/>
  <c r="U62" i="9"/>
  <c r="J360" i="10"/>
  <c r="L360" i="10" s="1"/>
  <c r="M360" i="10" s="1"/>
  <c r="U74" i="9"/>
  <c r="J432" i="10"/>
  <c r="L432" i="10" s="1"/>
  <c r="M432" i="10" s="1"/>
  <c r="U112" i="9"/>
  <c r="J660" i="10"/>
  <c r="L660" i="10" s="1"/>
  <c r="M660" i="10" s="1"/>
  <c r="X124" i="9"/>
  <c r="J733" i="10"/>
  <c r="L733" i="10" s="1"/>
  <c r="M733" i="10" s="1"/>
  <c r="U125" i="9"/>
  <c r="J738" i="10"/>
  <c r="L738" i="10" s="1"/>
  <c r="M738" i="10" s="1"/>
  <c r="J591" i="10"/>
  <c r="L591" i="10" s="1"/>
  <c r="M591" i="10" s="1"/>
  <c r="J590" i="10"/>
  <c r="L590" i="10" s="1"/>
  <c r="M590" i="10" s="1"/>
  <c r="J189" i="10"/>
  <c r="L189" i="10" s="1"/>
  <c r="M189" i="10" s="1"/>
  <c r="J188" i="10"/>
  <c r="L188" i="10" s="1"/>
  <c r="M188" i="10" s="1"/>
  <c r="X23" i="9"/>
  <c r="J127" i="10"/>
  <c r="L127" i="10" s="1"/>
  <c r="M127" i="10" s="1"/>
  <c r="X47" i="9"/>
  <c r="J271" i="10"/>
  <c r="L271" i="10" s="1"/>
  <c r="M271" i="10" s="1"/>
  <c r="U59" i="9"/>
  <c r="J342" i="10"/>
  <c r="L342" i="10" s="1"/>
  <c r="M342" i="10" s="1"/>
  <c r="X103" i="9"/>
  <c r="J607" i="10"/>
  <c r="L607" i="10" s="1"/>
  <c r="M607" i="10" s="1"/>
  <c r="J674" i="10"/>
  <c r="L674" i="10" s="1"/>
  <c r="M674" i="10" s="1"/>
  <c r="J675" i="10"/>
  <c r="L675" i="10" s="1"/>
  <c r="M675" i="10" s="1"/>
  <c r="X127" i="9"/>
  <c r="J751" i="10"/>
  <c r="L751" i="10" s="1"/>
  <c r="M751" i="10" s="1"/>
  <c r="U106" i="9"/>
  <c r="J624" i="10"/>
  <c r="L624" i="10" s="1"/>
  <c r="M624" i="10" s="1"/>
  <c r="J45" i="10"/>
  <c r="L45" i="10" s="1"/>
  <c r="M45" i="10" s="1"/>
  <c r="J44" i="10"/>
  <c r="L44" i="10" s="1"/>
  <c r="M44" i="10" s="1"/>
  <c r="U16" i="9"/>
  <c r="J84" i="10"/>
  <c r="L84" i="10" s="1"/>
  <c r="M84" i="10" s="1"/>
  <c r="J153" i="10"/>
  <c r="L153" i="10" s="1"/>
  <c r="M153" i="10" s="1"/>
  <c r="J152" i="10"/>
  <c r="L152" i="10" s="1"/>
  <c r="M152" i="10" s="1"/>
  <c r="X40" i="9"/>
  <c r="J229" i="10"/>
  <c r="L229" i="10" s="1"/>
  <c r="M229" i="10" s="1"/>
  <c r="X64" i="9"/>
  <c r="J373" i="10"/>
  <c r="L373" i="10" s="1"/>
  <c r="M373" i="10" s="1"/>
  <c r="U76" i="9"/>
  <c r="J444" i="10"/>
  <c r="L444" i="10" s="1"/>
  <c r="M444" i="10" s="1"/>
  <c r="U82" i="9"/>
  <c r="J480" i="10"/>
  <c r="L480" i="10" s="1"/>
  <c r="M480" i="10" s="1"/>
  <c r="U96" i="9"/>
  <c r="J564" i="10"/>
  <c r="L564" i="10" s="1"/>
  <c r="M564" i="10" s="1"/>
  <c r="X102" i="9"/>
  <c r="J601" i="10"/>
  <c r="L601" i="10" s="1"/>
  <c r="M601" i="10" s="1"/>
  <c r="U120" i="9"/>
  <c r="J708" i="10"/>
  <c r="L708" i="10" s="1"/>
  <c r="M708" i="10" s="1"/>
  <c r="U50" i="9"/>
  <c r="J288" i="10"/>
  <c r="L288" i="10" s="1"/>
  <c r="M288" i="10" s="1"/>
  <c r="U69" i="9"/>
  <c r="J402" i="10"/>
  <c r="L402" i="10" s="1"/>
  <c r="M402" i="10" s="1"/>
  <c r="U38" i="9"/>
  <c r="J216" i="10"/>
  <c r="L216" i="10" s="1"/>
  <c r="M216" i="10" s="1"/>
  <c r="J50" i="10"/>
  <c r="L50" i="10" s="1"/>
  <c r="M50" i="10" s="1"/>
  <c r="J51" i="10"/>
  <c r="L51" i="10" s="1"/>
  <c r="M51" i="10" s="1"/>
  <c r="J117" i="10"/>
  <c r="L117" i="10" s="1"/>
  <c r="M117" i="10" s="1"/>
  <c r="J116" i="10"/>
  <c r="L116" i="10" s="1"/>
  <c r="M116" i="10" s="1"/>
  <c r="X125" i="9"/>
  <c r="J739" i="10"/>
  <c r="L739" i="10" s="1"/>
  <c r="M739" i="10" s="1"/>
  <c r="U107" i="9"/>
  <c r="J630" i="10"/>
  <c r="L630" i="10" s="1"/>
  <c r="M630" i="10" s="1"/>
  <c r="X19" i="9"/>
  <c r="J103" i="10"/>
  <c r="L103" i="10" s="1"/>
  <c r="M103" i="10" s="1"/>
  <c r="X79" i="9"/>
  <c r="J463" i="10"/>
  <c r="L463" i="10" s="1"/>
  <c r="M463" i="10" s="1"/>
  <c r="J446" i="10"/>
  <c r="L446" i="10" s="1"/>
  <c r="M446" i="10" s="1"/>
  <c r="J447" i="10"/>
  <c r="L447" i="10" s="1"/>
  <c r="M447" i="10" s="1"/>
  <c r="U33" i="9"/>
  <c r="J186" i="10"/>
  <c r="L186" i="10" s="1"/>
  <c r="M186" i="10" s="1"/>
  <c r="X88" i="9"/>
  <c r="J517" i="10"/>
  <c r="L517" i="10" s="1"/>
  <c r="M517" i="10" s="1"/>
  <c r="U87" i="9"/>
  <c r="U89" i="9"/>
  <c r="J522" i="10"/>
  <c r="L522" i="10" s="1"/>
  <c r="M522" i="10" s="1"/>
  <c r="F134" i="9"/>
  <c r="X86" i="9"/>
  <c r="J505" i="10"/>
  <c r="L505" i="10" s="1"/>
  <c r="M505" i="10" s="1"/>
  <c r="J399" i="10"/>
  <c r="L399" i="10" s="1"/>
  <c r="M399" i="10" s="1"/>
  <c r="J398" i="10"/>
  <c r="L398" i="10" s="1"/>
  <c r="M398" i="10" s="1"/>
  <c r="U24" i="9"/>
  <c r="J132" i="10"/>
  <c r="L132" i="10" s="1"/>
  <c r="M132" i="10" s="1"/>
  <c r="J201" i="10"/>
  <c r="L201" i="10" s="1"/>
  <c r="M201" i="10" s="1"/>
  <c r="J200" i="10"/>
  <c r="L200" i="10" s="1"/>
  <c r="M200" i="10" s="1"/>
  <c r="U60" i="9"/>
  <c r="J348" i="10"/>
  <c r="L348" i="10" s="1"/>
  <c r="M348" i="10" s="1"/>
  <c r="J416" i="10"/>
  <c r="L416" i="10" s="1"/>
  <c r="M416" i="10" s="1"/>
  <c r="J417" i="10"/>
  <c r="L417" i="10" s="1"/>
  <c r="M417" i="10" s="1"/>
  <c r="X92" i="9"/>
  <c r="J541" i="10"/>
  <c r="L541" i="10" s="1"/>
  <c r="M541" i="10" s="1"/>
  <c r="X87" i="9"/>
  <c r="J511" i="10"/>
  <c r="L511" i="10" s="1"/>
  <c r="M511" i="10" s="1"/>
  <c r="J699" i="10"/>
  <c r="L699" i="10" s="1"/>
  <c r="M699" i="10" s="1"/>
  <c r="J698" i="10"/>
  <c r="L698" i="10" s="1"/>
  <c r="M698" i="10" s="1"/>
  <c r="X20" i="9"/>
  <c r="J109" i="10"/>
  <c r="L109" i="10" s="1"/>
  <c r="M109" i="10" s="1"/>
  <c r="U32" i="9"/>
  <c r="J180" i="10"/>
  <c r="L180" i="10" s="1"/>
  <c r="M180" i="10" s="1"/>
  <c r="X56" i="9"/>
  <c r="J325" i="10"/>
  <c r="L325" i="10" s="1"/>
  <c r="M325" i="10" s="1"/>
  <c r="J9" i="10"/>
  <c r="L9" i="10" s="1"/>
  <c r="M9" i="10" s="1"/>
  <c r="J8" i="10"/>
  <c r="L8" i="10" s="1"/>
  <c r="M8" i="10" s="1"/>
  <c r="J225" i="10"/>
  <c r="L225" i="10" s="1"/>
  <c r="M225" i="10" s="1"/>
  <c r="J224" i="10"/>
  <c r="L224" i="10" s="1"/>
  <c r="M224" i="10" s="1"/>
  <c r="U64" i="9"/>
  <c r="J372" i="10"/>
  <c r="L372" i="10" s="1"/>
  <c r="M372" i="10" s="1"/>
  <c r="X76" i="9"/>
  <c r="J445" i="10"/>
  <c r="L445" i="10" s="1"/>
  <c r="M445" i="10" s="1"/>
  <c r="U132" i="9"/>
  <c r="J780" i="10"/>
  <c r="L780" i="10" s="1"/>
  <c r="M780" i="10" s="1"/>
  <c r="X72" i="9"/>
  <c r="J421" i="10"/>
  <c r="L421" i="10" s="1"/>
  <c r="M421" i="10" s="1"/>
  <c r="J513" i="10"/>
  <c r="L513" i="10" s="1"/>
  <c r="M513" i="10" s="1"/>
  <c r="J512" i="10"/>
  <c r="L512" i="10" s="1"/>
  <c r="M512" i="10" s="1"/>
  <c r="J207" i="10"/>
  <c r="L207" i="10" s="1"/>
  <c r="M207" i="10" s="1"/>
  <c r="J206" i="10"/>
  <c r="L206" i="10" s="1"/>
  <c r="M206" i="10" s="1"/>
  <c r="X67" i="9"/>
  <c r="J391" i="10"/>
  <c r="L391" i="10" s="1"/>
  <c r="M391" i="10" s="1"/>
  <c r="J495" i="10"/>
  <c r="L495" i="10" s="1"/>
  <c r="M495" i="10" s="1"/>
  <c r="J494" i="10"/>
  <c r="L494" i="10" s="1"/>
  <c r="M494" i="10" s="1"/>
  <c r="X123" i="9"/>
  <c r="J727" i="10"/>
  <c r="L727" i="10" s="1"/>
  <c r="M727" i="10" s="1"/>
  <c r="J57" i="10"/>
  <c r="L57" i="10" s="1"/>
  <c r="M57" i="10" s="1"/>
  <c r="J56" i="10"/>
  <c r="L56" i="10" s="1"/>
  <c r="M56" i="10" s="1"/>
  <c r="J309" i="10"/>
  <c r="L309" i="10" s="1"/>
  <c r="M309" i="10" s="1"/>
  <c r="J308" i="10"/>
  <c r="L308" i="10" s="1"/>
  <c r="M308" i="10" s="1"/>
  <c r="X111" i="9"/>
  <c r="J655" i="10"/>
  <c r="L655" i="10" s="1"/>
  <c r="M655" i="10" s="1"/>
  <c r="J759" i="10"/>
  <c r="L759" i="10" s="1"/>
  <c r="M759" i="10" s="1"/>
  <c r="J758" i="10"/>
  <c r="L758" i="10" s="1"/>
  <c r="M758" i="10" s="1"/>
  <c r="X57" i="9"/>
  <c r="J331" i="10"/>
  <c r="L331" i="10" s="1"/>
  <c r="M331" i="10" s="1"/>
  <c r="J33" i="10"/>
  <c r="L33" i="10" s="1"/>
  <c r="M33" i="10" s="1"/>
  <c r="J32" i="10"/>
  <c r="L32" i="10" s="1"/>
  <c r="M32" i="10" s="1"/>
  <c r="J692" i="10"/>
  <c r="L692" i="10" s="1"/>
  <c r="M692" i="10" s="1"/>
  <c r="J693" i="10"/>
  <c r="L693" i="10" s="1"/>
  <c r="M693" i="10" s="1"/>
  <c r="U68" i="9"/>
  <c r="J396" i="10"/>
  <c r="L396" i="10" s="1"/>
  <c r="M396" i="10" s="1"/>
  <c r="X80" i="9"/>
  <c r="J469" i="10"/>
  <c r="L469" i="10" s="1"/>
  <c r="M469" i="10" s="1"/>
  <c r="X17" i="9"/>
  <c r="J91" i="10"/>
  <c r="L91" i="10" s="1"/>
  <c r="M91" i="10" s="1"/>
  <c r="X29" i="9"/>
  <c r="J163" i="10"/>
  <c r="L163" i="10" s="1"/>
  <c r="M163" i="10" s="1"/>
  <c r="J267" i="10"/>
  <c r="L267" i="10" s="1"/>
  <c r="M267" i="10" s="1"/>
  <c r="J266" i="10"/>
  <c r="L266" i="10" s="1"/>
  <c r="M266" i="10" s="1"/>
  <c r="U53" i="9"/>
  <c r="J306" i="10"/>
  <c r="L306" i="10" s="1"/>
  <c r="M306" i="10" s="1"/>
  <c r="X59" i="9"/>
  <c r="J343" i="10"/>
  <c r="L343" i="10" s="1"/>
  <c r="M343" i="10" s="1"/>
  <c r="X114" i="9"/>
  <c r="J673" i="10"/>
  <c r="L673" i="10" s="1"/>
  <c r="M673" i="10" s="1"/>
  <c r="J741" i="10"/>
  <c r="L741" i="10" s="1"/>
  <c r="M741" i="10" s="1"/>
  <c r="J740" i="10"/>
  <c r="L740" i="10" s="1"/>
  <c r="M740" i="10" s="1"/>
  <c r="J710" i="10"/>
  <c r="L710" i="10" s="1"/>
  <c r="M710" i="10" s="1"/>
  <c r="J711" i="10"/>
  <c r="L711" i="10" s="1"/>
  <c r="M711" i="10" s="1"/>
  <c r="J735" i="10"/>
  <c r="L735" i="10" s="1"/>
  <c r="M735" i="10" s="1"/>
  <c r="J734" i="10"/>
  <c r="L734" i="10" s="1"/>
  <c r="M734" i="10" s="1"/>
  <c r="J656" i="10"/>
  <c r="L656" i="10" s="1"/>
  <c r="M656" i="10" s="1"/>
  <c r="J657" i="10"/>
  <c r="L657" i="10" s="1"/>
  <c r="M657" i="10" s="1"/>
  <c r="X93" i="9"/>
  <c r="J547" i="10"/>
  <c r="L547" i="10" s="1"/>
  <c r="M547" i="10" s="1"/>
  <c r="J519" i="10"/>
  <c r="L519" i="10" s="1"/>
  <c r="M519" i="10" s="1"/>
  <c r="J518" i="10"/>
  <c r="L518" i="10" s="1"/>
  <c r="M518" i="10" s="1"/>
  <c r="U19" i="9"/>
  <c r="J102" i="10"/>
  <c r="L102" i="10" s="1"/>
  <c r="M102" i="10" s="1"/>
  <c r="U92" i="9"/>
  <c r="J540" i="10"/>
  <c r="L540" i="10" s="1"/>
  <c r="M540" i="10" s="1"/>
  <c r="X31" i="9"/>
  <c r="J175" i="10"/>
  <c r="L175" i="10" s="1"/>
  <c r="M175" i="10" s="1"/>
  <c r="J99" i="10"/>
  <c r="L99" i="10" s="1"/>
  <c r="M99" i="10" s="1"/>
  <c r="J98" i="10"/>
  <c r="L98" i="10" s="1"/>
  <c r="M98" i="10" s="1"/>
  <c r="J315" i="10"/>
  <c r="L315" i="10" s="1"/>
  <c r="M315" i="10" s="1"/>
  <c r="J314" i="10"/>
  <c r="L314" i="10" s="1"/>
  <c r="M314" i="10" s="1"/>
  <c r="U31" i="9"/>
  <c r="J174" i="10"/>
  <c r="L174" i="10" s="1"/>
  <c r="M174" i="10" s="1"/>
  <c r="U117" i="9"/>
  <c r="J690" i="10"/>
  <c r="L690" i="10" s="1"/>
  <c r="M690" i="10" s="1"/>
  <c r="X48" i="9"/>
  <c r="J277" i="10"/>
  <c r="L277" i="10" s="1"/>
  <c r="M277" i="10" s="1"/>
  <c r="X84" i="9"/>
  <c r="J493" i="10"/>
  <c r="L493" i="10" s="1"/>
  <c r="M493" i="10" s="1"/>
  <c r="X98" i="9"/>
  <c r="J577" i="10"/>
  <c r="L577" i="10" s="1"/>
  <c r="M577" i="10" s="1"/>
  <c r="U104" i="9"/>
  <c r="J612" i="10"/>
  <c r="L612" i="10" s="1"/>
  <c r="M612" i="10" s="1"/>
  <c r="J681" i="10"/>
  <c r="L681" i="10" s="1"/>
  <c r="M681" i="10" s="1"/>
  <c r="J680" i="10"/>
  <c r="L680" i="10" s="1"/>
  <c r="M680" i="10" s="1"/>
  <c r="U122" i="9"/>
  <c r="J720" i="10"/>
  <c r="L720" i="10" s="1"/>
  <c r="M720" i="10" s="1"/>
  <c r="X45" i="9"/>
  <c r="J259" i="10"/>
  <c r="L259" i="10" s="1"/>
  <c r="M259" i="10" s="1"/>
  <c r="U57" i="9"/>
  <c r="J330" i="10"/>
  <c r="L330" i="10" s="1"/>
  <c r="M330" i="10" s="1"/>
  <c r="J39" i="10"/>
  <c r="L39" i="10" s="1"/>
  <c r="M39" i="10" s="1"/>
  <c r="J38" i="10"/>
  <c r="L38" i="10" s="1"/>
  <c r="M38" i="10" s="1"/>
  <c r="J254" i="10"/>
  <c r="L254" i="10" s="1"/>
  <c r="M254" i="10" s="1"/>
  <c r="J255" i="10"/>
  <c r="L255" i="10" s="1"/>
  <c r="M255" i="10" s="1"/>
  <c r="J170" i="10"/>
  <c r="L170" i="10" s="1"/>
  <c r="M170" i="10" s="1"/>
  <c r="J171" i="10"/>
  <c r="L171" i="10" s="1"/>
  <c r="M171" i="10" s="1"/>
  <c r="U43" i="9"/>
  <c r="J246" i="10"/>
  <c r="L246" i="10" s="1"/>
  <c r="M246" i="10" s="1"/>
  <c r="U6" i="9"/>
  <c r="J24" i="10"/>
  <c r="L24" i="10" s="1"/>
  <c r="M24" i="10" s="1"/>
  <c r="J93" i="10"/>
  <c r="L93" i="10" s="1"/>
  <c r="M93" i="10" s="1"/>
  <c r="J92" i="10"/>
  <c r="L92" i="10" s="1"/>
  <c r="M92" i="10" s="1"/>
  <c r="U42" i="9"/>
  <c r="J240" i="10"/>
  <c r="L240" i="10" s="1"/>
  <c r="M240" i="10" s="1"/>
  <c r="X54" i="9"/>
  <c r="J313" i="10"/>
  <c r="L313" i="10" s="1"/>
  <c r="M313" i="10" s="1"/>
  <c r="U78" i="9"/>
  <c r="J456" i="10"/>
  <c r="L456" i="10" s="1"/>
  <c r="M456" i="10" s="1"/>
  <c r="U98" i="9"/>
  <c r="J576" i="10"/>
  <c r="L576" i="10" s="1"/>
  <c r="M576" i="10" s="1"/>
  <c r="X110" i="9"/>
  <c r="J649" i="10"/>
  <c r="L649" i="10" s="1"/>
  <c r="M649" i="10" s="1"/>
  <c r="U128" i="9"/>
  <c r="J756" i="10"/>
  <c r="L756" i="10" s="1"/>
  <c r="M756" i="10" s="1"/>
  <c r="U39" i="9"/>
  <c r="J222" i="10"/>
  <c r="L222" i="10" s="1"/>
  <c r="M222" i="10" s="1"/>
  <c r="X68" i="9"/>
  <c r="J397" i="10"/>
  <c r="L397" i="10" s="1"/>
  <c r="M397" i="10" s="1"/>
  <c r="U17" i="9"/>
  <c r="J90" i="10"/>
  <c r="L90" i="10" s="1"/>
  <c r="M90" i="10" s="1"/>
  <c r="X52" i="9"/>
  <c r="J301" i="10"/>
  <c r="L301" i="10" s="1"/>
  <c r="M301" i="10" s="1"/>
  <c r="U90" i="9"/>
  <c r="J528" i="10"/>
  <c r="L528" i="10" s="1"/>
  <c r="M528" i="10" s="1"/>
  <c r="J321" i="10"/>
  <c r="L321" i="10" s="1"/>
  <c r="M321" i="10" s="1"/>
  <c r="J320" i="10"/>
  <c r="L320" i="10" s="1"/>
  <c r="M320" i="10" s="1"/>
  <c r="J375" i="10"/>
  <c r="L375" i="10" s="1"/>
  <c r="M375" i="10" s="1"/>
  <c r="J374" i="10"/>
  <c r="L374" i="10" s="1"/>
  <c r="M374" i="10" s="1"/>
  <c r="O87" i="9"/>
  <c r="J508" i="10"/>
  <c r="L508" i="10" s="1"/>
  <c r="M508" i="10" s="1"/>
  <c r="U49" i="9"/>
  <c r="J282" i="10"/>
  <c r="L282" i="10" s="1"/>
  <c r="M282" i="10" s="1"/>
  <c r="U93" i="9"/>
  <c r="J546" i="10"/>
  <c r="L546" i="10" s="1"/>
  <c r="M546" i="10" s="1"/>
  <c r="X128" i="9"/>
  <c r="J757" i="10"/>
  <c r="L757" i="10" s="1"/>
  <c r="M757" i="10" s="1"/>
  <c r="X14" i="9"/>
  <c r="J73" i="10"/>
  <c r="L73" i="10" s="1"/>
  <c r="M73" i="10" s="1"/>
  <c r="U118" i="9"/>
  <c r="J696" i="10"/>
  <c r="L696" i="10" s="1"/>
  <c r="M696" i="10" s="1"/>
  <c r="X73" i="9"/>
  <c r="J427" i="10"/>
  <c r="L427" i="10" s="1"/>
  <c r="M427" i="10" s="1"/>
  <c r="J111" i="10"/>
  <c r="L111" i="10" s="1"/>
  <c r="M111" i="10" s="1"/>
  <c r="J110" i="10"/>
  <c r="L110" i="10" s="1"/>
  <c r="M110" i="10" s="1"/>
  <c r="J561" i="10"/>
  <c r="L561" i="10" s="1"/>
  <c r="M561" i="10" s="1"/>
  <c r="J560" i="10"/>
  <c r="L560" i="10" s="1"/>
  <c r="M560" i="10" s="1"/>
  <c r="J243" i="10"/>
  <c r="L243" i="10" s="1"/>
  <c r="M243" i="10" s="1"/>
  <c r="J242" i="10"/>
  <c r="L242" i="10" s="1"/>
  <c r="M242" i="10" s="1"/>
  <c r="U55" i="9"/>
  <c r="J318" i="10"/>
  <c r="L318" i="10" s="1"/>
  <c r="M318" i="10" s="1"/>
  <c r="U67" i="9"/>
  <c r="J390" i="10"/>
  <c r="L390" i="10" s="1"/>
  <c r="M390" i="10" s="1"/>
  <c r="J579" i="10"/>
  <c r="L579" i="10" s="1"/>
  <c r="M579" i="10" s="1"/>
  <c r="J578" i="10"/>
  <c r="L578" i="10" s="1"/>
  <c r="M578" i="10" s="1"/>
  <c r="U123" i="9"/>
  <c r="J726" i="10"/>
  <c r="L726" i="10" s="1"/>
  <c r="M726" i="10" s="1"/>
  <c r="U51" i="9"/>
  <c r="J294" i="10"/>
  <c r="L294" i="10" s="1"/>
  <c r="M294" i="10" s="1"/>
  <c r="U18" i="9"/>
  <c r="J96" i="10"/>
  <c r="L96" i="10" s="1"/>
  <c r="M96" i="10" s="1"/>
  <c r="J272" i="10"/>
  <c r="L272" i="10" s="1"/>
  <c r="M272" i="10" s="1"/>
  <c r="J273" i="10"/>
  <c r="L273" i="10" s="1"/>
  <c r="M273" i="10" s="1"/>
  <c r="J609" i="10"/>
  <c r="L609" i="10" s="1"/>
  <c r="M609" i="10" s="1"/>
  <c r="J608" i="10"/>
  <c r="L608" i="10" s="1"/>
  <c r="M608" i="10" s="1"/>
  <c r="U73" i="9"/>
  <c r="J426" i="10"/>
  <c r="L426" i="10" s="1"/>
  <c r="M426" i="10" s="1"/>
  <c r="U85" i="9"/>
  <c r="J498" i="10"/>
  <c r="L498" i="10" s="1"/>
  <c r="M498" i="10" s="1"/>
  <c r="J615" i="10"/>
  <c r="L615" i="10" s="1"/>
  <c r="M615" i="10" s="1"/>
  <c r="J614" i="10"/>
  <c r="L614" i="10" s="1"/>
  <c r="M614" i="10" s="1"/>
  <c r="X44" i="9"/>
  <c r="J253" i="10"/>
  <c r="L253" i="10" s="1"/>
  <c r="M253" i="10" s="1"/>
  <c r="U95" i="9"/>
  <c r="J558" i="10"/>
  <c r="L558" i="10" s="1"/>
  <c r="M558" i="10" s="1"/>
  <c r="J141" i="10"/>
  <c r="L141" i="10" s="1"/>
  <c r="M141" i="10" s="1"/>
  <c r="J140" i="10"/>
  <c r="L140" i="10" s="1"/>
  <c r="M140" i="10" s="1"/>
  <c r="J21" i="10"/>
  <c r="L21" i="10" s="1"/>
  <c r="M21" i="10" s="1"/>
  <c r="J20" i="10"/>
  <c r="L20" i="10" s="1"/>
  <c r="M20" i="10" s="1"/>
  <c r="J129" i="10"/>
  <c r="L129" i="10" s="1"/>
  <c r="M129" i="10" s="1"/>
  <c r="J128" i="10"/>
  <c r="L128" i="10" s="1"/>
  <c r="M128" i="10" s="1"/>
  <c r="U30" i="9"/>
  <c r="J168" i="10"/>
  <c r="L168" i="10" s="1"/>
  <c r="M168" i="10" s="1"/>
  <c r="U66" i="9"/>
  <c r="J384" i="10"/>
  <c r="L384" i="10" s="1"/>
  <c r="M384" i="10" s="1"/>
  <c r="X32" i="9"/>
  <c r="J181" i="10"/>
  <c r="L181" i="10" s="1"/>
  <c r="M181" i="10" s="1"/>
  <c r="J357" i="10"/>
  <c r="L357" i="10" s="1"/>
  <c r="M357" i="10" s="1"/>
  <c r="J356" i="10"/>
  <c r="L356" i="10" s="1"/>
  <c r="M356" i="10" s="1"/>
  <c r="U100" i="9"/>
  <c r="J588" i="10"/>
  <c r="L588" i="10" s="1"/>
  <c r="M588" i="10" s="1"/>
  <c r="X112" i="9"/>
  <c r="J661" i="10"/>
  <c r="L661" i="10" s="1"/>
  <c r="M661" i="10" s="1"/>
  <c r="U124" i="9"/>
  <c r="J732" i="10"/>
  <c r="L732" i="10" s="1"/>
  <c r="M732" i="10" s="1"/>
  <c r="X15" i="9"/>
  <c r="J79" i="10"/>
  <c r="L79" i="10" s="1"/>
  <c r="M79" i="10" s="1"/>
  <c r="J147" i="10"/>
  <c r="L147" i="10" s="1"/>
  <c r="M147" i="10" s="1"/>
  <c r="J146" i="10"/>
  <c r="L146" i="10" s="1"/>
  <c r="M146" i="10" s="1"/>
  <c r="J363" i="10"/>
  <c r="L363" i="10" s="1"/>
  <c r="M363" i="10" s="1"/>
  <c r="J362" i="10"/>
  <c r="L362" i="10" s="1"/>
  <c r="M362" i="10" s="1"/>
  <c r="U101" i="9"/>
  <c r="J594" i="10"/>
  <c r="L594" i="10" s="1"/>
  <c r="M594" i="10" s="1"/>
  <c r="J597" i="10"/>
  <c r="L597" i="10" s="1"/>
  <c r="M597" i="10" s="1"/>
  <c r="J596" i="10"/>
  <c r="L596" i="10" s="1"/>
  <c r="M596" i="10" s="1"/>
  <c r="X5" i="9"/>
  <c r="J19" i="10"/>
  <c r="L19" i="10" s="1"/>
  <c r="M19" i="10" s="1"/>
  <c r="J87" i="10"/>
  <c r="L87" i="10" s="1"/>
  <c r="M87" i="10" s="1"/>
  <c r="J86" i="10"/>
  <c r="L86" i="10" s="1"/>
  <c r="M86" i="10" s="1"/>
  <c r="J158" i="10"/>
  <c r="L158" i="10" s="1"/>
  <c r="M158" i="10" s="1"/>
  <c r="J159" i="10"/>
  <c r="L159" i="10" s="1"/>
  <c r="M159" i="10" s="1"/>
  <c r="J339" i="10"/>
  <c r="L339" i="10" s="1"/>
  <c r="M339" i="10" s="1"/>
  <c r="J338" i="10"/>
  <c r="L338" i="10" s="1"/>
  <c r="M338" i="10" s="1"/>
  <c r="X65" i="9"/>
  <c r="J379" i="10"/>
  <c r="L379" i="10" s="1"/>
  <c r="M379" i="10" s="1"/>
  <c r="U83" i="9"/>
  <c r="J486" i="10"/>
  <c r="L486" i="10" s="1"/>
  <c r="M486" i="10" s="1"/>
  <c r="U91" i="9"/>
  <c r="J534" i="10"/>
  <c r="L534" i="10" s="1"/>
  <c r="M534" i="10" s="1"/>
  <c r="X97" i="9"/>
  <c r="J571" i="10"/>
  <c r="L571" i="10" s="1"/>
  <c r="M571" i="10" s="1"/>
  <c r="J638" i="10"/>
  <c r="L638" i="10" s="1"/>
  <c r="M638" i="10" s="1"/>
  <c r="J639" i="10"/>
  <c r="L639" i="10" s="1"/>
  <c r="M639" i="10" s="1"/>
  <c r="U115" i="9"/>
  <c r="J678" i="10"/>
  <c r="L678" i="10" s="1"/>
  <c r="M678" i="10" s="1"/>
  <c r="X121" i="9"/>
  <c r="J715" i="10"/>
  <c r="L715" i="10" s="1"/>
  <c r="M715" i="10" s="1"/>
  <c r="O3" i="9"/>
  <c r="J4" i="10"/>
  <c r="L4" i="10" s="1"/>
  <c r="M4" i="10" s="1"/>
  <c r="J249" i="10"/>
  <c r="L249" i="10" s="1"/>
  <c r="M249" i="10" s="1"/>
  <c r="J248" i="10"/>
  <c r="L248" i="10" s="1"/>
  <c r="M248" i="10" s="1"/>
  <c r="J621" i="10"/>
  <c r="L621" i="10" s="1"/>
  <c r="M621" i="10" s="1"/>
  <c r="J620" i="10"/>
  <c r="L620" i="10" s="1"/>
  <c r="M620" i="10" s="1"/>
  <c r="X16" i="9"/>
  <c r="J85" i="10"/>
  <c r="L85" i="10" s="1"/>
  <c r="M85" i="10" s="1"/>
  <c r="U28" i="9"/>
  <c r="J156" i="10"/>
  <c r="L156" i="10" s="1"/>
  <c r="M156" i="10" s="1"/>
  <c r="U34" i="9"/>
  <c r="J192" i="10"/>
  <c r="L192" i="10" s="1"/>
  <c r="M192" i="10" s="1"/>
  <c r="X58" i="9"/>
  <c r="J337" i="10"/>
  <c r="L337" i="10" s="1"/>
  <c r="M337" i="10" s="1"/>
  <c r="J404" i="10"/>
  <c r="L404" i="10" s="1"/>
  <c r="M404" i="10" s="1"/>
  <c r="J405" i="10"/>
  <c r="L405" i="10" s="1"/>
  <c r="M405" i="10" s="1"/>
  <c r="J633" i="10"/>
  <c r="L633" i="10" s="1"/>
  <c r="M633" i="10" s="1"/>
  <c r="J632" i="10"/>
  <c r="L632" i="10" s="1"/>
  <c r="M632" i="10" s="1"/>
  <c r="J669" i="10"/>
  <c r="L669" i="10" s="1"/>
  <c r="M669" i="10" s="1"/>
  <c r="J668" i="10"/>
  <c r="L668" i="10" s="1"/>
  <c r="M668" i="10" s="1"/>
  <c r="U126" i="9"/>
  <c r="J744" i="10"/>
  <c r="L744" i="10" s="1"/>
  <c r="M744" i="10" s="1"/>
  <c r="J663" i="10"/>
  <c r="L663" i="10" s="1"/>
  <c r="M663" i="10" s="1"/>
  <c r="J662" i="10"/>
  <c r="L662" i="10" s="1"/>
  <c r="M662" i="10" s="1"/>
  <c r="J123" i="10"/>
  <c r="L123" i="10" s="1"/>
  <c r="M123" i="10" s="1"/>
  <c r="J122" i="10"/>
  <c r="L122" i="10" s="1"/>
  <c r="M122" i="10" s="1"/>
  <c r="J183" i="10"/>
  <c r="L183" i="10" s="1"/>
  <c r="M183" i="10" s="1"/>
  <c r="J182" i="10"/>
  <c r="L182" i="10" s="1"/>
  <c r="M182" i="10" s="1"/>
  <c r="J501" i="10"/>
  <c r="L501" i="10" s="1"/>
  <c r="M501" i="10" s="1"/>
  <c r="J500" i="10"/>
  <c r="L500" i="10" s="1"/>
  <c r="M500" i="10" s="1"/>
  <c r="U23" i="9"/>
  <c r="J126" i="10"/>
  <c r="L126" i="10" s="1"/>
  <c r="M126" i="10" s="1"/>
  <c r="J261" i="10"/>
  <c r="L261" i="10" s="1"/>
  <c r="M261" i="10" s="1"/>
  <c r="J260" i="10"/>
  <c r="L260" i="10" s="1"/>
  <c r="M260" i="10" s="1"/>
  <c r="U131" i="9"/>
  <c r="J774" i="10"/>
  <c r="L774" i="10" s="1"/>
  <c r="M774" i="10" s="1"/>
  <c r="X43" i="9"/>
  <c r="J247" i="10"/>
  <c r="L247" i="10" s="1"/>
  <c r="M247" i="10" s="1"/>
  <c r="I88" i="9"/>
  <c r="R88" i="9"/>
  <c r="L107" i="8"/>
  <c r="G10" i="1" s="1"/>
  <c r="G9" i="1"/>
  <c r="X49" i="9"/>
  <c r="J283" i="10"/>
  <c r="L283" i="10" s="1"/>
  <c r="M283" i="10" s="1"/>
  <c r="J135" i="10"/>
  <c r="L135" i="10" s="1"/>
  <c r="M135" i="10" s="1"/>
  <c r="J134" i="10"/>
  <c r="L134" i="10" s="1"/>
  <c r="M134" i="10" s="1"/>
  <c r="J351" i="10"/>
  <c r="L351" i="10" s="1"/>
  <c r="M351" i="10" s="1"/>
  <c r="J350" i="10"/>
  <c r="L350" i="10" s="1"/>
  <c r="M350" i="10" s="1"/>
  <c r="U37" i="9"/>
  <c r="J210" i="10"/>
  <c r="L210" i="10" s="1"/>
  <c r="M210" i="10" s="1"/>
  <c r="J459" i="10"/>
  <c r="L459" i="10" s="1"/>
  <c r="M459" i="10" s="1"/>
  <c r="J458" i="10"/>
  <c r="L458" i="10" s="1"/>
  <c r="M458" i="10" s="1"/>
  <c r="J543" i="10"/>
  <c r="L543" i="10" s="1"/>
  <c r="M543" i="10" s="1"/>
  <c r="J542" i="10"/>
  <c r="L542" i="10" s="1"/>
  <c r="M542" i="10" s="1"/>
  <c r="X105" i="9"/>
  <c r="J619" i="10"/>
  <c r="L619" i="10" s="1"/>
  <c r="M619" i="10" s="1"/>
  <c r="J723" i="10"/>
  <c r="L723" i="10" s="1"/>
  <c r="M723" i="10" s="1"/>
  <c r="J722" i="10"/>
  <c r="L722" i="10" s="1"/>
  <c r="M722" i="10" s="1"/>
  <c r="X63" i="9"/>
  <c r="J367" i="10"/>
  <c r="L367" i="10" s="1"/>
  <c r="M367" i="10" s="1"/>
  <c r="J212" i="10"/>
  <c r="L212" i="10" s="1"/>
  <c r="M212" i="10" s="1"/>
  <c r="J213" i="10"/>
  <c r="L213" i="10" s="1"/>
  <c r="M213" i="10" s="1"/>
  <c r="U12" i="9"/>
  <c r="J60" i="10"/>
  <c r="L60" i="10" s="1"/>
  <c r="M60" i="10" s="1"/>
  <c r="X36" i="9"/>
  <c r="J205" i="10"/>
  <c r="L205" i="10" s="1"/>
  <c r="M205" i="10" s="1"/>
  <c r="J236" i="10"/>
  <c r="L236" i="10" s="1"/>
  <c r="M236" i="10" s="1"/>
  <c r="J237" i="10"/>
  <c r="L237" i="10" s="1"/>
  <c r="M237" i="10" s="1"/>
  <c r="U48" i="9"/>
  <c r="J276" i="10"/>
  <c r="L276" i="10" s="1"/>
  <c r="M276" i="10" s="1"/>
  <c r="J345" i="10"/>
  <c r="L345" i="10" s="1"/>
  <c r="M345" i="10" s="1"/>
  <c r="J344" i="10"/>
  <c r="L344" i="10" s="1"/>
  <c r="M344" i="10" s="1"/>
  <c r="J452" i="10"/>
  <c r="L452" i="10" s="1"/>
  <c r="M452" i="10" s="1"/>
  <c r="J453" i="10"/>
  <c r="L453" i="10" s="1"/>
  <c r="M453" i="10" s="1"/>
  <c r="U84" i="9"/>
  <c r="J492" i="10"/>
  <c r="L492" i="10" s="1"/>
  <c r="M492" i="10" s="1"/>
  <c r="J573" i="10"/>
  <c r="L573" i="10" s="1"/>
  <c r="M573" i="10" s="1"/>
  <c r="J572" i="10"/>
  <c r="L572" i="10" s="1"/>
  <c r="M572" i="10" s="1"/>
  <c r="U116" i="9"/>
  <c r="J684" i="10"/>
  <c r="L684" i="10" s="1"/>
  <c r="M684" i="10" s="1"/>
  <c r="J753" i="10"/>
  <c r="L753" i="10" s="1"/>
  <c r="M753" i="10" s="1"/>
  <c r="J752" i="10"/>
  <c r="L752" i="10" s="1"/>
  <c r="M752" i="10" s="1"/>
  <c r="X69" i="9"/>
  <c r="J403" i="10"/>
  <c r="L403" i="10" s="1"/>
  <c r="M403" i="10" s="1"/>
  <c r="J218" i="10"/>
  <c r="L218" i="10" s="1"/>
  <c r="M218" i="10" s="1"/>
  <c r="J219" i="10"/>
  <c r="L219" i="10" s="1"/>
  <c r="M219" i="10" s="1"/>
  <c r="U45" i="9"/>
  <c r="J258" i="10"/>
  <c r="L258" i="10" s="1"/>
  <c r="M258" i="10" s="1"/>
  <c r="X95" i="9"/>
  <c r="J559" i="10"/>
  <c r="L559" i="10" s="1"/>
  <c r="M559" i="10" s="1"/>
  <c r="X51" i="9"/>
  <c r="J295" i="10"/>
  <c r="L295" i="10" s="1"/>
  <c r="M295" i="10" s="1"/>
  <c r="J429" i="10"/>
  <c r="L429" i="10" s="1"/>
  <c r="M429" i="10" s="1"/>
  <c r="J428" i="10"/>
  <c r="L428" i="10" s="1"/>
  <c r="M428" i="10" s="1"/>
  <c r="U8" i="9"/>
  <c r="J36" i="10"/>
  <c r="L36" i="10" s="1"/>
  <c r="M36" i="10" s="1"/>
  <c r="U20" i="9"/>
  <c r="J108" i="10"/>
  <c r="L108" i="10" s="1"/>
  <c r="M108" i="10" s="1"/>
  <c r="U44" i="9"/>
  <c r="J252" i="10"/>
  <c r="L252" i="10" s="1"/>
  <c r="M252" i="10" s="1"/>
  <c r="U56" i="9"/>
  <c r="J324" i="10"/>
  <c r="L324" i="10" s="1"/>
  <c r="M324" i="10" s="1"/>
  <c r="U86" i="9"/>
  <c r="J504" i="10"/>
  <c r="L504" i="10" s="1"/>
  <c r="M504" i="10" s="1"/>
  <c r="X33" i="9"/>
  <c r="J187" i="10"/>
  <c r="L187" i="10" s="1"/>
  <c r="M187" i="10" s="1"/>
  <c r="U27" i="9"/>
  <c r="J150" i="10"/>
  <c r="L150" i="10" s="1"/>
  <c r="M150" i="10" s="1"/>
  <c r="U63" i="9"/>
  <c r="J366" i="10"/>
  <c r="L366" i="10" s="1"/>
  <c r="M366" i="10" s="1"/>
  <c r="J3" i="10"/>
  <c r="L3" i="10" s="1"/>
  <c r="M3" i="10" s="1"/>
  <c r="J2" i="10"/>
  <c r="L2" i="10" s="1"/>
  <c r="M2" i="10" s="1"/>
  <c r="U35" i="9"/>
  <c r="J198" i="10"/>
  <c r="L198" i="10" s="1"/>
  <c r="M198" i="10" s="1"/>
  <c r="J303" i="10"/>
  <c r="L303" i="10" s="1"/>
  <c r="M303" i="10" s="1"/>
  <c r="J302" i="10"/>
  <c r="L302" i="10" s="1"/>
  <c r="M302" i="10" s="1"/>
  <c r="J411" i="10"/>
  <c r="L411" i="10" s="1"/>
  <c r="M411" i="10" s="1"/>
  <c r="J410" i="10"/>
  <c r="L410" i="10" s="1"/>
  <c r="M410" i="10" s="1"/>
  <c r="U77" i="9"/>
  <c r="J450" i="10"/>
  <c r="L450" i="10" s="1"/>
  <c r="M450" i="10" s="1"/>
  <c r="J483" i="10"/>
  <c r="L483" i="10" s="1"/>
  <c r="M483" i="10" s="1"/>
  <c r="J482" i="10"/>
  <c r="L482" i="10" s="1"/>
  <c r="M482" i="10" s="1"/>
  <c r="X91" i="9"/>
  <c r="J535" i="10"/>
  <c r="L535" i="10" s="1"/>
  <c r="M535" i="10" s="1"/>
  <c r="J746" i="10"/>
  <c r="L746" i="10" s="1"/>
  <c r="M746" i="10" s="1"/>
  <c r="J747" i="10"/>
  <c r="L747" i="10" s="1"/>
  <c r="M747" i="10" s="1"/>
  <c r="J441" i="10"/>
  <c r="L441" i="10" s="1"/>
  <c r="M441" i="10" s="1"/>
  <c r="J440" i="10"/>
  <c r="L440" i="10" s="1"/>
  <c r="M440" i="10" s="1"/>
  <c r="X10" i="9"/>
  <c r="J49" i="10"/>
  <c r="L49" i="10" s="1"/>
  <c r="M49" i="10" s="1"/>
  <c r="U22" i="9"/>
  <c r="J120" i="10"/>
  <c r="L120" i="10" s="1"/>
  <c r="M120" i="10" s="1"/>
  <c r="X34" i="9"/>
  <c r="J193" i="10"/>
  <c r="L193" i="10" s="1"/>
  <c r="M193" i="10" s="1"/>
  <c r="U46" i="9"/>
  <c r="J264" i="10"/>
  <c r="L264" i="10" s="1"/>
  <c r="M264" i="10" s="1"/>
  <c r="U52" i="9"/>
  <c r="J300" i="10"/>
  <c r="L300" i="10" s="1"/>
  <c r="M300" i="10" s="1"/>
  <c r="J369" i="10"/>
  <c r="L369" i="10" s="1"/>
  <c r="M369" i="10" s="1"/>
  <c r="J368" i="10"/>
  <c r="L368" i="10" s="1"/>
  <c r="M368" i="10" s="1"/>
  <c r="X82" i="9"/>
  <c r="J481" i="10"/>
  <c r="L481" i="10" s="1"/>
  <c r="M481" i="10" s="1"/>
  <c r="X96" i="9"/>
  <c r="J565" i="10"/>
  <c r="L565" i="10" s="1"/>
  <c r="M565" i="10" s="1"/>
  <c r="U114" i="9"/>
  <c r="J672" i="10"/>
  <c r="L672" i="10" s="1"/>
  <c r="M672" i="10" s="1"/>
  <c r="X126" i="9"/>
  <c r="J745" i="10"/>
  <c r="L745" i="10" s="1"/>
  <c r="M745" i="10" s="1"/>
  <c r="X100" i="9"/>
  <c r="J589" i="10"/>
  <c r="L589" i="10" s="1"/>
  <c r="M589" i="10" s="1"/>
  <c r="J728" i="10"/>
  <c r="L728" i="10" s="1"/>
  <c r="M728" i="10" s="1"/>
  <c r="J729" i="10"/>
  <c r="L729" i="10" s="1"/>
  <c r="M729" i="10" s="1"/>
  <c r="J68" i="10"/>
  <c r="L68" i="10" s="1"/>
  <c r="M68" i="10" s="1"/>
  <c r="J69" i="10"/>
  <c r="L69" i="10" s="1"/>
  <c r="M69" i="10" s="1"/>
  <c r="J285" i="10"/>
  <c r="L285" i="10" s="1"/>
  <c r="M285" i="10" s="1"/>
  <c r="J284" i="10"/>
  <c r="L284" i="10" s="1"/>
  <c r="M284" i="10" s="1"/>
  <c r="U94" i="9"/>
  <c r="J552" i="10"/>
  <c r="L552" i="10" s="1"/>
  <c r="M552" i="10" s="1"/>
  <c r="U47" i="9"/>
  <c r="J270" i="10"/>
  <c r="L270" i="10" s="1"/>
  <c r="M270" i="10" s="1"/>
  <c r="X18" i="9"/>
  <c r="J97" i="10"/>
  <c r="L97" i="10" s="1"/>
  <c r="M97" i="10" s="1"/>
  <c r="X117" i="9"/>
  <c r="J691" i="10"/>
  <c r="L691" i="10" s="1"/>
  <c r="M691" i="10" s="1"/>
  <c r="X107" i="9"/>
  <c r="J631" i="10"/>
  <c r="L631" i="10" s="1"/>
  <c r="M631" i="10" s="1"/>
  <c r="X89" i="9"/>
  <c r="J523" i="10"/>
  <c r="L523" i="10" s="1"/>
  <c r="M523" i="10" s="1"/>
  <c r="O89" i="9"/>
  <c r="J520" i="10"/>
  <c r="L520" i="10" s="1"/>
  <c r="M520" i="10" s="1"/>
  <c r="V134" i="9"/>
  <c r="J138" i="8"/>
  <c r="V139" i="9"/>
  <c r="I139" i="6"/>
  <c r="C28" i="1" s="1"/>
  <c r="S139" i="9"/>
  <c r="O72" i="9"/>
  <c r="J139" i="9"/>
  <c r="F138" i="3"/>
  <c r="L137" i="9"/>
  <c r="K136" i="9"/>
  <c r="E138" i="8"/>
  <c r="D138" i="8"/>
  <c r="T134" i="9"/>
  <c r="U7" i="9"/>
  <c r="H137" i="9"/>
  <c r="N136" i="9"/>
  <c r="H134" i="9"/>
  <c r="H136" i="9"/>
  <c r="H138" i="9"/>
  <c r="U3" i="9"/>
  <c r="T136" i="9"/>
  <c r="N137" i="9"/>
  <c r="L136" i="9"/>
  <c r="W134" i="9"/>
  <c r="X7" i="9"/>
  <c r="L71" i="9"/>
  <c r="L138" i="9" s="1"/>
  <c r="K138" i="9"/>
  <c r="X71" i="9"/>
  <c r="X138" i="9" s="1"/>
  <c r="W138" i="9"/>
  <c r="K137" i="9"/>
  <c r="W137" i="9"/>
  <c r="X74" i="9"/>
  <c r="W136" i="9"/>
  <c r="N134" i="9"/>
  <c r="T137" i="9"/>
  <c r="U75" i="9"/>
  <c r="N138" i="9"/>
  <c r="K134" i="9"/>
  <c r="U71" i="9"/>
  <c r="U138" i="9" s="1"/>
  <c r="T138" i="9"/>
  <c r="C139" i="9"/>
  <c r="E139" i="9"/>
  <c r="D139" i="9"/>
  <c r="L71" i="8"/>
  <c r="K136" i="8"/>
  <c r="C138" i="8"/>
  <c r="L2" i="8"/>
  <c r="K135" i="8"/>
  <c r="K133" i="8"/>
  <c r="P138" i="2"/>
  <c r="F28" i="1" s="1"/>
  <c r="L70" i="8"/>
  <c r="L137" i="8" s="1"/>
  <c r="L3" i="8"/>
  <c r="B138" i="7"/>
  <c r="K131" i="7"/>
  <c r="M132" i="9" s="1"/>
  <c r="O132" i="9" s="1"/>
  <c r="E131" i="7"/>
  <c r="D131" i="7"/>
  <c r="C131" i="7"/>
  <c r="K130" i="7"/>
  <c r="M131" i="9" s="1"/>
  <c r="O131" i="9" s="1"/>
  <c r="E130" i="7"/>
  <c r="D130" i="7"/>
  <c r="C130" i="7"/>
  <c r="K129" i="7"/>
  <c r="M130" i="9" s="1"/>
  <c r="O130" i="9" s="1"/>
  <c r="E129" i="7"/>
  <c r="D129" i="7"/>
  <c r="C129" i="7"/>
  <c r="K128" i="7"/>
  <c r="M129" i="9" s="1"/>
  <c r="O129" i="9" s="1"/>
  <c r="E128" i="7"/>
  <c r="D128" i="7"/>
  <c r="C128" i="7"/>
  <c r="K127" i="7"/>
  <c r="M128" i="9" s="1"/>
  <c r="O128" i="9" s="1"/>
  <c r="E127" i="7"/>
  <c r="D127" i="7"/>
  <c r="C127" i="7"/>
  <c r="K126" i="7"/>
  <c r="M127" i="9" s="1"/>
  <c r="O127" i="9" s="1"/>
  <c r="E126" i="7"/>
  <c r="D126" i="7"/>
  <c r="C126" i="7"/>
  <c r="K125" i="7"/>
  <c r="M126" i="9" s="1"/>
  <c r="O126" i="9" s="1"/>
  <c r="E125" i="7"/>
  <c r="D125" i="7"/>
  <c r="C125" i="7"/>
  <c r="K124" i="7"/>
  <c r="M125" i="9" s="1"/>
  <c r="O125" i="9" s="1"/>
  <c r="E124" i="7"/>
  <c r="D124" i="7"/>
  <c r="C124" i="7"/>
  <c r="K123" i="7"/>
  <c r="M124" i="9" s="1"/>
  <c r="O124" i="9" s="1"/>
  <c r="E123" i="7"/>
  <c r="D123" i="7"/>
  <c r="C123" i="7"/>
  <c r="K122" i="7"/>
  <c r="M123" i="9" s="1"/>
  <c r="O123" i="9" s="1"/>
  <c r="E122" i="7"/>
  <c r="D122" i="7"/>
  <c r="C122" i="7"/>
  <c r="K121" i="7"/>
  <c r="M122" i="9" s="1"/>
  <c r="O122" i="9" s="1"/>
  <c r="E121" i="7"/>
  <c r="D121" i="7"/>
  <c r="C121" i="7"/>
  <c r="K120" i="7"/>
  <c r="M121" i="9" s="1"/>
  <c r="O121" i="9" s="1"/>
  <c r="E120" i="7"/>
  <c r="D120" i="7"/>
  <c r="C120" i="7"/>
  <c r="K119" i="7"/>
  <c r="M120" i="9" s="1"/>
  <c r="O120" i="9" s="1"/>
  <c r="E119" i="7"/>
  <c r="D119" i="7"/>
  <c r="C119" i="7"/>
  <c r="K118" i="7"/>
  <c r="M119" i="9" s="1"/>
  <c r="O119" i="9" s="1"/>
  <c r="E118" i="7"/>
  <c r="D118" i="7"/>
  <c r="C118" i="7"/>
  <c r="K117" i="7"/>
  <c r="M118" i="9" s="1"/>
  <c r="O118" i="9" s="1"/>
  <c r="E117" i="7"/>
  <c r="D117" i="7"/>
  <c r="C117" i="7"/>
  <c r="K116" i="7"/>
  <c r="M117" i="9" s="1"/>
  <c r="O117" i="9" s="1"/>
  <c r="E116" i="7"/>
  <c r="D116" i="7"/>
  <c r="C116" i="7"/>
  <c r="K115" i="7"/>
  <c r="M116" i="9" s="1"/>
  <c r="O116" i="9" s="1"/>
  <c r="E115" i="7"/>
  <c r="D115" i="7"/>
  <c r="C115" i="7"/>
  <c r="K114" i="7"/>
  <c r="M115" i="9" s="1"/>
  <c r="O115" i="9" s="1"/>
  <c r="E114" i="7"/>
  <c r="D114" i="7"/>
  <c r="C114" i="7"/>
  <c r="K113" i="7"/>
  <c r="M114" i="9" s="1"/>
  <c r="O114" i="9" s="1"/>
  <c r="E113" i="7"/>
  <c r="D113" i="7"/>
  <c r="C113" i="7"/>
  <c r="K112" i="7"/>
  <c r="M113" i="9" s="1"/>
  <c r="O113" i="9" s="1"/>
  <c r="E112" i="7"/>
  <c r="D112" i="7"/>
  <c r="C112" i="7"/>
  <c r="K111" i="7"/>
  <c r="M112" i="9" s="1"/>
  <c r="O112" i="9" s="1"/>
  <c r="E111" i="7"/>
  <c r="D111" i="7"/>
  <c r="C111" i="7"/>
  <c r="K110" i="7"/>
  <c r="M111" i="9" s="1"/>
  <c r="O111" i="9" s="1"/>
  <c r="E110" i="7"/>
  <c r="D110" i="7"/>
  <c r="C110" i="7"/>
  <c r="K109" i="7"/>
  <c r="M110" i="9" s="1"/>
  <c r="O110" i="9" s="1"/>
  <c r="E109" i="7"/>
  <c r="D109" i="7"/>
  <c r="C109" i="7"/>
  <c r="K108" i="7"/>
  <c r="M109" i="9" s="1"/>
  <c r="O109" i="9" s="1"/>
  <c r="E108" i="7"/>
  <c r="D108" i="7"/>
  <c r="C108" i="7"/>
  <c r="K107" i="7"/>
  <c r="M108" i="9" s="1"/>
  <c r="O108" i="9" s="1"/>
  <c r="E107" i="7"/>
  <c r="D107" i="7"/>
  <c r="C107" i="7"/>
  <c r="K106" i="7"/>
  <c r="M107" i="9" s="1"/>
  <c r="O107" i="9" s="1"/>
  <c r="E106" i="7"/>
  <c r="D106" i="7"/>
  <c r="C106" i="7"/>
  <c r="K105" i="7"/>
  <c r="M106" i="9" s="1"/>
  <c r="O106" i="9" s="1"/>
  <c r="E105" i="7"/>
  <c r="D105" i="7"/>
  <c r="C105" i="7"/>
  <c r="K104" i="7"/>
  <c r="M105" i="9" s="1"/>
  <c r="O105" i="9" s="1"/>
  <c r="E104" i="7"/>
  <c r="D104" i="7"/>
  <c r="C104" i="7"/>
  <c r="K103" i="7"/>
  <c r="M104" i="9" s="1"/>
  <c r="O104" i="9" s="1"/>
  <c r="E103" i="7"/>
  <c r="D103" i="7"/>
  <c r="C103" i="7"/>
  <c r="K102" i="7"/>
  <c r="M103" i="9" s="1"/>
  <c r="O103" i="9" s="1"/>
  <c r="E102" i="7"/>
  <c r="D102" i="7"/>
  <c r="C102" i="7"/>
  <c r="K101" i="7"/>
  <c r="M102" i="9" s="1"/>
  <c r="O102" i="9" s="1"/>
  <c r="E101" i="7"/>
  <c r="D101" i="7"/>
  <c r="C101" i="7"/>
  <c r="K100" i="7"/>
  <c r="M101" i="9" s="1"/>
  <c r="O101" i="9" s="1"/>
  <c r="E100" i="7"/>
  <c r="D100" i="7"/>
  <c r="C100" i="7"/>
  <c r="K99" i="7"/>
  <c r="M100" i="9" s="1"/>
  <c r="O100" i="9" s="1"/>
  <c r="E99" i="7"/>
  <c r="D99" i="7"/>
  <c r="C99" i="7"/>
  <c r="K98" i="7"/>
  <c r="M99" i="9" s="1"/>
  <c r="O99" i="9" s="1"/>
  <c r="E98" i="7"/>
  <c r="D98" i="7"/>
  <c r="C98" i="7"/>
  <c r="K97" i="7"/>
  <c r="M98" i="9" s="1"/>
  <c r="O98" i="9" s="1"/>
  <c r="E97" i="7"/>
  <c r="D97" i="7"/>
  <c r="C97" i="7"/>
  <c r="K96" i="7"/>
  <c r="M97" i="9" s="1"/>
  <c r="O97" i="9" s="1"/>
  <c r="E96" i="7"/>
  <c r="D96" i="7"/>
  <c r="C96" i="7"/>
  <c r="K95" i="7"/>
  <c r="M96" i="9" s="1"/>
  <c r="O96" i="9" s="1"/>
  <c r="E95" i="7"/>
  <c r="D95" i="7"/>
  <c r="C95" i="7"/>
  <c r="K94" i="7"/>
  <c r="M95" i="9" s="1"/>
  <c r="O95" i="9" s="1"/>
  <c r="E94" i="7"/>
  <c r="D94" i="7"/>
  <c r="C94" i="7"/>
  <c r="K93" i="7"/>
  <c r="M94" i="9" s="1"/>
  <c r="O94" i="9" s="1"/>
  <c r="E93" i="7"/>
  <c r="D93" i="7"/>
  <c r="C93" i="7"/>
  <c r="K92" i="7"/>
  <c r="M93" i="9" s="1"/>
  <c r="O93" i="9" s="1"/>
  <c r="E92" i="7"/>
  <c r="D92" i="7"/>
  <c r="C92" i="7"/>
  <c r="K91" i="7"/>
  <c r="M92" i="9" s="1"/>
  <c r="O92" i="9" s="1"/>
  <c r="E91" i="7"/>
  <c r="D91" i="7"/>
  <c r="C91" i="7"/>
  <c r="K90" i="7"/>
  <c r="M91" i="9" s="1"/>
  <c r="O91" i="9" s="1"/>
  <c r="E90" i="7"/>
  <c r="D90" i="7"/>
  <c r="C90" i="7"/>
  <c r="K89" i="7"/>
  <c r="M90" i="9" s="1"/>
  <c r="O90" i="9" s="1"/>
  <c r="E89" i="7"/>
  <c r="D89" i="7"/>
  <c r="C89" i="7"/>
  <c r="K86" i="7"/>
  <c r="E86" i="7"/>
  <c r="D86" i="7"/>
  <c r="C86" i="7"/>
  <c r="K85" i="7"/>
  <c r="M86" i="9" s="1"/>
  <c r="O86" i="9" s="1"/>
  <c r="E85" i="7"/>
  <c r="D85" i="7"/>
  <c r="C85" i="7"/>
  <c r="K84" i="7"/>
  <c r="M85" i="9" s="1"/>
  <c r="O85" i="9" s="1"/>
  <c r="E84" i="7"/>
  <c r="D84" i="7"/>
  <c r="C84" i="7"/>
  <c r="K83" i="7"/>
  <c r="M84" i="9" s="1"/>
  <c r="O84" i="9" s="1"/>
  <c r="E83" i="7"/>
  <c r="D83" i="7"/>
  <c r="C83" i="7"/>
  <c r="K82" i="7"/>
  <c r="M83" i="9" s="1"/>
  <c r="O83" i="9" s="1"/>
  <c r="E82" i="7"/>
  <c r="D82" i="7"/>
  <c r="C82" i="7"/>
  <c r="K81" i="7"/>
  <c r="M82" i="9" s="1"/>
  <c r="O82" i="9" s="1"/>
  <c r="E81" i="7"/>
  <c r="D81" i="7"/>
  <c r="C81" i="7"/>
  <c r="K80" i="7"/>
  <c r="M81" i="9" s="1"/>
  <c r="O81" i="9" s="1"/>
  <c r="E80" i="7"/>
  <c r="D80" i="7"/>
  <c r="C80" i="7"/>
  <c r="K79" i="7"/>
  <c r="M80" i="9" s="1"/>
  <c r="O80" i="9" s="1"/>
  <c r="E79" i="7"/>
  <c r="D79" i="7"/>
  <c r="C79" i="7"/>
  <c r="K78" i="7"/>
  <c r="M79" i="9" s="1"/>
  <c r="O79" i="9" s="1"/>
  <c r="E78" i="7"/>
  <c r="D78" i="7"/>
  <c r="C78" i="7"/>
  <c r="K77" i="7"/>
  <c r="M78" i="9" s="1"/>
  <c r="O78" i="9" s="1"/>
  <c r="E77" i="7"/>
  <c r="D77" i="7"/>
  <c r="C77" i="7"/>
  <c r="K76" i="7"/>
  <c r="M77" i="9" s="1"/>
  <c r="O77" i="9" s="1"/>
  <c r="E76" i="7"/>
  <c r="D76" i="7"/>
  <c r="C76" i="7"/>
  <c r="K75" i="7"/>
  <c r="M76" i="9" s="1"/>
  <c r="O76" i="9" s="1"/>
  <c r="E75" i="7"/>
  <c r="D75" i="7"/>
  <c r="C75" i="7"/>
  <c r="K74" i="7"/>
  <c r="M75" i="9" s="1"/>
  <c r="O75" i="9" s="1"/>
  <c r="E74" i="7"/>
  <c r="D74" i="7"/>
  <c r="C74" i="7"/>
  <c r="K73" i="7"/>
  <c r="M74" i="9" s="1"/>
  <c r="O74" i="9" s="1"/>
  <c r="E73" i="7"/>
  <c r="D73" i="7"/>
  <c r="C73" i="7"/>
  <c r="K72" i="7"/>
  <c r="M73" i="9" s="1"/>
  <c r="O73" i="9" s="1"/>
  <c r="E72" i="7"/>
  <c r="D72" i="7"/>
  <c r="C72" i="7"/>
  <c r="K71" i="7"/>
  <c r="M72" i="9" s="1"/>
  <c r="E71" i="7"/>
  <c r="D71" i="7"/>
  <c r="C71" i="7"/>
  <c r="K70" i="7"/>
  <c r="E70" i="7"/>
  <c r="E137" i="7" s="1"/>
  <c r="D70" i="7"/>
  <c r="D137" i="7" s="1"/>
  <c r="C70" i="7"/>
  <c r="K69" i="7"/>
  <c r="M70" i="9" s="1"/>
  <c r="O70" i="9" s="1"/>
  <c r="E69" i="7"/>
  <c r="D69" i="7"/>
  <c r="C69" i="7"/>
  <c r="K68" i="7"/>
  <c r="M69" i="9" s="1"/>
  <c r="O69" i="9" s="1"/>
  <c r="E68" i="7"/>
  <c r="D68" i="7"/>
  <c r="C68" i="7"/>
  <c r="K67" i="7"/>
  <c r="M68" i="9" s="1"/>
  <c r="O68" i="9" s="1"/>
  <c r="E67" i="7"/>
  <c r="D67" i="7"/>
  <c r="C67" i="7"/>
  <c r="K66" i="7"/>
  <c r="M67" i="9" s="1"/>
  <c r="O67" i="9" s="1"/>
  <c r="E66" i="7"/>
  <c r="D66" i="7"/>
  <c r="C66" i="7"/>
  <c r="K65" i="7"/>
  <c r="M66" i="9" s="1"/>
  <c r="O66" i="9" s="1"/>
  <c r="E65" i="7"/>
  <c r="D65" i="7"/>
  <c r="C65" i="7"/>
  <c r="K64" i="7"/>
  <c r="M65" i="9" s="1"/>
  <c r="O65" i="9" s="1"/>
  <c r="E64" i="7"/>
  <c r="D64" i="7"/>
  <c r="C64" i="7"/>
  <c r="K63" i="7"/>
  <c r="M64" i="9" s="1"/>
  <c r="O64" i="9" s="1"/>
  <c r="E63" i="7"/>
  <c r="D63" i="7"/>
  <c r="C63" i="7"/>
  <c r="K62" i="7"/>
  <c r="M63" i="9" s="1"/>
  <c r="O63" i="9" s="1"/>
  <c r="E62" i="7"/>
  <c r="D62" i="7"/>
  <c r="C62" i="7"/>
  <c r="K61" i="7"/>
  <c r="M62" i="9" s="1"/>
  <c r="O62" i="9" s="1"/>
  <c r="E61" i="7"/>
  <c r="D61" i="7"/>
  <c r="C61" i="7"/>
  <c r="K60" i="7"/>
  <c r="M61" i="9" s="1"/>
  <c r="O61" i="9" s="1"/>
  <c r="E60" i="7"/>
  <c r="D60" i="7"/>
  <c r="C60" i="7"/>
  <c r="K59" i="7"/>
  <c r="M60" i="9" s="1"/>
  <c r="O60" i="9" s="1"/>
  <c r="E59" i="7"/>
  <c r="D59" i="7"/>
  <c r="C59" i="7"/>
  <c r="K58" i="7"/>
  <c r="M59" i="9" s="1"/>
  <c r="O59" i="9" s="1"/>
  <c r="E58" i="7"/>
  <c r="D58" i="7"/>
  <c r="C58" i="7"/>
  <c r="K57" i="7"/>
  <c r="M58" i="9" s="1"/>
  <c r="O58" i="9" s="1"/>
  <c r="E57" i="7"/>
  <c r="D57" i="7"/>
  <c r="C57" i="7"/>
  <c r="K56" i="7"/>
  <c r="M57" i="9" s="1"/>
  <c r="O57" i="9" s="1"/>
  <c r="E56" i="7"/>
  <c r="D56" i="7"/>
  <c r="C56" i="7"/>
  <c r="K55" i="7"/>
  <c r="M56" i="9" s="1"/>
  <c r="O56" i="9" s="1"/>
  <c r="E55" i="7"/>
  <c r="D55" i="7"/>
  <c r="C55" i="7"/>
  <c r="K54" i="7"/>
  <c r="M55" i="9" s="1"/>
  <c r="O55" i="9" s="1"/>
  <c r="E54" i="7"/>
  <c r="D54" i="7"/>
  <c r="C54" i="7"/>
  <c r="K53" i="7"/>
  <c r="M54" i="9" s="1"/>
  <c r="O54" i="9" s="1"/>
  <c r="E53" i="7"/>
  <c r="D53" i="7"/>
  <c r="C53" i="7"/>
  <c r="K52" i="7"/>
  <c r="M53" i="9" s="1"/>
  <c r="O53" i="9" s="1"/>
  <c r="E52" i="7"/>
  <c r="D52" i="7"/>
  <c r="C52" i="7"/>
  <c r="K51" i="7"/>
  <c r="M52" i="9" s="1"/>
  <c r="O52" i="9" s="1"/>
  <c r="E51" i="7"/>
  <c r="D51" i="7"/>
  <c r="C51" i="7"/>
  <c r="K50" i="7"/>
  <c r="M51" i="9" s="1"/>
  <c r="O51" i="9" s="1"/>
  <c r="E50" i="7"/>
  <c r="D50" i="7"/>
  <c r="C50" i="7"/>
  <c r="K49" i="7"/>
  <c r="M50" i="9" s="1"/>
  <c r="O50" i="9" s="1"/>
  <c r="E49" i="7"/>
  <c r="D49" i="7"/>
  <c r="C49" i="7"/>
  <c r="K48" i="7"/>
  <c r="M49" i="9" s="1"/>
  <c r="O49" i="9" s="1"/>
  <c r="E48" i="7"/>
  <c r="D48" i="7"/>
  <c r="C48" i="7"/>
  <c r="K47" i="7"/>
  <c r="M48" i="9" s="1"/>
  <c r="O48" i="9" s="1"/>
  <c r="E47" i="7"/>
  <c r="D47" i="7"/>
  <c r="C47" i="7"/>
  <c r="K46" i="7"/>
  <c r="M47" i="9" s="1"/>
  <c r="O47" i="9" s="1"/>
  <c r="E46" i="7"/>
  <c r="D46" i="7"/>
  <c r="C46" i="7"/>
  <c r="K45" i="7"/>
  <c r="M46" i="9" s="1"/>
  <c r="O46" i="9" s="1"/>
  <c r="E45" i="7"/>
  <c r="D45" i="7"/>
  <c r="C45" i="7"/>
  <c r="K44" i="7"/>
  <c r="M45" i="9" s="1"/>
  <c r="O45" i="9" s="1"/>
  <c r="E44" i="7"/>
  <c r="D44" i="7"/>
  <c r="C44" i="7"/>
  <c r="K43" i="7"/>
  <c r="M44" i="9" s="1"/>
  <c r="O44" i="9" s="1"/>
  <c r="E43" i="7"/>
  <c r="D43" i="7"/>
  <c r="C43" i="7"/>
  <c r="K42" i="7"/>
  <c r="M43" i="9" s="1"/>
  <c r="O43" i="9" s="1"/>
  <c r="E42" i="7"/>
  <c r="D42" i="7"/>
  <c r="C42" i="7"/>
  <c r="K41" i="7"/>
  <c r="M42" i="9" s="1"/>
  <c r="O42" i="9" s="1"/>
  <c r="E41" i="7"/>
  <c r="D41" i="7"/>
  <c r="C41" i="7"/>
  <c r="K40" i="7"/>
  <c r="M41" i="9" s="1"/>
  <c r="O41" i="9" s="1"/>
  <c r="E40" i="7"/>
  <c r="D40" i="7"/>
  <c r="C40" i="7"/>
  <c r="K39" i="7"/>
  <c r="M40" i="9" s="1"/>
  <c r="O40" i="9" s="1"/>
  <c r="E39" i="7"/>
  <c r="D39" i="7"/>
  <c r="C39" i="7"/>
  <c r="K38" i="7"/>
  <c r="M39" i="9" s="1"/>
  <c r="O39" i="9" s="1"/>
  <c r="E38" i="7"/>
  <c r="D38" i="7"/>
  <c r="C38" i="7"/>
  <c r="K37" i="7"/>
  <c r="M38" i="9" s="1"/>
  <c r="O38" i="9" s="1"/>
  <c r="E37" i="7"/>
  <c r="D37" i="7"/>
  <c r="C37" i="7"/>
  <c r="K36" i="7"/>
  <c r="M37" i="9" s="1"/>
  <c r="O37" i="9" s="1"/>
  <c r="E36" i="7"/>
  <c r="D36" i="7"/>
  <c r="C36" i="7"/>
  <c r="K35" i="7"/>
  <c r="M36" i="9" s="1"/>
  <c r="O36" i="9" s="1"/>
  <c r="E35" i="7"/>
  <c r="D35" i="7"/>
  <c r="C35" i="7"/>
  <c r="K34" i="7"/>
  <c r="M35" i="9" s="1"/>
  <c r="O35" i="9" s="1"/>
  <c r="E34" i="7"/>
  <c r="D34" i="7"/>
  <c r="C34" i="7"/>
  <c r="K33" i="7"/>
  <c r="M34" i="9" s="1"/>
  <c r="O34" i="9" s="1"/>
  <c r="E33" i="7"/>
  <c r="D33" i="7"/>
  <c r="C33" i="7"/>
  <c r="K32" i="7"/>
  <c r="M33" i="9" s="1"/>
  <c r="O33" i="9" s="1"/>
  <c r="E32" i="7"/>
  <c r="D32" i="7"/>
  <c r="C32" i="7"/>
  <c r="K31" i="7"/>
  <c r="M32" i="9" s="1"/>
  <c r="O32" i="9" s="1"/>
  <c r="E31" i="7"/>
  <c r="D31" i="7"/>
  <c r="C31" i="7"/>
  <c r="K30" i="7"/>
  <c r="M31" i="9" s="1"/>
  <c r="O31" i="9" s="1"/>
  <c r="E30" i="7"/>
  <c r="D30" i="7"/>
  <c r="C30" i="7"/>
  <c r="K29" i="7"/>
  <c r="M30" i="9" s="1"/>
  <c r="O30" i="9" s="1"/>
  <c r="E29" i="7"/>
  <c r="D29" i="7"/>
  <c r="C29" i="7"/>
  <c r="K28" i="7"/>
  <c r="M29" i="9" s="1"/>
  <c r="O29" i="9" s="1"/>
  <c r="E28" i="7"/>
  <c r="D28" i="7"/>
  <c r="C28" i="7"/>
  <c r="K27" i="7"/>
  <c r="M28" i="9" s="1"/>
  <c r="O28" i="9" s="1"/>
  <c r="E27" i="7"/>
  <c r="D27" i="7"/>
  <c r="C27" i="7"/>
  <c r="K26" i="7"/>
  <c r="M27" i="9" s="1"/>
  <c r="O27" i="9" s="1"/>
  <c r="E26" i="7"/>
  <c r="D26" i="7"/>
  <c r="C26" i="7"/>
  <c r="K25" i="7"/>
  <c r="M26" i="9" s="1"/>
  <c r="O26" i="9" s="1"/>
  <c r="E25" i="7"/>
  <c r="D25" i="7"/>
  <c r="C25" i="7"/>
  <c r="K24" i="7"/>
  <c r="M25" i="9" s="1"/>
  <c r="O25" i="9" s="1"/>
  <c r="E24" i="7"/>
  <c r="D24" i="7"/>
  <c r="C24" i="7"/>
  <c r="K23" i="7"/>
  <c r="M24" i="9" s="1"/>
  <c r="O24" i="9" s="1"/>
  <c r="E23" i="7"/>
  <c r="D23" i="7"/>
  <c r="C23" i="7"/>
  <c r="K22" i="7"/>
  <c r="M23" i="9" s="1"/>
  <c r="O23" i="9" s="1"/>
  <c r="E22" i="7"/>
  <c r="D22" i="7"/>
  <c r="C22" i="7"/>
  <c r="K21" i="7"/>
  <c r="M22" i="9" s="1"/>
  <c r="O22" i="9" s="1"/>
  <c r="E21" i="7"/>
  <c r="D21" i="7"/>
  <c r="C21" i="7"/>
  <c r="K20" i="7"/>
  <c r="M21" i="9" s="1"/>
  <c r="O21" i="9" s="1"/>
  <c r="E20" i="7"/>
  <c r="D20" i="7"/>
  <c r="C20" i="7"/>
  <c r="K19" i="7"/>
  <c r="M20" i="9" s="1"/>
  <c r="O20" i="9" s="1"/>
  <c r="E19" i="7"/>
  <c r="D19" i="7"/>
  <c r="C19" i="7"/>
  <c r="K18" i="7"/>
  <c r="M19" i="9" s="1"/>
  <c r="O19" i="9" s="1"/>
  <c r="E18" i="7"/>
  <c r="D18" i="7"/>
  <c r="C18" i="7"/>
  <c r="K17" i="7"/>
  <c r="M18" i="9" s="1"/>
  <c r="O18" i="9" s="1"/>
  <c r="E17" i="7"/>
  <c r="D17" i="7"/>
  <c r="C17" i="7"/>
  <c r="K16" i="7"/>
  <c r="M17" i="9" s="1"/>
  <c r="O17" i="9" s="1"/>
  <c r="E16" i="7"/>
  <c r="D16" i="7"/>
  <c r="C16" i="7"/>
  <c r="K15" i="7"/>
  <c r="M16" i="9" s="1"/>
  <c r="O16" i="9" s="1"/>
  <c r="E15" i="7"/>
  <c r="D15" i="7"/>
  <c r="C15" i="7"/>
  <c r="K14" i="7"/>
  <c r="M15" i="9" s="1"/>
  <c r="O15" i="9" s="1"/>
  <c r="E14" i="7"/>
  <c r="D14" i="7"/>
  <c r="C14" i="7"/>
  <c r="K13" i="7"/>
  <c r="M14" i="9" s="1"/>
  <c r="O14" i="9" s="1"/>
  <c r="E13" i="7"/>
  <c r="D13" i="7"/>
  <c r="C13" i="7"/>
  <c r="K12" i="7"/>
  <c r="M13" i="9" s="1"/>
  <c r="O13" i="9" s="1"/>
  <c r="E12" i="7"/>
  <c r="D12" i="7"/>
  <c r="C12" i="7"/>
  <c r="K11" i="7"/>
  <c r="M12" i="9" s="1"/>
  <c r="O12" i="9" s="1"/>
  <c r="E11" i="7"/>
  <c r="D11" i="7"/>
  <c r="C11" i="7"/>
  <c r="K10" i="7"/>
  <c r="M11" i="9" s="1"/>
  <c r="O11" i="9" s="1"/>
  <c r="E10" i="7"/>
  <c r="D10" i="7"/>
  <c r="C10" i="7"/>
  <c r="K9" i="7"/>
  <c r="M10" i="9" s="1"/>
  <c r="O10" i="9" s="1"/>
  <c r="E9" i="7"/>
  <c r="D9" i="7"/>
  <c r="C9" i="7"/>
  <c r="K8" i="7"/>
  <c r="M9" i="9" s="1"/>
  <c r="O9" i="9" s="1"/>
  <c r="E8" i="7"/>
  <c r="D8" i="7"/>
  <c r="C8" i="7"/>
  <c r="K7" i="7"/>
  <c r="M8" i="9" s="1"/>
  <c r="O8" i="9" s="1"/>
  <c r="E7" i="7"/>
  <c r="D7" i="7"/>
  <c r="C7" i="7"/>
  <c r="K6" i="7"/>
  <c r="M7" i="9" s="1"/>
  <c r="O7" i="9" s="1"/>
  <c r="E6" i="7"/>
  <c r="D6" i="7"/>
  <c r="C6" i="7"/>
  <c r="K5" i="7"/>
  <c r="M6" i="9" s="1"/>
  <c r="O6" i="9" s="1"/>
  <c r="E5" i="7"/>
  <c r="D5" i="7"/>
  <c r="C5" i="7"/>
  <c r="K4" i="7"/>
  <c r="M5" i="9" s="1"/>
  <c r="O5" i="9" s="1"/>
  <c r="E4" i="7"/>
  <c r="D4" i="7"/>
  <c r="C4" i="7"/>
  <c r="K3" i="7"/>
  <c r="M4" i="9" s="1"/>
  <c r="E3" i="7"/>
  <c r="D3" i="7"/>
  <c r="C3" i="7"/>
  <c r="E2" i="7"/>
  <c r="D2" i="7"/>
  <c r="C2" i="7"/>
  <c r="C23" i="1"/>
  <c r="C18" i="1"/>
  <c r="C13" i="1"/>
  <c r="L134" i="6"/>
  <c r="I134" i="6"/>
  <c r="H134" i="6"/>
  <c r="G134" i="6"/>
  <c r="F134" i="6"/>
  <c r="L132" i="6"/>
  <c r="H132" i="6"/>
  <c r="G132" i="6"/>
  <c r="F132" i="6"/>
  <c r="E131" i="6"/>
  <c r="D131" i="6"/>
  <c r="C131" i="6"/>
  <c r="E130" i="6"/>
  <c r="D130" i="6"/>
  <c r="C130" i="6"/>
  <c r="E129" i="6"/>
  <c r="D129" i="6"/>
  <c r="C129" i="6"/>
  <c r="E128" i="6"/>
  <c r="D128" i="6"/>
  <c r="C128" i="6"/>
  <c r="E127" i="6"/>
  <c r="D127" i="6"/>
  <c r="C127" i="6"/>
  <c r="E126" i="6"/>
  <c r="D126" i="6"/>
  <c r="C126" i="6"/>
  <c r="E125" i="6"/>
  <c r="D125" i="6"/>
  <c r="C125" i="6"/>
  <c r="E124" i="6"/>
  <c r="D124" i="6"/>
  <c r="C124" i="6"/>
  <c r="E123" i="6"/>
  <c r="D123" i="6"/>
  <c r="C123" i="6"/>
  <c r="E122" i="6"/>
  <c r="D122" i="6"/>
  <c r="C122" i="6"/>
  <c r="E121" i="6"/>
  <c r="D121" i="6"/>
  <c r="C121" i="6"/>
  <c r="E120" i="6"/>
  <c r="D120" i="6"/>
  <c r="C120" i="6"/>
  <c r="E119" i="6"/>
  <c r="D119" i="6"/>
  <c r="C119" i="6"/>
  <c r="E118" i="6"/>
  <c r="D118" i="6"/>
  <c r="C118" i="6"/>
  <c r="E117" i="6"/>
  <c r="D117" i="6"/>
  <c r="C117" i="6"/>
  <c r="E116" i="6"/>
  <c r="D116" i="6"/>
  <c r="C116" i="6"/>
  <c r="E115" i="6"/>
  <c r="D115" i="6"/>
  <c r="C115" i="6"/>
  <c r="E114" i="6"/>
  <c r="D114" i="6"/>
  <c r="C114" i="6"/>
  <c r="E113" i="6"/>
  <c r="D113" i="6"/>
  <c r="C113" i="6"/>
  <c r="E112" i="6"/>
  <c r="D112" i="6"/>
  <c r="C112" i="6"/>
  <c r="E111" i="6"/>
  <c r="D111" i="6"/>
  <c r="C111" i="6"/>
  <c r="E110" i="6"/>
  <c r="D110" i="6"/>
  <c r="C110" i="6"/>
  <c r="E109" i="6"/>
  <c r="D109" i="6"/>
  <c r="C109" i="6"/>
  <c r="E108" i="6"/>
  <c r="D108" i="6"/>
  <c r="C108" i="6"/>
  <c r="E107" i="6"/>
  <c r="D107" i="6"/>
  <c r="C107" i="6"/>
  <c r="E106" i="6"/>
  <c r="D106" i="6"/>
  <c r="C106" i="6"/>
  <c r="E105" i="6"/>
  <c r="D105" i="6"/>
  <c r="C105" i="6"/>
  <c r="E104" i="6"/>
  <c r="D104" i="6"/>
  <c r="C104" i="6"/>
  <c r="E103" i="6"/>
  <c r="D103" i="6"/>
  <c r="C103" i="6"/>
  <c r="E102" i="6"/>
  <c r="D102" i="6"/>
  <c r="C102" i="6"/>
  <c r="E101" i="6"/>
  <c r="D101" i="6"/>
  <c r="C101" i="6"/>
  <c r="E100" i="6"/>
  <c r="D100" i="6"/>
  <c r="C100" i="6"/>
  <c r="E99" i="6"/>
  <c r="D99" i="6"/>
  <c r="C99" i="6"/>
  <c r="E98" i="6"/>
  <c r="D98" i="6"/>
  <c r="C98" i="6"/>
  <c r="E97" i="6"/>
  <c r="D97" i="6"/>
  <c r="C97" i="6"/>
  <c r="E96" i="6"/>
  <c r="D96" i="6"/>
  <c r="C96" i="6"/>
  <c r="E95" i="6"/>
  <c r="D95" i="6"/>
  <c r="C95" i="6"/>
  <c r="E94" i="6"/>
  <c r="D94" i="6"/>
  <c r="C94" i="6"/>
  <c r="E93" i="6"/>
  <c r="D93" i="6"/>
  <c r="C93" i="6"/>
  <c r="E92" i="6"/>
  <c r="D92" i="6"/>
  <c r="C92" i="6"/>
  <c r="E91" i="6"/>
  <c r="D91" i="6"/>
  <c r="C91" i="6"/>
  <c r="E90" i="6"/>
  <c r="D90" i="6"/>
  <c r="C90" i="6"/>
  <c r="E89" i="6"/>
  <c r="D89" i="6"/>
  <c r="C89" i="6"/>
  <c r="J89" i="6" s="1"/>
  <c r="K89" i="6" s="1"/>
  <c r="E86" i="6"/>
  <c r="D86" i="6"/>
  <c r="C86" i="6"/>
  <c r="E85" i="6"/>
  <c r="D85" i="6"/>
  <c r="C85" i="6"/>
  <c r="E84" i="6"/>
  <c r="D84" i="6"/>
  <c r="C84" i="6"/>
  <c r="E83" i="6"/>
  <c r="D83" i="6"/>
  <c r="C83" i="6"/>
  <c r="E82" i="6"/>
  <c r="D82" i="6"/>
  <c r="C82" i="6"/>
  <c r="E81" i="6"/>
  <c r="D81" i="6"/>
  <c r="C81" i="6"/>
  <c r="E80" i="6"/>
  <c r="D80" i="6"/>
  <c r="C80" i="6"/>
  <c r="E79" i="6"/>
  <c r="D79" i="6"/>
  <c r="C79" i="6"/>
  <c r="E78" i="6"/>
  <c r="D78" i="6"/>
  <c r="C78" i="6"/>
  <c r="E77" i="6"/>
  <c r="D77" i="6"/>
  <c r="C77" i="6"/>
  <c r="E76" i="6"/>
  <c r="D76" i="6"/>
  <c r="C76" i="6"/>
  <c r="E75" i="6"/>
  <c r="D75" i="6"/>
  <c r="C75" i="6"/>
  <c r="E74" i="6"/>
  <c r="D74" i="6"/>
  <c r="C74" i="6"/>
  <c r="E73" i="6"/>
  <c r="D73" i="6"/>
  <c r="C73" i="6"/>
  <c r="E72" i="6"/>
  <c r="D72" i="6"/>
  <c r="C72" i="6"/>
  <c r="E71" i="6"/>
  <c r="D71" i="6"/>
  <c r="C71" i="6"/>
  <c r="E70" i="6"/>
  <c r="E138" i="6" s="1"/>
  <c r="D70" i="6"/>
  <c r="D138" i="6" s="1"/>
  <c r="C70" i="6"/>
  <c r="E69" i="6"/>
  <c r="D69" i="6"/>
  <c r="C69" i="6"/>
  <c r="E68" i="6"/>
  <c r="D68" i="6"/>
  <c r="C68" i="6"/>
  <c r="E67" i="6"/>
  <c r="D67" i="6"/>
  <c r="C67" i="6"/>
  <c r="E66" i="6"/>
  <c r="D66" i="6"/>
  <c r="C66" i="6"/>
  <c r="E65" i="6"/>
  <c r="D65" i="6"/>
  <c r="C65" i="6"/>
  <c r="E64" i="6"/>
  <c r="D64" i="6"/>
  <c r="C64" i="6"/>
  <c r="E63" i="6"/>
  <c r="D63" i="6"/>
  <c r="C63" i="6"/>
  <c r="E62" i="6"/>
  <c r="D62" i="6"/>
  <c r="C62" i="6"/>
  <c r="E61" i="6"/>
  <c r="D61" i="6"/>
  <c r="C61" i="6"/>
  <c r="E60" i="6"/>
  <c r="D60" i="6"/>
  <c r="C60" i="6"/>
  <c r="E59" i="6"/>
  <c r="D59" i="6"/>
  <c r="C59" i="6"/>
  <c r="E58" i="6"/>
  <c r="D58" i="6"/>
  <c r="C58" i="6"/>
  <c r="E57" i="6"/>
  <c r="D57" i="6"/>
  <c r="C57" i="6"/>
  <c r="E56" i="6"/>
  <c r="D56" i="6"/>
  <c r="C56" i="6"/>
  <c r="E55" i="6"/>
  <c r="D55" i="6"/>
  <c r="C55" i="6"/>
  <c r="E54" i="6"/>
  <c r="D54" i="6"/>
  <c r="C54" i="6"/>
  <c r="E53" i="6"/>
  <c r="D53" i="6"/>
  <c r="C53" i="6"/>
  <c r="E52" i="6"/>
  <c r="D52" i="6"/>
  <c r="C52" i="6"/>
  <c r="E51" i="6"/>
  <c r="D51" i="6"/>
  <c r="C51" i="6"/>
  <c r="E50" i="6"/>
  <c r="D50" i="6"/>
  <c r="C50" i="6"/>
  <c r="E49" i="6"/>
  <c r="D49" i="6"/>
  <c r="C49" i="6"/>
  <c r="E48" i="6"/>
  <c r="D48" i="6"/>
  <c r="C48" i="6"/>
  <c r="E47" i="6"/>
  <c r="D47" i="6"/>
  <c r="C47" i="6"/>
  <c r="E46" i="6"/>
  <c r="D46" i="6"/>
  <c r="C46" i="6"/>
  <c r="E45" i="6"/>
  <c r="D45" i="6"/>
  <c r="C45" i="6"/>
  <c r="E44" i="6"/>
  <c r="D44" i="6"/>
  <c r="C44" i="6"/>
  <c r="E43" i="6"/>
  <c r="D43" i="6"/>
  <c r="C43" i="6"/>
  <c r="E42" i="6"/>
  <c r="D42" i="6"/>
  <c r="C42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E26" i="6"/>
  <c r="D26" i="6"/>
  <c r="C26" i="6"/>
  <c r="E25" i="6"/>
  <c r="D25" i="6"/>
  <c r="C25" i="6"/>
  <c r="E24" i="6"/>
  <c r="D24" i="6"/>
  <c r="C24" i="6"/>
  <c r="E23" i="6"/>
  <c r="D23" i="6"/>
  <c r="C23" i="6"/>
  <c r="E22" i="6"/>
  <c r="D22" i="6"/>
  <c r="C22" i="6"/>
  <c r="E21" i="6"/>
  <c r="D21" i="6"/>
  <c r="C21" i="6"/>
  <c r="E20" i="6"/>
  <c r="D20" i="6"/>
  <c r="C20" i="6"/>
  <c r="E19" i="6"/>
  <c r="D19" i="6"/>
  <c r="C19" i="6"/>
  <c r="E18" i="6"/>
  <c r="D18" i="6"/>
  <c r="C18" i="6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4" i="6"/>
  <c r="D4" i="6"/>
  <c r="C4" i="6"/>
  <c r="E3" i="6"/>
  <c r="D3" i="6"/>
  <c r="C3" i="6"/>
  <c r="E2" i="6"/>
  <c r="D2" i="6"/>
  <c r="C2" i="6"/>
  <c r="B138" i="5"/>
  <c r="L131" i="5"/>
  <c r="G132" i="9" s="1"/>
  <c r="I132" i="9" s="1"/>
  <c r="C131" i="5"/>
  <c r="M131" i="5" s="1"/>
  <c r="L130" i="5"/>
  <c r="G131" i="9" s="1"/>
  <c r="I131" i="9" s="1"/>
  <c r="C130" i="5"/>
  <c r="M130" i="5" s="1"/>
  <c r="L129" i="5"/>
  <c r="G130" i="9" s="1"/>
  <c r="I130" i="9" s="1"/>
  <c r="C129" i="5"/>
  <c r="M129" i="5" s="1"/>
  <c r="L128" i="5"/>
  <c r="G129" i="9" s="1"/>
  <c r="I129" i="9" s="1"/>
  <c r="C128" i="5"/>
  <c r="M128" i="5" s="1"/>
  <c r="L127" i="5"/>
  <c r="G128" i="9" s="1"/>
  <c r="I128" i="9" s="1"/>
  <c r="C127" i="5"/>
  <c r="M127" i="5" s="1"/>
  <c r="L126" i="5"/>
  <c r="G127" i="9" s="1"/>
  <c r="I127" i="9" s="1"/>
  <c r="C126" i="5"/>
  <c r="M126" i="5" s="1"/>
  <c r="L125" i="5"/>
  <c r="G126" i="9" s="1"/>
  <c r="I126" i="9" s="1"/>
  <c r="C125" i="5"/>
  <c r="M125" i="5" s="1"/>
  <c r="L124" i="5"/>
  <c r="G125" i="9" s="1"/>
  <c r="I125" i="9" s="1"/>
  <c r="C124" i="5"/>
  <c r="M124" i="5" s="1"/>
  <c r="L123" i="5"/>
  <c r="G124" i="9" s="1"/>
  <c r="I124" i="9" s="1"/>
  <c r="C123" i="5"/>
  <c r="M123" i="5" s="1"/>
  <c r="L122" i="5"/>
  <c r="G123" i="9" s="1"/>
  <c r="I123" i="9" s="1"/>
  <c r="C122" i="5"/>
  <c r="M122" i="5" s="1"/>
  <c r="L121" i="5"/>
  <c r="G122" i="9" s="1"/>
  <c r="I122" i="9" s="1"/>
  <c r="C121" i="5"/>
  <c r="M121" i="5" s="1"/>
  <c r="L120" i="5"/>
  <c r="G121" i="9" s="1"/>
  <c r="I121" i="9" s="1"/>
  <c r="C120" i="5"/>
  <c r="M120" i="5" s="1"/>
  <c r="L119" i="5"/>
  <c r="G120" i="9" s="1"/>
  <c r="I120" i="9" s="1"/>
  <c r="C119" i="5"/>
  <c r="M119" i="5" s="1"/>
  <c r="L118" i="5"/>
  <c r="G119" i="9" s="1"/>
  <c r="I119" i="9" s="1"/>
  <c r="C118" i="5"/>
  <c r="M118" i="5" s="1"/>
  <c r="L117" i="5"/>
  <c r="G118" i="9" s="1"/>
  <c r="I118" i="9" s="1"/>
  <c r="C117" i="5"/>
  <c r="M117" i="5" s="1"/>
  <c r="L116" i="5"/>
  <c r="G117" i="9" s="1"/>
  <c r="I117" i="9" s="1"/>
  <c r="C116" i="5"/>
  <c r="M116" i="5" s="1"/>
  <c r="L115" i="5"/>
  <c r="G116" i="9" s="1"/>
  <c r="I116" i="9" s="1"/>
  <c r="C115" i="5"/>
  <c r="M115" i="5" s="1"/>
  <c r="L114" i="5"/>
  <c r="G115" i="9" s="1"/>
  <c r="I115" i="9" s="1"/>
  <c r="C114" i="5"/>
  <c r="M114" i="5" s="1"/>
  <c r="L113" i="5"/>
  <c r="G114" i="9" s="1"/>
  <c r="I114" i="9" s="1"/>
  <c r="C113" i="5"/>
  <c r="M113" i="5" s="1"/>
  <c r="L112" i="5"/>
  <c r="G113" i="9" s="1"/>
  <c r="I113" i="9" s="1"/>
  <c r="C112" i="5"/>
  <c r="M112" i="5" s="1"/>
  <c r="L111" i="5"/>
  <c r="G112" i="9" s="1"/>
  <c r="I112" i="9" s="1"/>
  <c r="C111" i="5"/>
  <c r="M111" i="5" s="1"/>
  <c r="L110" i="5"/>
  <c r="G111" i="9" s="1"/>
  <c r="I111" i="9" s="1"/>
  <c r="C110" i="5"/>
  <c r="M110" i="5" s="1"/>
  <c r="L109" i="5"/>
  <c r="G110" i="9" s="1"/>
  <c r="I110" i="9" s="1"/>
  <c r="C109" i="5"/>
  <c r="M109" i="5" s="1"/>
  <c r="L108" i="5"/>
  <c r="G109" i="9" s="1"/>
  <c r="I109" i="9" s="1"/>
  <c r="C108" i="5"/>
  <c r="M108" i="5" s="1"/>
  <c r="L107" i="5"/>
  <c r="G108" i="9" s="1"/>
  <c r="I108" i="9" s="1"/>
  <c r="C107" i="5"/>
  <c r="M107" i="5" s="1"/>
  <c r="L106" i="5"/>
  <c r="G107" i="9" s="1"/>
  <c r="I107" i="9" s="1"/>
  <c r="C106" i="5"/>
  <c r="M106" i="5" s="1"/>
  <c r="L105" i="5"/>
  <c r="G106" i="9" s="1"/>
  <c r="I106" i="9" s="1"/>
  <c r="C105" i="5"/>
  <c r="M105" i="5" s="1"/>
  <c r="L104" i="5"/>
  <c r="G105" i="9" s="1"/>
  <c r="I105" i="9" s="1"/>
  <c r="C104" i="5"/>
  <c r="M104" i="5" s="1"/>
  <c r="L103" i="5"/>
  <c r="G104" i="9" s="1"/>
  <c r="I104" i="9" s="1"/>
  <c r="C103" i="5"/>
  <c r="M103" i="5" s="1"/>
  <c r="L102" i="5"/>
  <c r="G103" i="9" s="1"/>
  <c r="I103" i="9" s="1"/>
  <c r="C102" i="5"/>
  <c r="M102" i="5" s="1"/>
  <c r="L101" i="5"/>
  <c r="G102" i="9" s="1"/>
  <c r="I102" i="9" s="1"/>
  <c r="C101" i="5"/>
  <c r="M101" i="5" s="1"/>
  <c r="L100" i="5"/>
  <c r="G101" i="9" s="1"/>
  <c r="I101" i="9" s="1"/>
  <c r="C100" i="5"/>
  <c r="M100" i="5" s="1"/>
  <c r="L99" i="5"/>
  <c r="G100" i="9" s="1"/>
  <c r="I100" i="9" s="1"/>
  <c r="C99" i="5"/>
  <c r="M99" i="5" s="1"/>
  <c r="L98" i="5"/>
  <c r="G99" i="9" s="1"/>
  <c r="I99" i="9" s="1"/>
  <c r="C98" i="5"/>
  <c r="M98" i="5" s="1"/>
  <c r="L97" i="5"/>
  <c r="G98" i="9" s="1"/>
  <c r="I98" i="9" s="1"/>
  <c r="C97" i="5"/>
  <c r="M97" i="5" s="1"/>
  <c r="L96" i="5"/>
  <c r="G97" i="9" s="1"/>
  <c r="I97" i="9" s="1"/>
  <c r="C96" i="5"/>
  <c r="M96" i="5" s="1"/>
  <c r="L95" i="5"/>
  <c r="G96" i="9" s="1"/>
  <c r="I96" i="9" s="1"/>
  <c r="C95" i="5"/>
  <c r="M95" i="5" s="1"/>
  <c r="L94" i="5"/>
  <c r="G95" i="9" s="1"/>
  <c r="I95" i="9" s="1"/>
  <c r="C94" i="5"/>
  <c r="M94" i="5" s="1"/>
  <c r="L93" i="5"/>
  <c r="G94" i="9" s="1"/>
  <c r="I94" i="9" s="1"/>
  <c r="C93" i="5"/>
  <c r="M93" i="5" s="1"/>
  <c r="L92" i="5"/>
  <c r="G93" i="9" s="1"/>
  <c r="I93" i="9" s="1"/>
  <c r="C92" i="5"/>
  <c r="M92" i="5" s="1"/>
  <c r="L91" i="5"/>
  <c r="G92" i="9" s="1"/>
  <c r="I92" i="9" s="1"/>
  <c r="C91" i="5"/>
  <c r="M91" i="5" s="1"/>
  <c r="L90" i="5"/>
  <c r="G91" i="9" s="1"/>
  <c r="I91" i="9" s="1"/>
  <c r="C90" i="5"/>
  <c r="M90" i="5" s="1"/>
  <c r="G90" i="9"/>
  <c r="I90" i="9" s="1"/>
  <c r="L86" i="5"/>
  <c r="C86" i="5"/>
  <c r="M86" i="5" s="1"/>
  <c r="L85" i="5"/>
  <c r="G86" i="9" s="1"/>
  <c r="I86" i="9" s="1"/>
  <c r="C85" i="5"/>
  <c r="M85" i="5" s="1"/>
  <c r="L84" i="5"/>
  <c r="G85" i="9" s="1"/>
  <c r="I85" i="9" s="1"/>
  <c r="C84" i="5"/>
  <c r="M84" i="5" s="1"/>
  <c r="L83" i="5"/>
  <c r="G84" i="9" s="1"/>
  <c r="I84" i="9" s="1"/>
  <c r="C83" i="5"/>
  <c r="M83" i="5" s="1"/>
  <c r="L82" i="5"/>
  <c r="G83" i="9" s="1"/>
  <c r="I83" i="9" s="1"/>
  <c r="C82" i="5"/>
  <c r="M82" i="5" s="1"/>
  <c r="L81" i="5"/>
  <c r="G82" i="9" s="1"/>
  <c r="I82" i="9" s="1"/>
  <c r="C81" i="5"/>
  <c r="M81" i="5" s="1"/>
  <c r="L80" i="5"/>
  <c r="G81" i="9" s="1"/>
  <c r="I81" i="9" s="1"/>
  <c r="C80" i="5"/>
  <c r="M80" i="5" s="1"/>
  <c r="L79" i="5"/>
  <c r="G80" i="9" s="1"/>
  <c r="I80" i="9" s="1"/>
  <c r="C79" i="5"/>
  <c r="M79" i="5" s="1"/>
  <c r="L78" i="5"/>
  <c r="G79" i="9" s="1"/>
  <c r="I79" i="9" s="1"/>
  <c r="C78" i="5"/>
  <c r="M78" i="5" s="1"/>
  <c r="L77" i="5"/>
  <c r="G78" i="9" s="1"/>
  <c r="I78" i="9" s="1"/>
  <c r="C77" i="5"/>
  <c r="M77" i="5" s="1"/>
  <c r="L76" i="5"/>
  <c r="G77" i="9" s="1"/>
  <c r="I77" i="9" s="1"/>
  <c r="C76" i="5"/>
  <c r="M76" i="5" s="1"/>
  <c r="L75" i="5"/>
  <c r="G76" i="9" s="1"/>
  <c r="I76" i="9" s="1"/>
  <c r="C75" i="5"/>
  <c r="M75" i="5" s="1"/>
  <c r="L74" i="5"/>
  <c r="G75" i="9" s="1"/>
  <c r="I75" i="9" s="1"/>
  <c r="C74" i="5"/>
  <c r="M74" i="5" s="1"/>
  <c r="L73" i="5"/>
  <c r="G74" i="9" s="1"/>
  <c r="I74" i="9" s="1"/>
  <c r="C73" i="5"/>
  <c r="M73" i="5" s="1"/>
  <c r="L72" i="5"/>
  <c r="G73" i="9" s="1"/>
  <c r="I73" i="9" s="1"/>
  <c r="C72" i="5"/>
  <c r="M72" i="5" s="1"/>
  <c r="L71" i="5"/>
  <c r="G72" i="9" s="1"/>
  <c r="C71" i="5"/>
  <c r="L70" i="5"/>
  <c r="C70" i="5"/>
  <c r="M70" i="5" s="1"/>
  <c r="M137" i="5" s="1"/>
  <c r="B24" i="1" s="1"/>
  <c r="L69" i="5"/>
  <c r="G70" i="9" s="1"/>
  <c r="I70" i="9" s="1"/>
  <c r="C69" i="5"/>
  <c r="M69" i="5" s="1"/>
  <c r="L68" i="5"/>
  <c r="G69" i="9" s="1"/>
  <c r="I69" i="9" s="1"/>
  <c r="C68" i="5"/>
  <c r="M68" i="5" s="1"/>
  <c r="L67" i="5"/>
  <c r="G68" i="9" s="1"/>
  <c r="I68" i="9" s="1"/>
  <c r="C67" i="5"/>
  <c r="M67" i="5" s="1"/>
  <c r="L66" i="5"/>
  <c r="G67" i="9" s="1"/>
  <c r="I67" i="9" s="1"/>
  <c r="C66" i="5"/>
  <c r="M66" i="5" s="1"/>
  <c r="L65" i="5"/>
  <c r="G66" i="9" s="1"/>
  <c r="I66" i="9" s="1"/>
  <c r="C65" i="5"/>
  <c r="M65" i="5" s="1"/>
  <c r="L64" i="5"/>
  <c r="G65" i="9" s="1"/>
  <c r="I65" i="9" s="1"/>
  <c r="C64" i="5"/>
  <c r="M64" i="5" s="1"/>
  <c r="L63" i="5"/>
  <c r="G64" i="9" s="1"/>
  <c r="I64" i="9" s="1"/>
  <c r="C63" i="5"/>
  <c r="M63" i="5" s="1"/>
  <c r="L62" i="5"/>
  <c r="G63" i="9" s="1"/>
  <c r="I63" i="9" s="1"/>
  <c r="C62" i="5"/>
  <c r="M62" i="5" s="1"/>
  <c r="L61" i="5"/>
  <c r="G62" i="9" s="1"/>
  <c r="I62" i="9" s="1"/>
  <c r="C61" i="5"/>
  <c r="M61" i="5" s="1"/>
  <c r="L60" i="5"/>
  <c r="G61" i="9" s="1"/>
  <c r="I61" i="9" s="1"/>
  <c r="C60" i="5"/>
  <c r="M60" i="5" s="1"/>
  <c r="L59" i="5"/>
  <c r="G60" i="9" s="1"/>
  <c r="I60" i="9" s="1"/>
  <c r="C59" i="5"/>
  <c r="M59" i="5" s="1"/>
  <c r="L58" i="5"/>
  <c r="G59" i="9" s="1"/>
  <c r="I59" i="9" s="1"/>
  <c r="C58" i="5"/>
  <c r="M58" i="5" s="1"/>
  <c r="L57" i="5"/>
  <c r="G58" i="9" s="1"/>
  <c r="I58" i="9" s="1"/>
  <c r="C57" i="5"/>
  <c r="M57" i="5" s="1"/>
  <c r="L56" i="5"/>
  <c r="G57" i="9" s="1"/>
  <c r="I57" i="9" s="1"/>
  <c r="C56" i="5"/>
  <c r="M56" i="5" s="1"/>
  <c r="L55" i="5"/>
  <c r="G56" i="9" s="1"/>
  <c r="I56" i="9" s="1"/>
  <c r="C55" i="5"/>
  <c r="M55" i="5" s="1"/>
  <c r="L54" i="5"/>
  <c r="G55" i="9" s="1"/>
  <c r="I55" i="9" s="1"/>
  <c r="C54" i="5"/>
  <c r="M54" i="5" s="1"/>
  <c r="L53" i="5"/>
  <c r="G54" i="9" s="1"/>
  <c r="I54" i="9" s="1"/>
  <c r="C53" i="5"/>
  <c r="M53" i="5" s="1"/>
  <c r="L52" i="5"/>
  <c r="G53" i="9" s="1"/>
  <c r="I53" i="9" s="1"/>
  <c r="C52" i="5"/>
  <c r="M52" i="5" s="1"/>
  <c r="L51" i="5"/>
  <c r="G52" i="9" s="1"/>
  <c r="I52" i="9" s="1"/>
  <c r="C51" i="5"/>
  <c r="M51" i="5" s="1"/>
  <c r="L50" i="5"/>
  <c r="G51" i="9" s="1"/>
  <c r="I51" i="9" s="1"/>
  <c r="C50" i="5"/>
  <c r="M50" i="5" s="1"/>
  <c r="L49" i="5"/>
  <c r="G50" i="9" s="1"/>
  <c r="I50" i="9" s="1"/>
  <c r="C49" i="5"/>
  <c r="M49" i="5" s="1"/>
  <c r="L48" i="5"/>
  <c r="G49" i="9" s="1"/>
  <c r="I49" i="9" s="1"/>
  <c r="C48" i="5"/>
  <c r="M48" i="5" s="1"/>
  <c r="L47" i="5"/>
  <c r="G48" i="9" s="1"/>
  <c r="I48" i="9" s="1"/>
  <c r="C47" i="5"/>
  <c r="M47" i="5" s="1"/>
  <c r="L46" i="5"/>
  <c r="G47" i="9" s="1"/>
  <c r="I47" i="9" s="1"/>
  <c r="C46" i="5"/>
  <c r="M46" i="5" s="1"/>
  <c r="L45" i="5"/>
  <c r="G46" i="9" s="1"/>
  <c r="I46" i="9" s="1"/>
  <c r="C45" i="5"/>
  <c r="M45" i="5" s="1"/>
  <c r="L44" i="5"/>
  <c r="G45" i="9" s="1"/>
  <c r="I45" i="9" s="1"/>
  <c r="C44" i="5"/>
  <c r="M44" i="5" s="1"/>
  <c r="L43" i="5"/>
  <c r="G44" i="9" s="1"/>
  <c r="I44" i="9" s="1"/>
  <c r="C43" i="5"/>
  <c r="M43" i="5" s="1"/>
  <c r="L42" i="5"/>
  <c r="G43" i="9" s="1"/>
  <c r="I43" i="9" s="1"/>
  <c r="C42" i="5"/>
  <c r="M42" i="5" s="1"/>
  <c r="L41" i="5"/>
  <c r="G42" i="9" s="1"/>
  <c r="I42" i="9" s="1"/>
  <c r="C41" i="5"/>
  <c r="M41" i="5" s="1"/>
  <c r="L40" i="5"/>
  <c r="G41" i="9" s="1"/>
  <c r="I41" i="9" s="1"/>
  <c r="C40" i="5"/>
  <c r="M40" i="5" s="1"/>
  <c r="L39" i="5"/>
  <c r="G40" i="9" s="1"/>
  <c r="I40" i="9" s="1"/>
  <c r="C39" i="5"/>
  <c r="M39" i="5" s="1"/>
  <c r="L38" i="5"/>
  <c r="G39" i="9" s="1"/>
  <c r="I39" i="9" s="1"/>
  <c r="C38" i="5"/>
  <c r="M38" i="5" s="1"/>
  <c r="L37" i="5"/>
  <c r="G38" i="9" s="1"/>
  <c r="I38" i="9" s="1"/>
  <c r="C37" i="5"/>
  <c r="M37" i="5" s="1"/>
  <c r="L36" i="5"/>
  <c r="G37" i="9" s="1"/>
  <c r="I37" i="9" s="1"/>
  <c r="C36" i="5"/>
  <c r="M36" i="5" s="1"/>
  <c r="L35" i="5"/>
  <c r="G36" i="9" s="1"/>
  <c r="I36" i="9" s="1"/>
  <c r="C35" i="5"/>
  <c r="M35" i="5" s="1"/>
  <c r="L34" i="5"/>
  <c r="G35" i="9" s="1"/>
  <c r="I35" i="9" s="1"/>
  <c r="C34" i="5"/>
  <c r="M34" i="5" s="1"/>
  <c r="L33" i="5"/>
  <c r="G34" i="9" s="1"/>
  <c r="I34" i="9" s="1"/>
  <c r="C33" i="5"/>
  <c r="M33" i="5" s="1"/>
  <c r="L32" i="5"/>
  <c r="G33" i="9" s="1"/>
  <c r="I33" i="9" s="1"/>
  <c r="C32" i="5"/>
  <c r="M32" i="5" s="1"/>
  <c r="L31" i="5"/>
  <c r="G32" i="9" s="1"/>
  <c r="I32" i="9" s="1"/>
  <c r="C31" i="5"/>
  <c r="M31" i="5" s="1"/>
  <c r="L30" i="5"/>
  <c r="G31" i="9" s="1"/>
  <c r="I31" i="9" s="1"/>
  <c r="C30" i="5"/>
  <c r="M30" i="5" s="1"/>
  <c r="L29" i="5"/>
  <c r="G30" i="9" s="1"/>
  <c r="I30" i="9" s="1"/>
  <c r="C29" i="5"/>
  <c r="M29" i="5" s="1"/>
  <c r="L28" i="5"/>
  <c r="G29" i="9" s="1"/>
  <c r="I29" i="9" s="1"/>
  <c r="C28" i="5"/>
  <c r="M28" i="5" s="1"/>
  <c r="L27" i="5"/>
  <c r="G28" i="9" s="1"/>
  <c r="I28" i="9" s="1"/>
  <c r="C27" i="5"/>
  <c r="M27" i="5" s="1"/>
  <c r="L26" i="5"/>
  <c r="G27" i="9" s="1"/>
  <c r="I27" i="9" s="1"/>
  <c r="C26" i="5"/>
  <c r="M26" i="5" s="1"/>
  <c r="L25" i="5"/>
  <c r="G26" i="9" s="1"/>
  <c r="I26" i="9" s="1"/>
  <c r="C25" i="5"/>
  <c r="M25" i="5" s="1"/>
  <c r="L24" i="5"/>
  <c r="G25" i="9" s="1"/>
  <c r="I25" i="9" s="1"/>
  <c r="C24" i="5"/>
  <c r="M24" i="5" s="1"/>
  <c r="L23" i="5"/>
  <c r="G24" i="9" s="1"/>
  <c r="I24" i="9" s="1"/>
  <c r="C23" i="5"/>
  <c r="M23" i="5" s="1"/>
  <c r="L22" i="5"/>
  <c r="G23" i="9" s="1"/>
  <c r="I23" i="9" s="1"/>
  <c r="C22" i="5"/>
  <c r="M22" i="5" s="1"/>
  <c r="L21" i="5"/>
  <c r="G22" i="9" s="1"/>
  <c r="I22" i="9" s="1"/>
  <c r="C21" i="5"/>
  <c r="M21" i="5" s="1"/>
  <c r="L20" i="5"/>
  <c r="G21" i="9" s="1"/>
  <c r="I21" i="9" s="1"/>
  <c r="C20" i="5"/>
  <c r="M20" i="5" s="1"/>
  <c r="L19" i="5"/>
  <c r="G20" i="9" s="1"/>
  <c r="I20" i="9" s="1"/>
  <c r="C19" i="5"/>
  <c r="M19" i="5" s="1"/>
  <c r="L18" i="5"/>
  <c r="G19" i="9" s="1"/>
  <c r="I19" i="9" s="1"/>
  <c r="C18" i="5"/>
  <c r="M18" i="5" s="1"/>
  <c r="L17" i="5"/>
  <c r="G18" i="9" s="1"/>
  <c r="I18" i="9" s="1"/>
  <c r="C17" i="5"/>
  <c r="M17" i="5" s="1"/>
  <c r="L16" i="5"/>
  <c r="G17" i="9" s="1"/>
  <c r="I17" i="9" s="1"/>
  <c r="C16" i="5"/>
  <c r="M16" i="5" s="1"/>
  <c r="L15" i="5"/>
  <c r="G16" i="9" s="1"/>
  <c r="I16" i="9" s="1"/>
  <c r="C15" i="5"/>
  <c r="M15" i="5" s="1"/>
  <c r="L14" i="5"/>
  <c r="G15" i="9" s="1"/>
  <c r="I15" i="9" s="1"/>
  <c r="C14" i="5"/>
  <c r="M14" i="5" s="1"/>
  <c r="L13" i="5"/>
  <c r="G14" i="9" s="1"/>
  <c r="I14" i="9" s="1"/>
  <c r="C13" i="5"/>
  <c r="M13" i="5" s="1"/>
  <c r="L12" i="5"/>
  <c r="G13" i="9" s="1"/>
  <c r="I13" i="9" s="1"/>
  <c r="C12" i="5"/>
  <c r="M12" i="5" s="1"/>
  <c r="L11" i="5"/>
  <c r="G12" i="9" s="1"/>
  <c r="I12" i="9" s="1"/>
  <c r="C11" i="5"/>
  <c r="M11" i="5" s="1"/>
  <c r="L10" i="5"/>
  <c r="G11" i="9" s="1"/>
  <c r="I11" i="9" s="1"/>
  <c r="C10" i="5"/>
  <c r="M10" i="5" s="1"/>
  <c r="L9" i="5"/>
  <c r="G10" i="9" s="1"/>
  <c r="I10" i="9" s="1"/>
  <c r="C9" i="5"/>
  <c r="M9" i="5" s="1"/>
  <c r="L8" i="5"/>
  <c r="G9" i="9" s="1"/>
  <c r="I9" i="9" s="1"/>
  <c r="C8" i="5"/>
  <c r="M8" i="5" s="1"/>
  <c r="L7" i="5"/>
  <c r="G8" i="9" s="1"/>
  <c r="I8" i="9" s="1"/>
  <c r="C7" i="5"/>
  <c r="M7" i="5" s="1"/>
  <c r="L6" i="5"/>
  <c r="G7" i="9" s="1"/>
  <c r="I7" i="9" s="1"/>
  <c r="C6" i="5"/>
  <c r="M6" i="5" s="1"/>
  <c r="L5" i="5"/>
  <c r="G6" i="9" s="1"/>
  <c r="I6" i="9" s="1"/>
  <c r="C5" i="5"/>
  <c r="M5" i="5" s="1"/>
  <c r="L4" i="5"/>
  <c r="G5" i="9" s="1"/>
  <c r="I5" i="9" s="1"/>
  <c r="C4" i="5"/>
  <c r="M4" i="5" s="1"/>
  <c r="L3" i="5"/>
  <c r="G4" i="9" s="1"/>
  <c r="I4" i="9" s="1"/>
  <c r="C3" i="5"/>
  <c r="M3" i="5" s="1"/>
  <c r="L2" i="5"/>
  <c r="G3" i="9" s="1"/>
  <c r="C2" i="5"/>
  <c r="B138" i="4"/>
  <c r="H137" i="4"/>
  <c r="G137" i="4"/>
  <c r="H136" i="4"/>
  <c r="G136" i="4"/>
  <c r="F136" i="4"/>
  <c r="H135" i="4"/>
  <c r="G135" i="4"/>
  <c r="F135" i="4"/>
  <c r="J133" i="4"/>
  <c r="H133" i="4"/>
  <c r="H138" i="4" s="1"/>
  <c r="G133" i="4"/>
  <c r="G138" i="4" s="1"/>
  <c r="K131" i="4"/>
  <c r="O131" i="4" s="1"/>
  <c r="P132" i="9" s="1"/>
  <c r="E131" i="4"/>
  <c r="D131" i="4"/>
  <c r="C131" i="4"/>
  <c r="K130" i="4"/>
  <c r="O130" i="4" s="1"/>
  <c r="P131" i="9" s="1"/>
  <c r="E130" i="4"/>
  <c r="D130" i="4"/>
  <c r="C130" i="4"/>
  <c r="K129" i="4"/>
  <c r="O129" i="4" s="1"/>
  <c r="P130" i="9" s="1"/>
  <c r="E129" i="4"/>
  <c r="D129" i="4"/>
  <c r="C129" i="4"/>
  <c r="K128" i="4"/>
  <c r="O128" i="4" s="1"/>
  <c r="P129" i="9" s="1"/>
  <c r="E128" i="4"/>
  <c r="D128" i="4"/>
  <c r="C128" i="4"/>
  <c r="K127" i="4"/>
  <c r="O127" i="4" s="1"/>
  <c r="P128" i="9" s="1"/>
  <c r="E127" i="4"/>
  <c r="D127" i="4"/>
  <c r="C127" i="4"/>
  <c r="K126" i="4"/>
  <c r="O126" i="4" s="1"/>
  <c r="P127" i="9" s="1"/>
  <c r="E126" i="4"/>
  <c r="D126" i="4"/>
  <c r="C126" i="4"/>
  <c r="K125" i="4"/>
  <c r="O125" i="4" s="1"/>
  <c r="P126" i="9" s="1"/>
  <c r="E125" i="4"/>
  <c r="D125" i="4"/>
  <c r="C125" i="4"/>
  <c r="K124" i="4"/>
  <c r="O124" i="4" s="1"/>
  <c r="P125" i="9" s="1"/>
  <c r="E124" i="4"/>
  <c r="D124" i="4"/>
  <c r="C124" i="4"/>
  <c r="K123" i="4"/>
  <c r="O123" i="4" s="1"/>
  <c r="P124" i="9" s="1"/>
  <c r="E123" i="4"/>
  <c r="D123" i="4"/>
  <c r="C123" i="4"/>
  <c r="K122" i="4"/>
  <c r="O122" i="4" s="1"/>
  <c r="P123" i="9" s="1"/>
  <c r="E122" i="4"/>
  <c r="D122" i="4"/>
  <c r="C122" i="4"/>
  <c r="K121" i="4"/>
  <c r="O121" i="4" s="1"/>
  <c r="P122" i="9" s="1"/>
  <c r="E121" i="4"/>
  <c r="D121" i="4"/>
  <c r="C121" i="4"/>
  <c r="K120" i="4"/>
  <c r="O120" i="4" s="1"/>
  <c r="P121" i="9" s="1"/>
  <c r="E120" i="4"/>
  <c r="D120" i="4"/>
  <c r="C120" i="4"/>
  <c r="K119" i="4"/>
  <c r="O119" i="4" s="1"/>
  <c r="P120" i="9" s="1"/>
  <c r="E119" i="4"/>
  <c r="D119" i="4"/>
  <c r="C119" i="4"/>
  <c r="K118" i="4"/>
  <c r="O118" i="4" s="1"/>
  <c r="P119" i="9" s="1"/>
  <c r="E118" i="4"/>
  <c r="D118" i="4"/>
  <c r="C118" i="4"/>
  <c r="K117" i="4"/>
  <c r="O117" i="4" s="1"/>
  <c r="P118" i="9" s="1"/>
  <c r="E117" i="4"/>
  <c r="D117" i="4"/>
  <c r="C117" i="4"/>
  <c r="K116" i="4"/>
  <c r="O116" i="4" s="1"/>
  <c r="P117" i="9" s="1"/>
  <c r="E116" i="4"/>
  <c r="D116" i="4"/>
  <c r="C116" i="4"/>
  <c r="K115" i="4"/>
  <c r="O115" i="4" s="1"/>
  <c r="P116" i="9" s="1"/>
  <c r="E115" i="4"/>
  <c r="D115" i="4"/>
  <c r="C115" i="4"/>
  <c r="K114" i="4"/>
  <c r="O114" i="4" s="1"/>
  <c r="P115" i="9" s="1"/>
  <c r="E114" i="4"/>
  <c r="D114" i="4"/>
  <c r="C114" i="4"/>
  <c r="K113" i="4"/>
  <c r="O113" i="4" s="1"/>
  <c r="P114" i="9" s="1"/>
  <c r="E113" i="4"/>
  <c r="D113" i="4"/>
  <c r="C113" i="4"/>
  <c r="K112" i="4"/>
  <c r="O112" i="4" s="1"/>
  <c r="P113" i="9" s="1"/>
  <c r="E112" i="4"/>
  <c r="D112" i="4"/>
  <c r="C112" i="4"/>
  <c r="K111" i="4"/>
  <c r="O111" i="4" s="1"/>
  <c r="P112" i="9" s="1"/>
  <c r="E111" i="4"/>
  <c r="D111" i="4"/>
  <c r="C111" i="4"/>
  <c r="K110" i="4"/>
  <c r="O110" i="4" s="1"/>
  <c r="P111" i="9" s="1"/>
  <c r="E110" i="4"/>
  <c r="D110" i="4"/>
  <c r="C110" i="4"/>
  <c r="K109" i="4"/>
  <c r="O109" i="4" s="1"/>
  <c r="P110" i="9" s="1"/>
  <c r="E109" i="4"/>
  <c r="D109" i="4"/>
  <c r="C109" i="4"/>
  <c r="K108" i="4"/>
  <c r="O108" i="4" s="1"/>
  <c r="P109" i="9" s="1"/>
  <c r="E108" i="4"/>
  <c r="D108" i="4"/>
  <c r="C108" i="4"/>
  <c r="K107" i="4"/>
  <c r="O107" i="4" s="1"/>
  <c r="P108" i="9" s="1"/>
  <c r="E107" i="4"/>
  <c r="D107" i="4"/>
  <c r="C107" i="4"/>
  <c r="K106" i="4"/>
  <c r="O106" i="4" s="1"/>
  <c r="P107" i="9" s="1"/>
  <c r="E106" i="4"/>
  <c r="D106" i="4"/>
  <c r="C106" i="4"/>
  <c r="K105" i="4"/>
  <c r="O105" i="4" s="1"/>
  <c r="P106" i="9" s="1"/>
  <c r="E105" i="4"/>
  <c r="D105" i="4"/>
  <c r="C105" i="4"/>
  <c r="K104" i="4"/>
  <c r="O104" i="4" s="1"/>
  <c r="P105" i="9" s="1"/>
  <c r="E104" i="4"/>
  <c r="D104" i="4"/>
  <c r="C104" i="4"/>
  <c r="K103" i="4"/>
  <c r="O103" i="4" s="1"/>
  <c r="P104" i="9" s="1"/>
  <c r="E103" i="4"/>
  <c r="D103" i="4"/>
  <c r="C103" i="4"/>
  <c r="K102" i="4"/>
  <c r="O102" i="4" s="1"/>
  <c r="P103" i="9" s="1"/>
  <c r="E102" i="4"/>
  <c r="D102" i="4"/>
  <c r="C102" i="4"/>
  <c r="K101" i="4"/>
  <c r="O101" i="4" s="1"/>
  <c r="P102" i="9" s="1"/>
  <c r="E101" i="4"/>
  <c r="D101" i="4"/>
  <c r="C101" i="4"/>
  <c r="K100" i="4"/>
  <c r="O100" i="4" s="1"/>
  <c r="P101" i="9" s="1"/>
  <c r="E100" i="4"/>
  <c r="D100" i="4"/>
  <c r="C100" i="4"/>
  <c r="K99" i="4"/>
  <c r="O99" i="4" s="1"/>
  <c r="P100" i="9" s="1"/>
  <c r="E99" i="4"/>
  <c r="D99" i="4"/>
  <c r="C99" i="4"/>
  <c r="K98" i="4"/>
  <c r="O98" i="4" s="1"/>
  <c r="P99" i="9" s="1"/>
  <c r="E98" i="4"/>
  <c r="D98" i="4"/>
  <c r="C98" i="4"/>
  <c r="K97" i="4"/>
  <c r="O97" i="4" s="1"/>
  <c r="P98" i="9" s="1"/>
  <c r="E97" i="4"/>
  <c r="D97" i="4"/>
  <c r="C97" i="4"/>
  <c r="K96" i="4"/>
  <c r="O96" i="4" s="1"/>
  <c r="P97" i="9" s="1"/>
  <c r="E96" i="4"/>
  <c r="D96" i="4"/>
  <c r="C96" i="4"/>
  <c r="K95" i="4"/>
  <c r="O95" i="4" s="1"/>
  <c r="P96" i="9" s="1"/>
  <c r="E95" i="4"/>
  <c r="D95" i="4"/>
  <c r="C95" i="4"/>
  <c r="K94" i="4"/>
  <c r="O94" i="4" s="1"/>
  <c r="P95" i="9" s="1"/>
  <c r="E94" i="4"/>
  <c r="D94" i="4"/>
  <c r="C94" i="4"/>
  <c r="K93" i="4"/>
  <c r="O93" i="4" s="1"/>
  <c r="P94" i="9" s="1"/>
  <c r="E93" i="4"/>
  <c r="D93" i="4"/>
  <c r="C93" i="4"/>
  <c r="K92" i="4"/>
  <c r="O92" i="4" s="1"/>
  <c r="P93" i="9" s="1"/>
  <c r="E92" i="4"/>
  <c r="D92" i="4"/>
  <c r="C92" i="4"/>
  <c r="K91" i="4"/>
  <c r="O91" i="4" s="1"/>
  <c r="P92" i="9" s="1"/>
  <c r="E91" i="4"/>
  <c r="D91" i="4"/>
  <c r="C91" i="4"/>
  <c r="K90" i="4"/>
  <c r="O90" i="4" s="1"/>
  <c r="P91" i="9" s="1"/>
  <c r="E90" i="4"/>
  <c r="D90" i="4"/>
  <c r="C90" i="4"/>
  <c r="K89" i="4"/>
  <c r="O89" i="4" s="1"/>
  <c r="P90" i="9" s="1"/>
  <c r="K86" i="4"/>
  <c r="O86" i="4" s="1"/>
  <c r="E86" i="4"/>
  <c r="D86" i="4"/>
  <c r="C86" i="4"/>
  <c r="K85" i="4"/>
  <c r="O85" i="4" s="1"/>
  <c r="P86" i="9" s="1"/>
  <c r="E85" i="4"/>
  <c r="D85" i="4"/>
  <c r="C85" i="4"/>
  <c r="K84" i="4"/>
  <c r="O84" i="4" s="1"/>
  <c r="P85" i="9" s="1"/>
  <c r="E84" i="4"/>
  <c r="D84" i="4"/>
  <c r="C84" i="4"/>
  <c r="K83" i="4"/>
  <c r="O83" i="4" s="1"/>
  <c r="P84" i="9" s="1"/>
  <c r="E83" i="4"/>
  <c r="D83" i="4"/>
  <c r="C83" i="4"/>
  <c r="K82" i="4"/>
  <c r="O82" i="4" s="1"/>
  <c r="P83" i="9" s="1"/>
  <c r="E82" i="4"/>
  <c r="D82" i="4"/>
  <c r="C82" i="4"/>
  <c r="K81" i="4"/>
  <c r="O81" i="4" s="1"/>
  <c r="P82" i="9" s="1"/>
  <c r="E81" i="4"/>
  <c r="D81" i="4"/>
  <c r="C81" i="4"/>
  <c r="K80" i="4"/>
  <c r="O80" i="4" s="1"/>
  <c r="P81" i="9" s="1"/>
  <c r="E80" i="4"/>
  <c r="D80" i="4"/>
  <c r="C80" i="4"/>
  <c r="K79" i="4"/>
  <c r="O79" i="4" s="1"/>
  <c r="P80" i="9" s="1"/>
  <c r="E79" i="4"/>
  <c r="D79" i="4"/>
  <c r="C79" i="4"/>
  <c r="K78" i="4"/>
  <c r="O78" i="4" s="1"/>
  <c r="P79" i="9" s="1"/>
  <c r="E78" i="4"/>
  <c r="D78" i="4"/>
  <c r="C78" i="4"/>
  <c r="K77" i="4"/>
  <c r="O77" i="4" s="1"/>
  <c r="P78" i="9" s="1"/>
  <c r="E77" i="4"/>
  <c r="D77" i="4"/>
  <c r="C77" i="4"/>
  <c r="K76" i="4"/>
  <c r="O76" i="4" s="1"/>
  <c r="P77" i="9" s="1"/>
  <c r="E76" i="4"/>
  <c r="D76" i="4"/>
  <c r="C76" i="4"/>
  <c r="K75" i="4"/>
  <c r="O75" i="4" s="1"/>
  <c r="P76" i="9" s="1"/>
  <c r="E75" i="4"/>
  <c r="D75" i="4"/>
  <c r="C75" i="4"/>
  <c r="K74" i="4"/>
  <c r="O74" i="4" s="1"/>
  <c r="P75" i="9" s="1"/>
  <c r="E74" i="4"/>
  <c r="D74" i="4"/>
  <c r="C74" i="4"/>
  <c r="K73" i="4"/>
  <c r="O73" i="4" s="1"/>
  <c r="P74" i="9" s="1"/>
  <c r="E73" i="4"/>
  <c r="D73" i="4"/>
  <c r="C73" i="4"/>
  <c r="K72" i="4"/>
  <c r="O72" i="4" s="1"/>
  <c r="P73" i="9" s="1"/>
  <c r="E72" i="4"/>
  <c r="D72" i="4"/>
  <c r="C72" i="4"/>
  <c r="K71" i="4"/>
  <c r="O71" i="4" s="1"/>
  <c r="E71" i="4"/>
  <c r="D71" i="4"/>
  <c r="C71" i="4"/>
  <c r="K70" i="4"/>
  <c r="K137" i="4" s="1"/>
  <c r="F70" i="4"/>
  <c r="F137" i="4" s="1"/>
  <c r="E70" i="4"/>
  <c r="E137" i="4" s="1"/>
  <c r="D70" i="4"/>
  <c r="D137" i="4" s="1"/>
  <c r="C70" i="4"/>
  <c r="C137" i="4" s="1"/>
  <c r="K69" i="4"/>
  <c r="O69" i="4" s="1"/>
  <c r="P70" i="9" s="1"/>
  <c r="E69" i="4"/>
  <c r="D69" i="4"/>
  <c r="C69" i="4"/>
  <c r="K68" i="4"/>
  <c r="O68" i="4" s="1"/>
  <c r="P69" i="9" s="1"/>
  <c r="E68" i="4"/>
  <c r="D68" i="4"/>
  <c r="C68" i="4"/>
  <c r="K67" i="4"/>
  <c r="O67" i="4" s="1"/>
  <c r="P68" i="9" s="1"/>
  <c r="E67" i="4"/>
  <c r="D67" i="4"/>
  <c r="C67" i="4"/>
  <c r="K66" i="4"/>
  <c r="O66" i="4" s="1"/>
  <c r="P67" i="9" s="1"/>
  <c r="E66" i="4"/>
  <c r="D66" i="4"/>
  <c r="C66" i="4"/>
  <c r="K65" i="4"/>
  <c r="O65" i="4" s="1"/>
  <c r="P66" i="9" s="1"/>
  <c r="E65" i="4"/>
  <c r="D65" i="4"/>
  <c r="C65" i="4"/>
  <c r="K64" i="4"/>
  <c r="O64" i="4" s="1"/>
  <c r="P65" i="9" s="1"/>
  <c r="E64" i="4"/>
  <c r="D64" i="4"/>
  <c r="C64" i="4"/>
  <c r="K63" i="4"/>
  <c r="O63" i="4" s="1"/>
  <c r="P64" i="9" s="1"/>
  <c r="E63" i="4"/>
  <c r="D63" i="4"/>
  <c r="C63" i="4"/>
  <c r="K62" i="4"/>
  <c r="O62" i="4" s="1"/>
  <c r="P63" i="9" s="1"/>
  <c r="E62" i="4"/>
  <c r="D62" i="4"/>
  <c r="C62" i="4"/>
  <c r="K61" i="4"/>
  <c r="O61" i="4" s="1"/>
  <c r="P62" i="9" s="1"/>
  <c r="E61" i="4"/>
  <c r="D61" i="4"/>
  <c r="C61" i="4"/>
  <c r="K60" i="4"/>
  <c r="O60" i="4" s="1"/>
  <c r="P61" i="9" s="1"/>
  <c r="E60" i="4"/>
  <c r="D60" i="4"/>
  <c r="C60" i="4"/>
  <c r="K59" i="4"/>
  <c r="O59" i="4" s="1"/>
  <c r="P60" i="9" s="1"/>
  <c r="E59" i="4"/>
  <c r="D59" i="4"/>
  <c r="C59" i="4"/>
  <c r="K58" i="4"/>
  <c r="O58" i="4" s="1"/>
  <c r="P59" i="9" s="1"/>
  <c r="E58" i="4"/>
  <c r="D58" i="4"/>
  <c r="C58" i="4"/>
  <c r="K57" i="4"/>
  <c r="O57" i="4" s="1"/>
  <c r="P58" i="9" s="1"/>
  <c r="E57" i="4"/>
  <c r="D57" i="4"/>
  <c r="C57" i="4"/>
  <c r="K56" i="4"/>
  <c r="O56" i="4" s="1"/>
  <c r="P57" i="9" s="1"/>
  <c r="E56" i="4"/>
  <c r="D56" i="4"/>
  <c r="C56" i="4"/>
  <c r="K55" i="4"/>
  <c r="O55" i="4" s="1"/>
  <c r="P56" i="9" s="1"/>
  <c r="E55" i="4"/>
  <c r="D55" i="4"/>
  <c r="C55" i="4"/>
  <c r="K54" i="4"/>
  <c r="O54" i="4" s="1"/>
  <c r="P55" i="9" s="1"/>
  <c r="E54" i="4"/>
  <c r="D54" i="4"/>
  <c r="C54" i="4"/>
  <c r="K53" i="4"/>
  <c r="O53" i="4" s="1"/>
  <c r="P54" i="9" s="1"/>
  <c r="E53" i="4"/>
  <c r="D53" i="4"/>
  <c r="C53" i="4"/>
  <c r="K52" i="4"/>
  <c r="O52" i="4" s="1"/>
  <c r="P53" i="9" s="1"/>
  <c r="E52" i="4"/>
  <c r="D52" i="4"/>
  <c r="C52" i="4"/>
  <c r="K51" i="4"/>
  <c r="O51" i="4" s="1"/>
  <c r="P52" i="9" s="1"/>
  <c r="E51" i="4"/>
  <c r="D51" i="4"/>
  <c r="C51" i="4"/>
  <c r="K50" i="4"/>
  <c r="O50" i="4" s="1"/>
  <c r="P51" i="9" s="1"/>
  <c r="E50" i="4"/>
  <c r="D50" i="4"/>
  <c r="C50" i="4"/>
  <c r="K49" i="4"/>
  <c r="O49" i="4" s="1"/>
  <c r="P50" i="9" s="1"/>
  <c r="E49" i="4"/>
  <c r="D49" i="4"/>
  <c r="C49" i="4"/>
  <c r="K48" i="4"/>
  <c r="O48" i="4" s="1"/>
  <c r="P49" i="9" s="1"/>
  <c r="E48" i="4"/>
  <c r="D48" i="4"/>
  <c r="C48" i="4"/>
  <c r="K47" i="4"/>
  <c r="O47" i="4" s="1"/>
  <c r="P48" i="9" s="1"/>
  <c r="E47" i="4"/>
  <c r="D47" i="4"/>
  <c r="C47" i="4"/>
  <c r="K46" i="4"/>
  <c r="O46" i="4" s="1"/>
  <c r="P47" i="9" s="1"/>
  <c r="E46" i="4"/>
  <c r="D46" i="4"/>
  <c r="C46" i="4"/>
  <c r="K45" i="4"/>
  <c r="O45" i="4" s="1"/>
  <c r="P46" i="9" s="1"/>
  <c r="E45" i="4"/>
  <c r="D45" i="4"/>
  <c r="C45" i="4"/>
  <c r="K44" i="4"/>
  <c r="O44" i="4" s="1"/>
  <c r="P45" i="9" s="1"/>
  <c r="R45" i="9" s="1"/>
  <c r="E44" i="4"/>
  <c r="D44" i="4"/>
  <c r="C44" i="4"/>
  <c r="K43" i="4"/>
  <c r="O43" i="4" s="1"/>
  <c r="P44" i="9" s="1"/>
  <c r="E43" i="4"/>
  <c r="D43" i="4"/>
  <c r="C43" i="4"/>
  <c r="K42" i="4"/>
  <c r="O42" i="4" s="1"/>
  <c r="P43" i="9" s="1"/>
  <c r="E42" i="4"/>
  <c r="D42" i="4"/>
  <c r="C42" i="4"/>
  <c r="K41" i="4"/>
  <c r="O41" i="4" s="1"/>
  <c r="P42" i="9" s="1"/>
  <c r="E41" i="4"/>
  <c r="D41" i="4"/>
  <c r="C41" i="4"/>
  <c r="K40" i="4"/>
  <c r="O40" i="4" s="1"/>
  <c r="P41" i="9" s="1"/>
  <c r="E40" i="4"/>
  <c r="D40" i="4"/>
  <c r="C40" i="4"/>
  <c r="K39" i="4"/>
  <c r="O39" i="4" s="1"/>
  <c r="P40" i="9" s="1"/>
  <c r="E39" i="4"/>
  <c r="D39" i="4"/>
  <c r="C39" i="4"/>
  <c r="K38" i="4"/>
  <c r="O38" i="4" s="1"/>
  <c r="P39" i="9" s="1"/>
  <c r="E38" i="4"/>
  <c r="D38" i="4"/>
  <c r="C38" i="4"/>
  <c r="K37" i="4"/>
  <c r="O37" i="4" s="1"/>
  <c r="P38" i="9" s="1"/>
  <c r="E37" i="4"/>
  <c r="D37" i="4"/>
  <c r="C37" i="4"/>
  <c r="K36" i="4"/>
  <c r="O36" i="4" s="1"/>
  <c r="P37" i="9" s="1"/>
  <c r="E36" i="4"/>
  <c r="D36" i="4"/>
  <c r="C36" i="4"/>
  <c r="K35" i="4"/>
  <c r="O35" i="4" s="1"/>
  <c r="P36" i="9" s="1"/>
  <c r="E35" i="4"/>
  <c r="D35" i="4"/>
  <c r="C35" i="4"/>
  <c r="K34" i="4"/>
  <c r="O34" i="4" s="1"/>
  <c r="P35" i="9" s="1"/>
  <c r="E34" i="4"/>
  <c r="D34" i="4"/>
  <c r="C34" i="4"/>
  <c r="K33" i="4"/>
  <c r="O33" i="4" s="1"/>
  <c r="P34" i="9" s="1"/>
  <c r="E33" i="4"/>
  <c r="D33" i="4"/>
  <c r="C33" i="4"/>
  <c r="O32" i="4"/>
  <c r="P33" i="9" s="1"/>
  <c r="K32" i="4"/>
  <c r="E32" i="4"/>
  <c r="D32" i="4"/>
  <c r="C32" i="4"/>
  <c r="K31" i="4"/>
  <c r="O31" i="4" s="1"/>
  <c r="P32" i="9" s="1"/>
  <c r="E31" i="4"/>
  <c r="D31" i="4"/>
  <c r="C31" i="4"/>
  <c r="K30" i="4"/>
  <c r="O30" i="4" s="1"/>
  <c r="P31" i="9" s="1"/>
  <c r="E30" i="4"/>
  <c r="D30" i="4"/>
  <c r="C30" i="4"/>
  <c r="K29" i="4"/>
  <c r="O29" i="4" s="1"/>
  <c r="P30" i="9" s="1"/>
  <c r="E29" i="4"/>
  <c r="D29" i="4"/>
  <c r="C29" i="4"/>
  <c r="K28" i="4"/>
  <c r="O28" i="4" s="1"/>
  <c r="P29" i="9" s="1"/>
  <c r="E28" i="4"/>
  <c r="D28" i="4"/>
  <c r="C28" i="4"/>
  <c r="K27" i="4"/>
  <c r="O27" i="4" s="1"/>
  <c r="P28" i="9" s="1"/>
  <c r="E27" i="4"/>
  <c r="D27" i="4"/>
  <c r="C27" i="4"/>
  <c r="K26" i="4"/>
  <c r="O26" i="4" s="1"/>
  <c r="P27" i="9" s="1"/>
  <c r="E26" i="4"/>
  <c r="D26" i="4"/>
  <c r="C26" i="4"/>
  <c r="K25" i="4"/>
  <c r="O25" i="4" s="1"/>
  <c r="P26" i="9" s="1"/>
  <c r="E25" i="4"/>
  <c r="D25" i="4"/>
  <c r="C25" i="4"/>
  <c r="K24" i="4"/>
  <c r="O24" i="4" s="1"/>
  <c r="P25" i="9" s="1"/>
  <c r="E24" i="4"/>
  <c r="D24" i="4"/>
  <c r="C24" i="4"/>
  <c r="K23" i="4"/>
  <c r="O23" i="4" s="1"/>
  <c r="P24" i="9" s="1"/>
  <c r="E23" i="4"/>
  <c r="D23" i="4"/>
  <c r="C23" i="4"/>
  <c r="K22" i="4"/>
  <c r="O22" i="4" s="1"/>
  <c r="P23" i="9" s="1"/>
  <c r="E22" i="4"/>
  <c r="D22" i="4"/>
  <c r="C22" i="4"/>
  <c r="K21" i="4"/>
  <c r="O21" i="4" s="1"/>
  <c r="P22" i="9" s="1"/>
  <c r="E21" i="4"/>
  <c r="D21" i="4"/>
  <c r="C21" i="4"/>
  <c r="K20" i="4"/>
  <c r="O20" i="4" s="1"/>
  <c r="P21" i="9" s="1"/>
  <c r="E20" i="4"/>
  <c r="D20" i="4"/>
  <c r="C20" i="4"/>
  <c r="K19" i="4"/>
  <c r="O19" i="4" s="1"/>
  <c r="P20" i="9" s="1"/>
  <c r="E19" i="4"/>
  <c r="D19" i="4"/>
  <c r="C19" i="4"/>
  <c r="K18" i="4"/>
  <c r="O18" i="4" s="1"/>
  <c r="P19" i="9" s="1"/>
  <c r="E18" i="4"/>
  <c r="D18" i="4"/>
  <c r="C18" i="4"/>
  <c r="K17" i="4"/>
  <c r="O17" i="4" s="1"/>
  <c r="P18" i="9" s="1"/>
  <c r="E17" i="4"/>
  <c r="D17" i="4"/>
  <c r="C17" i="4"/>
  <c r="K16" i="4"/>
  <c r="O16" i="4" s="1"/>
  <c r="P17" i="9" s="1"/>
  <c r="E16" i="4"/>
  <c r="D16" i="4"/>
  <c r="C16" i="4"/>
  <c r="K15" i="4"/>
  <c r="O15" i="4" s="1"/>
  <c r="P16" i="9" s="1"/>
  <c r="E15" i="4"/>
  <c r="D15" i="4"/>
  <c r="C15" i="4"/>
  <c r="K14" i="4"/>
  <c r="O14" i="4" s="1"/>
  <c r="P15" i="9" s="1"/>
  <c r="E14" i="4"/>
  <c r="D14" i="4"/>
  <c r="C14" i="4"/>
  <c r="K13" i="4"/>
  <c r="O13" i="4" s="1"/>
  <c r="P14" i="9" s="1"/>
  <c r="E13" i="4"/>
  <c r="D13" i="4"/>
  <c r="C13" i="4"/>
  <c r="K12" i="4"/>
  <c r="O12" i="4" s="1"/>
  <c r="P13" i="9" s="1"/>
  <c r="E12" i="4"/>
  <c r="D12" i="4"/>
  <c r="C12" i="4"/>
  <c r="K11" i="4"/>
  <c r="O11" i="4" s="1"/>
  <c r="P12" i="9" s="1"/>
  <c r="E11" i="4"/>
  <c r="D11" i="4"/>
  <c r="C11" i="4"/>
  <c r="K10" i="4"/>
  <c r="O10" i="4" s="1"/>
  <c r="P11" i="9" s="1"/>
  <c r="E10" i="4"/>
  <c r="D10" i="4"/>
  <c r="C10" i="4"/>
  <c r="K9" i="4"/>
  <c r="O9" i="4" s="1"/>
  <c r="P10" i="9" s="1"/>
  <c r="E9" i="4"/>
  <c r="D9" i="4"/>
  <c r="C9" i="4"/>
  <c r="K8" i="4"/>
  <c r="O8" i="4" s="1"/>
  <c r="P9" i="9" s="1"/>
  <c r="E8" i="4"/>
  <c r="D8" i="4"/>
  <c r="C8" i="4"/>
  <c r="K7" i="4"/>
  <c r="O7" i="4" s="1"/>
  <c r="P8" i="9" s="1"/>
  <c r="E7" i="4"/>
  <c r="D7" i="4"/>
  <c r="C7" i="4"/>
  <c r="K6" i="4"/>
  <c r="O6" i="4" s="1"/>
  <c r="P7" i="9" s="1"/>
  <c r="E6" i="4"/>
  <c r="D6" i="4"/>
  <c r="C6" i="4"/>
  <c r="K5" i="4"/>
  <c r="O5" i="4" s="1"/>
  <c r="P6" i="9" s="1"/>
  <c r="E5" i="4"/>
  <c r="D5" i="4"/>
  <c r="C5" i="4"/>
  <c r="K4" i="4"/>
  <c r="O4" i="4" s="1"/>
  <c r="P5" i="9" s="1"/>
  <c r="E4" i="4"/>
  <c r="D4" i="4"/>
  <c r="C4" i="4"/>
  <c r="K3" i="4"/>
  <c r="O3" i="4" s="1"/>
  <c r="P4" i="9" s="1"/>
  <c r="E3" i="4"/>
  <c r="D3" i="4"/>
  <c r="C3" i="4"/>
  <c r="K2" i="4"/>
  <c r="O2" i="4" s="1"/>
  <c r="P3" i="9" s="1"/>
  <c r="E2" i="4"/>
  <c r="D2" i="4"/>
  <c r="C2" i="4"/>
  <c r="N133" i="2"/>
  <c r="M133" i="2"/>
  <c r="L133" i="2"/>
  <c r="K133" i="2"/>
  <c r="J133" i="2"/>
  <c r="I133" i="2"/>
  <c r="H133" i="2"/>
  <c r="G133" i="2"/>
  <c r="F133" i="2"/>
  <c r="O131" i="2"/>
  <c r="E131" i="2"/>
  <c r="S131" i="2" s="1"/>
  <c r="D131" i="2"/>
  <c r="R131" i="2" s="1"/>
  <c r="C131" i="2"/>
  <c r="Q131" i="2" s="1"/>
  <c r="O130" i="2"/>
  <c r="E130" i="2"/>
  <c r="S130" i="2" s="1"/>
  <c r="D130" i="2"/>
  <c r="R130" i="2" s="1"/>
  <c r="C130" i="2"/>
  <c r="Q130" i="2" s="1"/>
  <c r="O129" i="2"/>
  <c r="E129" i="2"/>
  <c r="S129" i="2" s="1"/>
  <c r="D129" i="2"/>
  <c r="R129" i="2" s="1"/>
  <c r="C129" i="2"/>
  <c r="Q129" i="2" s="1"/>
  <c r="O128" i="2"/>
  <c r="E128" i="2"/>
  <c r="S128" i="2" s="1"/>
  <c r="D128" i="2"/>
  <c r="R128" i="2" s="1"/>
  <c r="C128" i="2"/>
  <c r="Q128" i="2" s="1"/>
  <c r="O127" i="2"/>
  <c r="E127" i="2"/>
  <c r="S127" i="2" s="1"/>
  <c r="D127" i="2"/>
  <c r="R127" i="2" s="1"/>
  <c r="C127" i="2"/>
  <c r="Q127" i="2" s="1"/>
  <c r="O126" i="2"/>
  <c r="E126" i="2"/>
  <c r="S126" i="2" s="1"/>
  <c r="D126" i="2"/>
  <c r="R126" i="2" s="1"/>
  <c r="C126" i="2"/>
  <c r="Q126" i="2" s="1"/>
  <c r="O125" i="2"/>
  <c r="E125" i="2"/>
  <c r="S125" i="2" s="1"/>
  <c r="D125" i="2"/>
  <c r="R125" i="2" s="1"/>
  <c r="C125" i="2"/>
  <c r="Q125" i="2" s="1"/>
  <c r="O124" i="2"/>
  <c r="E124" i="2"/>
  <c r="S124" i="2" s="1"/>
  <c r="D124" i="2"/>
  <c r="R124" i="2" s="1"/>
  <c r="C124" i="2"/>
  <c r="Q124" i="2" s="1"/>
  <c r="O123" i="2"/>
  <c r="E123" i="2"/>
  <c r="S123" i="2" s="1"/>
  <c r="D123" i="2"/>
  <c r="R123" i="2" s="1"/>
  <c r="C123" i="2"/>
  <c r="Q123" i="2" s="1"/>
  <c r="O122" i="2"/>
  <c r="E122" i="2"/>
  <c r="S122" i="2" s="1"/>
  <c r="D122" i="2"/>
  <c r="R122" i="2" s="1"/>
  <c r="C122" i="2"/>
  <c r="Q122" i="2" s="1"/>
  <c r="O121" i="2"/>
  <c r="E121" i="2"/>
  <c r="S121" i="2" s="1"/>
  <c r="D121" i="2"/>
  <c r="R121" i="2" s="1"/>
  <c r="C121" i="2"/>
  <c r="Q121" i="2" s="1"/>
  <c r="O120" i="2"/>
  <c r="E120" i="2"/>
  <c r="S120" i="2" s="1"/>
  <c r="D120" i="2"/>
  <c r="R120" i="2" s="1"/>
  <c r="C120" i="2"/>
  <c r="Q120" i="2" s="1"/>
  <c r="O119" i="2"/>
  <c r="E119" i="2"/>
  <c r="S119" i="2" s="1"/>
  <c r="D119" i="2"/>
  <c r="R119" i="2" s="1"/>
  <c r="C119" i="2"/>
  <c r="Q119" i="2" s="1"/>
  <c r="O118" i="2"/>
  <c r="E118" i="2"/>
  <c r="S118" i="2" s="1"/>
  <c r="D118" i="2"/>
  <c r="R118" i="2" s="1"/>
  <c r="C118" i="2"/>
  <c r="Q118" i="2" s="1"/>
  <c r="O117" i="2"/>
  <c r="E117" i="2"/>
  <c r="S117" i="2" s="1"/>
  <c r="D117" i="2"/>
  <c r="R117" i="2" s="1"/>
  <c r="C117" i="2"/>
  <c r="Q117" i="2" s="1"/>
  <c r="O116" i="2"/>
  <c r="E116" i="2"/>
  <c r="S116" i="2" s="1"/>
  <c r="D116" i="2"/>
  <c r="R116" i="2" s="1"/>
  <c r="C116" i="2"/>
  <c r="Q116" i="2" s="1"/>
  <c r="O115" i="2"/>
  <c r="E115" i="2"/>
  <c r="S115" i="2" s="1"/>
  <c r="D115" i="2"/>
  <c r="R115" i="2" s="1"/>
  <c r="C115" i="2"/>
  <c r="Q115" i="2" s="1"/>
  <c r="O114" i="2"/>
  <c r="E114" i="2"/>
  <c r="S114" i="2" s="1"/>
  <c r="D114" i="2"/>
  <c r="R114" i="2" s="1"/>
  <c r="C114" i="2"/>
  <c r="Q114" i="2" s="1"/>
  <c r="O113" i="2"/>
  <c r="E113" i="2"/>
  <c r="S113" i="2" s="1"/>
  <c r="D113" i="2"/>
  <c r="R113" i="2" s="1"/>
  <c r="C113" i="2"/>
  <c r="Q113" i="2" s="1"/>
  <c r="O112" i="2"/>
  <c r="E112" i="2"/>
  <c r="S112" i="2" s="1"/>
  <c r="D112" i="2"/>
  <c r="R112" i="2" s="1"/>
  <c r="C112" i="2"/>
  <c r="Q112" i="2" s="1"/>
  <c r="O111" i="2"/>
  <c r="E111" i="2"/>
  <c r="S111" i="2" s="1"/>
  <c r="D111" i="2"/>
  <c r="R111" i="2" s="1"/>
  <c r="C111" i="2"/>
  <c r="Q111" i="2" s="1"/>
  <c r="O110" i="2"/>
  <c r="E110" i="2"/>
  <c r="S110" i="2" s="1"/>
  <c r="D110" i="2"/>
  <c r="R110" i="2" s="1"/>
  <c r="C110" i="2"/>
  <c r="Q110" i="2" s="1"/>
  <c r="O109" i="2"/>
  <c r="E109" i="2"/>
  <c r="S109" i="2" s="1"/>
  <c r="D109" i="2"/>
  <c r="R109" i="2" s="1"/>
  <c r="C109" i="2"/>
  <c r="Q109" i="2" s="1"/>
  <c r="O108" i="2"/>
  <c r="E108" i="2"/>
  <c r="S108" i="2" s="1"/>
  <c r="D108" i="2"/>
  <c r="R108" i="2" s="1"/>
  <c r="C108" i="2"/>
  <c r="Q108" i="2" s="1"/>
  <c r="O107" i="2"/>
  <c r="E107" i="2"/>
  <c r="S107" i="2" s="1"/>
  <c r="D107" i="2"/>
  <c r="R107" i="2" s="1"/>
  <c r="C107" i="2"/>
  <c r="Q107" i="2" s="1"/>
  <c r="O106" i="2"/>
  <c r="E106" i="2"/>
  <c r="S106" i="2" s="1"/>
  <c r="D106" i="2"/>
  <c r="R106" i="2" s="1"/>
  <c r="C106" i="2"/>
  <c r="Q106" i="2" s="1"/>
  <c r="O105" i="2"/>
  <c r="E105" i="2"/>
  <c r="S105" i="2" s="1"/>
  <c r="D105" i="2"/>
  <c r="R105" i="2" s="1"/>
  <c r="C105" i="2"/>
  <c r="Q105" i="2" s="1"/>
  <c r="O104" i="2"/>
  <c r="E104" i="2"/>
  <c r="S104" i="2" s="1"/>
  <c r="D104" i="2"/>
  <c r="R104" i="2" s="1"/>
  <c r="C104" i="2"/>
  <c r="Q104" i="2" s="1"/>
  <c r="O103" i="2"/>
  <c r="E103" i="2"/>
  <c r="S103" i="2" s="1"/>
  <c r="D103" i="2"/>
  <c r="R103" i="2" s="1"/>
  <c r="C103" i="2"/>
  <c r="Q103" i="2" s="1"/>
  <c r="O102" i="2"/>
  <c r="E102" i="2"/>
  <c r="S102" i="2" s="1"/>
  <c r="D102" i="2"/>
  <c r="R102" i="2" s="1"/>
  <c r="C102" i="2"/>
  <c r="Q102" i="2" s="1"/>
  <c r="O101" i="2"/>
  <c r="E101" i="2"/>
  <c r="S101" i="2" s="1"/>
  <c r="D101" i="2"/>
  <c r="R101" i="2" s="1"/>
  <c r="C101" i="2"/>
  <c r="Q101" i="2" s="1"/>
  <c r="O100" i="2"/>
  <c r="E100" i="2"/>
  <c r="S100" i="2" s="1"/>
  <c r="D100" i="2"/>
  <c r="R100" i="2" s="1"/>
  <c r="C100" i="2"/>
  <c r="Q100" i="2" s="1"/>
  <c r="O99" i="2"/>
  <c r="E99" i="2"/>
  <c r="S99" i="2" s="1"/>
  <c r="D99" i="2"/>
  <c r="R99" i="2" s="1"/>
  <c r="C99" i="2"/>
  <c r="Q99" i="2" s="1"/>
  <c r="O98" i="2"/>
  <c r="E98" i="2"/>
  <c r="S98" i="2" s="1"/>
  <c r="D98" i="2"/>
  <c r="R98" i="2" s="1"/>
  <c r="C98" i="2"/>
  <c r="Q98" i="2" s="1"/>
  <c r="O97" i="2"/>
  <c r="E97" i="2"/>
  <c r="S97" i="2" s="1"/>
  <c r="D97" i="2"/>
  <c r="R97" i="2" s="1"/>
  <c r="C97" i="2"/>
  <c r="Q97" i="2" s="1"/>
  <c r="O96" i="2"/>
  <c r="E96" i="2"/>
  <c r="S96" i="2" s="1"/>
  <c r="D96" i="2"/>
  <c r="R96" i="2" s="1"/>
  <c r="C96" i="2"/>
  <c r="Q96" i="2" s="1"/>
  <c r="O95" i="2"/>
  <c r="E95" i="2"/>
  <c r="S95" i="2" s="1"/>
  <c r="D95" i="2"/>
  <c r="R95" i="2" s="1"/>
  <c r="C95" i="2"/>
  <c r="Q95" i="2" s="1"/>
  <c r="O94" i="2"/>
  <c r="E94" i="2"/>
  <c r="S94" i="2" s="1"/>
  <c r="D94" i="2"/>
  <c r="R94" i="2" s="1"/>
  <c r="C94" i="2"/>
  <c r="Q94" i="2" s="1"/>
  <c r="O93" i="2"/>
  <c r="E93" i="2"/>
  <c r="S93" i="2" s="1"/>
  <c r="D93" i="2"/>
  <c r="R93" i="2" s="1"/>
  <c r="C93" i="2"/>
  <c r="Q93" i="2" s="1"/>
  <c r="O92" i="2"/>
  <c r="E92" i="2"/>
  <c r="S92" i="2" s="1"/>
  <c r="D92" i="2"/>
  <c r="R92" i="2" s="1"/>
  <c r="C92" i="2"/>
  <c r="Q92" i="2" s="1"/>
  <c r="O91" i="2"/>
  <c r="E91" i="2"/>
  <c r="S91" i="2" s="1"/>
  <c r="D91" i="2"/>
  <c r="R91" i="2" s="1"/>
  <c r="C91" i="2"/>
  <c r="Q91" i="2" s="1"/>
  <c r="O90" i="2"/>
  <c r="E90" i="2"/>
  <c r="S90" i="2" s="1"/>
  <c r="D90" i="2"/>
  <c r="R90" i="2" s="1"/>
  <c r="C90" i="2"/>
  <c r="Q90" i="2" s="1"/>
  <c r="O89" i="2"/>
  <c r="S89" i="2"/>
  <c r="D89" i="2"/>
  <c r="R89" i="2" s="1"/>
  <c r="C89" i="2"/>
  <c r="Q89" i="2" s="1"/>
  <c r="O86" i="2"/>
  <c r="E86" i="2"/>
  <c r="S86" i="2" s="1"/>
  <c r="D86" i="2"/>
  <c r="R86" i="2" s="1"/>
  <c r="C86" i="2"/>
  <c r="Q86" i="2" s="1"/>
  <c r="O85" i="2"/>
  <c r="E85" i="2"/>
  <c r="S85" i="2" s="1"/>
  <c r="D85" i="2"/>
  <c r="R85" i="2" s="1"/>
  <c r="C85" i="2"/>
  <c r="Q85" i="2" s="1"/>
  <c r="O84" i="2"/>
  <c r="E84" i="2"/>
  <c r="S84" i="2" s="1"/>
  <c r="D84" i="2"/>
  <c r="R84" i="2" s="1"/>
  <c r="C84" i="2"/>
  <c r="Q84" i="2" s="1"/>
  <c r="O83" i="2"/>
  <c r="E83" i="2"/>
  <c r="S83" i="2" s="1"/>
  <c r="D83" i="2"/>
  <c r="R83" i="2" s="1"/>
  <c r="C83" i="2"/>
  <c r="Q83" i="2" s="1"/>
  <c r="O82" i="2"/>
  <c r="E82" i="2"/>
  <c r="S82" i="2" s="1"/>
  <c r="D82" i="2"/>
  <c r="R82" i="2" s="1"/>
  <c r="C82" i="2"/>
  <c r="Q82" i="2" s="1"/>
  <c r="O81" i="2"/>
  <c r="E81" i="2"/>
  <c r="S81" i="2" s="1"/>
  <c r="D81" i="2"/>
  <c r="R81" i="2" s="1"/>
  <c r="C81" i="2"/>
  <c r="Q81" i="2" s="1"/>
  <c r="O80" i="2"/>
  <c r="E80" i="2"/>
  <c r="S80" i="2" s="1"/>
  <c r="D80" i="2"/>
  <c r="R80" i="2" s="1"/>
  <c r="C80" i="2"/>
  <c r="Q80" i="2" s="1"/>
  <c r="O79" i="2"/>
  <c r="E79" i="2"/>
  <c r="S79" i="2" s="1"/>
  <c r="D79" i="2"/>
  <c r="R79" i="2" s="1"/>
  <c r="C79" i="2"/>
  <c r="Q79" i="2" s="1"/>
  <c r="O78" i="2"/>
  <c r="E78" i="2"/>
  <c r="S78" i="2" s="1"/>
  <c r="D78" i="2"/>
  <c r="R78" i="2" s="1"/>
  <c r="C78" i="2"/>
  <c r="Q78" i="2" s="1"/>
  <c r="O77" i="2"/>
  <c r="E77" i="2"/>
  <c r="S77" i="2" s="1"/>
  <c r="D77" i="2"/>
  <c r="R77" i="2" s="1"/>
  <c r="C77" i="2"/>
  <c r="Q77" i="2" s="1"/>
  <c r="O76" i="2"/>
  <c r="E76" i="2"/>
  <c r="S76" i="2" s="1"/>
  <c r="D76" i="2"/>
  <c r="R76" i="2" s="1"/>
  <c r="C76" i="2"/>
  <c r="Q76" i="2" s="1"/>
  <c r="O75" i="2"/>
  <c r="E75" i="2"/>
  <c r="S75" i="2" s="1"/>
  <c r="D75" i="2"/>
  <c r="R75" i="2" s="1"/>
  <c r="C75" i="2"/>
  <c r="Q75" i="2" s="1"/>
  <c r="O74" i="2"/>
  <c r="E74" i="2"/>
  <c r="S74" i="2" s="1"/>
  <c r="D74" i="2"/>
  <c r="R74" i="2" s="1"/>
  <c r="C74" i="2"/>
  <c r="Q74" i="2" s="1"/>
  <c r="O73" i="2"/>
  <c r="E73" i="2"/>
  <c r="S73" i="2" s="1"/>
  <c r="D73" i="2"/>
  <c r="R73" i="2" s="1"/>
  <c r="C73" i="2"/>
  <c r="Q73" i="2" s="1"/>
  <c r="O72" i="2"/>
  <c r="E72" i="2"/>
  <c r="S72" i="2" s="1"/>
  <c r="D72" i="2"/>
  <c r="R72" i="2" s="1"/>
  <c r="C72" i="2"/>
  <c r="Q72" i="2" s="1"/>
  <c r="O71" i="2"/>
  <c r="E71" i="2"/>
  <c r="D71" i="2"/>
  <c r="C71" i="2"/>
  <c r="O70" i="2"/>
  <c r="O137" i="2" s="1"/>
  <c r="E70" i="2"/>
  <c r="D70" i="2"/>
  <c r="D137" i="2" s="1"/>
  <c r="C70" i="2"/>
  <c r="Q70" i="2" s="1"/>
  <c r="Q137" i="2" s="1"/>
  <c r="O69" i="2"/>
  <c r="E69" i="2"/>
  <c r="S69" i="2" s="1"/>
  <c r="D69" i="2"/>
  <c r="R69" i="2" s="1"/>
  <c r="C69" i="2"/>
  <c r="Q69" i="2" s="1"/>
  <c r="O68" i="2"/>
  <c r="E68" i="2"/>
  <c r="S68" i="2" s="1"/>
  <c r="D68" i="2"/>
  <c r="R68" i="2" s="1"/>
  <c r="C68" i="2"/>
  <c r="Q68" i="2" s="1"/>
  <c r="O67" i="2"/>
  <c r="E67" i="2"/>
  <c r="S67" i="2" s="1"/>
  <c r="D67" i="2"/>
  <c r="R67" i="2" s="1"/>
  <c r="C67" i="2"/>
  <c r="Q67" i="2" s="1"/>
  <c r="O66" i="2"/>
  <c r="E66" i="2"/>
  <c r="S66" i="2" s="1"/>
  <c r="D66" i="2"/>
  <c r="R66" i="2" s="1"/>
  <c r="C66" i="2"/>
  <c r="Q66" i="2" s="1"/>
  <c r="O65" i="2"/>
  <c r="E65" i="2"/>
  <c r="S65" i="2" s="1"/>
  <c r="D65" i="2"/>
  <c r="R65" i="2" s="1"/>
  <c r="C65" i="2"/>
  <c r="Q65" i="2" s="1"/>
  <c r="O64" i="2"/>
  <c r="E64" i="2"/>
  <c r="S64" i="2" s="1"/>
  <c r="D64" i="2"/>
  <c r="R64" i="2" s="1"/>
  <c r="C64" i="2"/>
  <c r="Q64" i="2" s="1"/>
  <c r="O63" i="2"/>
  <c r="E63" i="2"/>
  <c r="S63" i="2" s="1"/>
  <c r="D63" i="2"/>
  <c r="R63" i="2" s="1"/>
  <c r="C63" i="2"/>
  <c r="Q63" i="2" s="1"/>
  <c r="O62" i="2"/>
  <c r="E62" i="2"/>
  <c r="S62" i="2" s="1"/>
  <c r="D62" i="2"/>
  <c r="R62" i="2" s="1"/>
  <c r="C62" i="2"/>
  <c r="Q62" i="2" s="1"/>
  <c r="O61" i="2"/>
  <c r="E61" i="2"/>
  <c r="S61" i="2" s="1"/>
  <c r="D61" i="2"/>
  <c r="R61" i="2" s="1"/>
  <c r="C61" i="2"/>
  <c r="Q61" i="2" s="1"/>
  <c r="O60" i="2"/>
  <c r="E60" i="2"/>
  <c r="S60" i="2" s="1"/>
  <c r="D60" i="2"/>
  <c r="R60" i="2" s="1"/>
  <c r="C60" i="2"/>
  <c r="Q60" i="2" s="1"/>
  <c r="O59" i="2"/>
  <c r="E59" i="2"/>
  <c r="S59" i="2" s="1"/>
  <c r="D59" i="2"/>
  <c r="R59" i="2" s="1"/>
  <c r="C59" i="2"/>
  <c r="Q59" i="2" s="1"/>
  <c r="O58" i="2"/>
  <c r="E58" i="2"/>
  <c r="S58" i="2" s="1"/>
  <c r="D58" i="2"/>
  <c r="R58" i="2" s="1"/>
  <c r="C58" i="2"/>
  <c r="Q58" i="2" s="1"/>
  <c r="O57" i="2"/>
  <c r="E57" i="2"/>
  <c r="S57" i="2" s="1"/>
  <c r="D57" i="2"/>
  <c r="R57" i="2" s="1"/>
  <c r="C57" i="2"/>
  <c r="Q57" i="2" s="1"/>
  <c r="O56" i="2"/>
  <c r="E56" i="2"/>
  <c r="S56" i="2" s="1"/>
  <c r="D56" i="2"/>
  <c r="R56" i="2" s="1"/>
  <c r="C56" i="2"/>
  <c r="Q56" i="2" s="1"/>
  <c r="O55" i="2"/>
  <c r="E55" i="2"/>
  <c r="S55" i="2" s="1"/>
  <c r="D55" i="2"/>
  <c r="R55" i="2" s="1"/>
  <c r="C55" i="2"/>
  <c r="Q55" i="2" s="1"/>
  <c r="O54" i="2"/>
  <c r="E54" i="2"/>
  <c r="S54" i="2" s="1"/>
  <c r="D54" i="2"/>
  <c r="R54" i="2" s="1"/>
  <c r="C54" i="2"/>
  <c r="Q54" i="2" s="1"/>
  <c r="O53" i="2"/>
  <c r="E53" i="2"/>
  <c r="S53" i="2" s="1"/>
  <c r="D53" i="2"/>
  <c r="R53" i="2" s="1"/>
  <c r="C53" i="2"/>
  <c r="Q53" i="2" s="1"/>
  <c r="O52" i="2"/>
  <c r="E52" i="2"/>
  <c r="S52" i="2" s="1"/>
  <c r="D52" i="2"/>
  <c r="R52" i="2" s="1"/>
  <c r="C52" i="2"/>
  <c r="Q52" i="2" s="1"/>
  <c r="O51" i="2"/>
  <c r="E51" i="2"/>
  <c r="S51" i="2" s="1"/>
  <c r="D51" i="2"/>
  <c r="R51" i="2" s="1"/>
  <c r="C51" i="2"/>
  <c r="Q51" i="2" s="1"/>
  <c r="O50" i="2"/>
  <c r="E50" i="2"/>
  <c r="S50" i="2" s="1"/>
  <c r="D50" i="2"/>
  <c r="R50" i="2" s="1"/>
  <c r="C50" i="2"/>
  <c r="Q50" i="2" s="1"/>
  <c r="O49" i="2"/>
  <c r="E49" i="2"/>
  <c r="S49" i="2" s="1"/>
  <c r="D49" i="2"/>
  <c r="R49" i="2" s="1"/>
  <c r="C49" i="2"/>
  <c r="Q49" i="2" s="1"/>
  <c r="O48" i="2"/>
  <c r="E48" i="2"/>
  <c r="S48" i="2" s="1"/>
  <c r="D48" i="2"/>
  <c r="R48" i="2" s="1"/>
  <c r="C48" i="2"/>
  <c r="Q48" i="2" s="1"/>
  <c r="O47" i="2"/>
  <c r="E47" i="2"/>
  <c r="S47" i="2" s="1"/>
  <c r="D47" i="2"/>
  <c r="R47" i="2" s="1"/>
  <c r="C47" i="2"/>
  <c r="Q47" i="2" s="1"/>
  <c r="O46" i="2"/>
  <c r="E46" i="2"/>
  <c r="S46" i="2" s="1"/>
  <c r="D46" i="2"/>
  <c r="R46" i="2" s="1"/>
  <c r="C46" i="2"/>
  <c r="Q46" i="2" s="1"/>
  <c r="O45" i="2"/>
  <c r="E45" i="2"/>
  <c r="S45" i="2" s="1"/>
  <c r="D45" i="2"/>
  <c r="R45" i="2" s="1"/>
  <c r="C45" i="2"/>
  <c r="Q45" i="2" s="1"/>
  <c r="O44" i="2"/>
  <c r="E44" i="2"/>
  <c r="S44" i="2" s="1"/>
  <c r="D44" i="2"/>
  <c r="R44" i="2" s="1"/>
  <c r="C44" i="2"/>
  <c r="Q44" i="2" s="1"/>
  <c r="O43" i="2"/>
  <c r="E43" i="2"/>
  <c r="S43" i="2" s="1"/>
  <c r="D43" i="2"/>
  <c r="R43" i="2" s="1"/>
  <c r="C43" i="2"/>
  <c r="Q43" i="2" s="1"/>
  <c r="O42" i="2"/>
  <c r="E42" i="2"/>
  <c r="S42" i="2" s="1"/>
  <c r="D42" i="2"/>
  <c r="R42" i="2" s="1"/>
  <c r="C42" i="2"/>
  <c r="Q42" i="2" s="1"/>
  <c r="O41" i="2"/>
  <c r="E41" i="2"/>
  <c r="S41" i="2" s="1"/>
  <c r="D41" i="2"/>
  <c r="R41" i="2" s="1"/>
  <c r="C41" i="2"/>
  <c r="Q41" i="2" s="1"/>
  <c r="O40" i="2"/>
  <c r="E40" i="2"/>
  <c r="S40" i="2" s="1"/>
  <c r="D40" i="2"/>
  <c r="R40" i="2" s="1"/>
  <c r="C40" i="2"/>
  <c r="Q40" i="2" s="1"/>
  <c r="O39" i="2"/>
  <c r="E39" i="2"/>
  <c r="S39" i="2" s="1"/>
  <c r="D39" i="2"/>
  <c r="R39" i="2" s="1"/>
  <c r="C39" i="2"/>
  <c r="Q39" i="2" s="1"/>
  <c r="O38" i="2"/>
  <c r="E38" i="2"/>
  <c r="S38" i="2" s="1"/>
  <c r="D38" i="2"/>
  <c r="R38" i="2" s="1"/>
  <c r="C38" i="2"/>
  <c r="Q38" i="2" s="1"/>
  <c r="O37" i="2"/>
  <c r="E37" i="2"/>
  <c r="S37" i="2" s="1"/>
  <c r="D37" i="2"/>
  <c r="R37" i="2" s="1"/>
  <c r="C37" i="2"/>
  <c r="Q37" i="2" s="1"/>
  <c r="O36" i="2"/>
  <c r="E36" i="2"/>
  <c r="S36" i="2" s="1"/>
  <c r="D36" i="2"/>
  <c r="R36" i="2" s="1"/>
  <c r="C36" i="2"/>
  <c r="Q36" i="2" s="1"/>
  <c r="O35" i="2"/>
  <c r="E35" i="2"/>
  <c r="S35" i="2" s="1"/>
  <c r="D35" i="2"/>
  <c r="R35" i="2" s="1"/>
  <c r="C35" i="2"/>
  <c r="Q35" i="2" s="1"/>
  <c r="O34" i="2"/>
  <c r="E34" i="2"/>
  <c r="S34" i="2" s="1"/>
  <c r="D34" i="2"/>
  <c r="R34" i="2" s="1"/>
  <c r="C34" i="2"/>
  <c r="Q34" i="2" s="1"/>
  <c r="O33" i="2"/>
  <c r="E33" i="2"/>
  <c r="S33" i="2" s="1"/>
  <c r="D33" i="2"/>
  <c r="R33" i="2" s="1"/>
  <c r="C33" i="2"/>
  <c r="Q33" i="2" s="1"/>
  <c r="O32" i="2"/>
  <c r="E32" i="2"/>
  <c r="S32" i="2" s="1"/>
  <c r="D32" i="2"/>
  <c r="R32" i="2" s="1"/>
  <c r="C32" i="2"/>
  <c r="Q32" i="2" s="1"/>
  <c r="O31" i="2"/>
  <c r="E31" i="2"/>
  <c r="S31" i="2" s="1"/>
  <c r="D31" i="2"/>
  <c r="R31" i="2" s="1"/>
  <c r="C31" i="2"/>
  <c r="Q31" i="2" s="1"/>
  <c r="O30" i="2"/>
  <c r="E30" i="2"/>
  <c r="S30" i="2" s="1"/>
  <c r="D30" i="2"/>
  <c r="R30" i="2" s="1"/>
  <c r="C30" i="2"/>
  <c r="Q30" i="2" s="1"/>
  <c r="O29" i="2"/>
  <c r="E29" i="2"/>
  <c r="S29" i="2" s="1"/>
  <c r="D29" i="2"/>
  <c r="R29" i="2" s="1"/>
  <c r="C29" i="2"/>
  <c r="Q29" i="2" s="1"/>
  <c r="O28" i="2"/>
  <c r="E28" i="2"/>
  <c r="S28" i="2" s="1"/>
  <c r="D28" i="2"/>
  <c r="R28" i="2" s="1"/>
  <c r="C28" i="2"/>
  <c r="Q28" i="2" s="1"/>
  <c r="O27" i="2"/>
  <c r="E27" i="2"/>
  <c r="S27" i="2" s="1"/>
  <c r="D27" i="2"/>
  <c r="R27" i="2" s="1"/>
  <c r="C27" i="2"/>
  <c r="Q27" i="2" s="1"/>
  <c r="O26" i="2"/>
  <c r="E26" i="2"/>
  <c r="S26" i="2" s="1"/>
  <c r="D26" i="2"/>
  <c r="R26" i="2" s="1"/>
  <c r="C26" i="2"/>
  <c r="Q26" i="2" s="1"/>
  <c r="O25" i="2"/>
  <c r="E25" i="2"/>
  <c r="S25" i="2" s="1"/>
  <c r="D25" i="2"/>
  <c r="R25" i="2" s="1"/>
  <c r="C25" i="2"/>
  <c r="Q25" i="2" s="1"/>
  <c r="O24" i="2"/>
  <c r="E24" i="2"/>
  <c r="S24" i="2" s="1"/>
  <c r="D24" i="2"/>
  <c r="R24" i="2" s="1"/>
  <c r="C24" i="2"/>
  <c r="Q24" i="2" s="1"/>
  <c r="O23" i="2"/>
  <c r="E23" i="2"/>
  <c r="S23" i="2" s="1"/>
  <c r="D23" i="2"/>
  <c r="R23" i="2" s="1"/>
  <c r="C23" i="2"/>
  <c r="Q23" i="2" s="1"/>
  <c r="O22" i="2"/>
  <c r="E22" i="2"/>
  <c r="S22" i="2" s="1"/>
  <c r="D22" i="2"/>
  <c r="R22" i="2" s="1"/>
  <c r="C22" i="2"/>
  <c r="Q22" i="2" s="1"/>
  <c r="O21" i="2"/>
  <c r="E21" i="2"/>
  <c r="S21" i="2" s="1"/>
  <c r="D21" i="2"/>
  <c r="R21" i="2" s="1"/>
  <c r="C21" i="2"/>
  <c r="Q21" i="2" s="1"/>
  <c r="O20" i="2"/>
  <c r="E20" i="2"/>
  <c r="S20" i="2" s="1"/>
  <c r="D20" i="2"/>
  <c r="R20" i="2" s="1"/>
  <c r="C20" i="2"/>
  <c r="Q20" i="2" s="1"/>
  <c r="O19" i="2"/>
  <c r="E19" i="2"/>
  <c r="S19" i="2" s="1"/>
  <c r="D19" i="2"/>
  <c r="R19" i="2" s="1"/>
  <c r="C19" i="2"/>
  <c r="Q19" i="2" s="1"/>
  <c r="O18" i="2"/>
  <c r="E18" i="2"/>
  <c r="S18" i="2" s="1"/>
  <c r="D18" i="2"/>
  <c r="R18" i="2" s="1"/>
  <c r="C18" i="2"/>
  <c r="Q18" i="2" s="1"/>
  <c r="O17" i="2"/>
  <c r="E17" i="2"/>
  <c r="S17" i="2" s="1"/>
  <c r="D17" i="2"/>
  <c r="R17" i="2" s="1"/>
  <c r="C17" i="2"/>
  <c r="Q17" i="2" s="1"/>
  <c r="O16" i="2"/>
  <c r="E16" i="2"/>
  <c r="S16" i="2" s="1"/>
  <c r="D16" i="2"/>
  <c r="R16" i="2" s="1"/>
  <c r="C16" i="2"/>
  <c r="Q16" i="2" s="1"/>
  <c r="O15" i="2"/>
  <c r="E15" i="2"/>
  <c r="S15" i="2" s="1"/>
  <c r="D15" i="2"/>
  <c r="R15" i="2" s="1"/>
  <c r="C15" i="2"/>
  <c r="Q15" i="2" s="1"/>
  <c r="O14" i="2"/>
  <c r="E14" i="2"/>
  <c r="S14" i="2" s="1"/>
  <c r="D14" i="2"/>
  <c r="R14" i="2" s="1"/>
  <c r="C14" i="2"/>
  <c r="Q14" i="2" s="1"/>
  <c r="O13" i="2"/>
  <c r="E13" i="2"/>
  <c r="S13" i="2" s="1"/>
  <c r="D13" i="2"/>
  <c r="R13" i="2" s="1"/>
  <c r="C13" i="2"/>
  <c r="Q13" i="2" s="1"/>
  <c r="O12" i="2"/>
  <c r="E12" i="2"/>
  <c r="S12" i="2" s="1"/>
  <c r="D12" i="2"/>
  <c r="R12" i="2" s="1"/>
  <c r="C12" i="2"/>
  <c r="Q12" i="2" s="1"/>
  <c r="O11" i="2"/>
  <c r="E11" i="2"/>
  <c r="S11" i="2" s="1"/>
  <c r="D11" i="2"/>
  <c r="R11" i="2" s="1"/>
  <c r="C11" i="2"/>
  <c r="Q11" i="2" s="1"/>
  <c r="O10" i="2"/>
  <c r="E10" i="2"/>
  <c r="S10" i="2" s="1"/>
  <c r="D10" i="2"/>
  <c r="R10" i="2" s="1"/>
  <c r="C10" i="2"/>
  <c r="Q10" i="2" s="1"/>
  <c r="O9" i="2"/>
  <c r="E9" i="2"/>
  <c r="S9" i="2" s="1"/>
  <c r="D9" i="2"/>
  <c r="R9" i="2" s="1"/>
  <c r="C9" i="2"/>
  <c r="Q9" i="2" s="1"/>
  <c r="O8" i="2"/>
  <c r="E8" i="2"/>
  <c r="S8" i="2" s="1"/>
  <c r="D8" i="2"/>
  <c r="R8" i="2" s="1"/>
  <c r="C8" i="2"/>
  <c r="Q8" i="2" s="1"/>
  <c r="O7" i="2"/>
  <c r="E7" i="2"/>
  <c r="S7" i="2" s="1"/>
  <c r="D7" i="2"/>
  <c r="R7" i="2" s="1"/>
  <c r="C7" i="2"/>
  <c r="Q7" i="2" s="1"/>
  <c r="O6" i="2"/>
  <c r="E6" i="2"/>
  <c r="S6" i="2" s="1"/>
  <c r="D6" i="2"/>
  <c r="R6" i="2" s="1"/>
  <c r="C6" i="2"/>
  <c r="Q6" i="2" s="1"/>
  <c r="O5" i="2"/>
  <c r="E5" i="2"/>
  <c r="S5" i="2" s="1"/>
  <c r="D5" i="2"/>
  <c r="R5" i="2" s="1"/>
  <c r="C5" i="2"/>
  <c r="Q5" i="2" s="1"/>
  <c r="O4" i="2"/>
  <c r="E4" i="2"/>
  <c r="S4" i="2" s="1"/>
  <c r="D4" i="2"/>
  <c r="R4" i="2" s="1"/>
  <c r="C4" i="2"/>
  <c r="Q4" i="2" s="1"/>
  <c r="O3" i="2"/>
  <c r="E3" i="2"/>
  <c r="S3" i="2" s="1"/>
  <c r="D3" i="2"/>
  <c r="R3" i="2" s="1"/>
  <c r="C3" i="2"/>
  <c r="Q3" i="2" s="1"/>
  <c r="O2" i="2"/>
  <c r="E2" i="2"/>
  <c r="D2" i="2"/>
  <c r="C2" i="2"/>
  <c r="F8" i="1"/>
  <c r="C8" i="1"/>
  <c r="B6" i="1"/>
  <c r="B5" i="1"/>
  <c r="B4" i="1"/>
  <c r="B3" i="1"/>
  <c r="L136" i="8" l="1"/>
  <c r="X136" i="9"/>
  <c r="U137" i="9"/>
  <c r="T89" i="2"/>
  <c r="X137" i="9"/>
  <c r="X139" i="9" s="1"/>
  <c r="I132" i="6"/>
  <c r="G137" i="9"/>
  <c r="N3" i="5"/>
  <c r="N6" i="5"/>
  <c r="N9" i="5"/>
  <c r="N12" i="5"/>
  <c r="O12" i="5" s="1"/>
  <c r="N15" i="5"/>
  <c r="O15" i="5" s="1"/>
  <c r="N18" i="5"/>
  <c r="N21" i="5"/>
  <c r="N24" i="5"/>
  <c r="N27" i="5"/>
  <c r="O27" i="5" s="1"/>
  <c r="N30" i="5"/>
  <c r="O30" i="5" s="1"/>
  <c r="N33" i="5"/>
  <c r="O33" i="5" s="1"/>
  <c r="N36" i="5"/>
  <c r="N39" i="5"/>
  <c r="N42" i="5"/>
  <c r="O42" i="5" s="1"/>
  <c r="N45" i="5"/>
  <c r="O45" i="5" s="1"/>
  <c r="N48" i="5"/>
  <c r="O48" i="5" s="1"/>
  <c r="N51" i="5"/>
  <c r="O51" i="5" s="1"/>
  <c r="N57" i="5"/>
  <c r="N84" i="5"/>
  <c r="N92" i="5"/>
  <c r="O92" i="5" s="1"/>
  <c r="N4" i="5"/>
  <c r="O4" i="5" s="1"/>
  <c r="N7" i="5"/>
  <c r="N10" i="5"/>
  <c r="O10" i="5" s="1"/>
  <c r="N13" i="5"/>
  <c r="N16" i="5"/>
  <c r="N19" i="5"/>
  <c r="O19" i="5" s="1"/>
  <c r="N22" i="5"/>
  <c r="O22" i="5" s="1"/>
  <c r="N25" i="5"/>
  <c r="O25" i="5" s="1"/>
  <c r="N28" i="5"/>
  <c r="O28" i="5" s="1"/>
  <c r="N31" i="5"/>
  <c r="N34" i="5"/>
  <c r="N37" i="5"/>
  <c r="N40" i="5"/>
  <c r="O40" i="5" s="1"/>
  <c r="N43" i="5"/>
  <c r="N46" i="5"/>
  <c r="O46" i="5" s="1"/>
  <c r="N49" i="5"/>
  <c r="N52" i="5"/>
  <c r="N55" i="5"/>
  <c r="N82" i="5"/>
  <c r="O82" i="5" s="1"/>
  <c r="N85" i="5"/>
  <c r="N90" i="5"/>
  <c r="O90" i="5" s="1"/>
  <c r="N93" i="5"/>
  <c r="N99" i="5"/>
  <c r="N102" i="5"/>
  <c r="O102" i="5" s="1"/>
  <c r="N105" i="5"/>
  <c r="O105" i="5" s="1"/>
  <c r="N108" i="5"/>
  <c r="O108" i="5" s="1"/>
  <c r="N114" i="5"/>
  <c r="O114" i="5" s="1"/>
  <c r="N120" i="5"/>
  <c r="N126" i="5"/>
  <c r="G136" i="9"/>
  <c r="I72" i="9"/>
  <c r="I137" i="9" s="1"/>
  <c r="B8" i="1"/>
  <c r="L137" i="5"/>
  <c r="B23" i="1" s="1"/>
  <c r="G71" i="9"/>
  <c r="N5" i="5"/>
  <c r="N8" i="5"/>
  <c r="N11" i="5"/>
  <c r="O11" i="5" s="1"/>
  <c r="N14" i="5"/>
  <c r="N17" i="5"/>
  <c r="O17" i="5" s="1"/>
  <c r="N20" i="5"/>
  <c r="N23" i="5"/>
  <c r="N26" i="5"/>
  <c r="O26" i="5" s="1"/>
  <c r="N29" i="5"/>
  <c r="N32" i="5"/>
  <c r="O32" i="5" s="1"/>
  <c r="N35" i="5"/>
  <c r="O35" i="5" s="1"/>
  <c r="N38" i="5"/>
  <c r="N41" i="5"/>
  <c r="N44" i="5"/>
  <c r="N47" i="5"/>
  <c r="O47" i="5" s="1"/>
  <c r="N50" i="5"/>
  <c r="O50" i="5" s="1"/>
  <c r="N53" i="5"/>
  <c r="N83" i="5"/>
  <c r="N86" i="5"/>
  <c r="N101" i="5"/>
  <c r="N104" i="5"/>
  <c r="O104" i="5" s="1"/>
  <c r="N107" i="5"/>
  <c r="O107" i="5" s="1"/>
  <c r="N110" i="5"/>
  <c r="O110" i="5" s="1"/>
  <c r="N116" i="5"/>
  <c r="O116" i="5" s="1"/>
  <c r="N122" i="5"/>
  <c r="N128" i="5"/>
  <c r="I3" i="9"/>
  <c r="I136" i="9" s="1"/>
  <c r="P136" i="9"/>
  <c r="O136" i="4"/>
  <c r="E18" i="1" s="1"/>
  <c r="P72" i="9"/>
  <c r="P137" i="9" s="1"/>
  <c r="O137" i="9"/>
  <c r="M136" i="9"/>
  <c r="O4" i="9"/>
  <c r="O136" i="9" s="1"/>
  <c r="M137" i="9"/>
  <c r="D8" i="1"/>
  <c r="K137" i="7"/>
  <c r="D23" i="1" s="1"/>
  <c r="M71" i="9"/>
  <c r="M134" i="9" s="1"/>
  <c r="K138" i="8"/>
  <c r="D137" i="6"/>
  <c r="K139" i="9"/>
  <c r="N139" i="9"/>
  <c r="E137" i="6"/>
  <c r="T139" i="9"/>
  <c r="J2" i="6"/>
  <c r="K2" i="6" s="1"/>
  <c r="J4" i="6"/>
  <c r="K4" i="6" s="1"/>
  <c r="J6" i="6"/>
  <c r="K6" i="6" s="1"/>
  <c r="J8" i="6"/>
  <c r="K8" i="6" s="1"/>
  <c r="J10" i="6"/>
  <c r="K10" i="6" s="1"/>
  <c r="J12" i="6"/>
  <c r="K12" i="6" s="1"/>
  <c r="J14" i="6"/>
  <c r="K14" i="6" s="1"/>
  <c r="J16" i="6"/>
  <c r="K16" i="6" s="1"/>
  <c r="J18" i="6"/>
  <c r="K18" i="6" s="1"/>
  <c r="J20" i="6"/>
  <c r="K20" i="6" s="1"/>
  <c r="J22" i="6"/>
  <c r="K22" i="6" s="1"/>
  <c r="J24" i="6"/>
  <c r="K24" i="6" s="1"/>
  <c r="J26" i="6"/>
  <c r="K26" i="6" s="1"/>
  <c r="J28" i="6"/>
  <c r="K28" i="6" s="1"/>
  <c r="J30" i="6"/>
  <c r="K30" i="6" s="1"/>
  <c r="J32" i="6"/>
  <c r="K32" i="6" s="1"/>
  <c r="J34" i="6"/>
  <c r="K34" i="6" s="1"/>
  <c r="J36" i="6"/>
  <c r="K36" i="6" s="1"/>
  <c r="J38" i="6"/>
  <c r="K38" i="6" s="1"/>
  <c r="J40" i="6"/>
  <c r="K40" i="6" s="1"/>
  <c r="J42" i="6"/>
  <c r="K42" i="6" s="1"/>
  <c r="J44" i="6"/>
  <c r="K44" i="6" s="1"/>
  <c r="J46" i="6"/>
  <c r="K46" i="6" s="1"/>
  <c r="J48" i="6"/>
  <c r="K48" i="6" s="1"/>
  <c r="J50" i="6"/>
  <c r="K50" i="6" s="1"/>
  <c r="J52" i="6"/>
  <c r="K52" i="6" s="1"/>
  <c r="J54" i="6"/>
  <c r="K54" i="6" s="1"/>
  <c r="J56" i="6"/>
  <c r="K56" i="6" s="1"/>
  <c r="J58" i="6"/>
  <c r="K58" i="6" s="1"/>
  <c r="J60" i="6"/>
  <c r="K60" i="6" s="1"/>
  <c r="J62" i="6"/>
  <c r="K62" i="6" s="1"/>
  <c r="J64" i="6"/>
  <c r="K64" i="6" s="1"/>
  <c r="J66" i="6"/>
  <c r="K66" i="6" s="1"/>
  <c r="J68" i="6"/>
  <c r="K68" i="6" s="1"/>
  <c r="J72" i="6"/>
  <c r="K72" i="6" s="1"/>
  <c r="J74" i="6"/>
  <c r="K74" i="6" s="1"/>
  <c r="J76" i="6"/>
  <c r="K76" i="6" s="1"/>
  <c r="J78" i="6"/>
  <c r="K78" i="6" s="1"/>
  <c r="J80" i="6"/>
  <c r="K80" i="6" s="1"/>
  <c r="J82" i="6"/>
  <c r="K82" i="6" s="1"/>
  <c r="J84" i="6"/>
  <c r="K84" i="6" s="1"/>
  <c r="J86" i="6"/>
  <c r="K86" i="6" s="1"/>
  <c r="J90" i="6"/>
  <c r="K90" i="6" s="1"/>
  <c r="J92" i="6"/>
  <c r="K92" i="6" s="1"/>
  <c r="J94" i="6"/>
  <c r="K94" i="6" s="1"/>
  <c r="J96" i="6"/>
  <c r="K96" i="6" s="1"/>
  <c r="J98" i="6"/>
  <c r="K98" i="6" s="1"/>
  <c r="J100" i="6"/>
  <c r="K100" i="6" s="1"/>
  <c r="J102" i="6"/>
  <c r="K102" i="6" s="1"/>
  <c r="J104" i="6"/>
  <c r="K104" i="6" s="1"/>
  <c r="J106" i="6"/>
  <c r="K106" i="6" s="1"/>
  <c r="J108" i="6"/>
  <c r="K108" i="6" s="1"/>
  <c r="J110" i="6"/>
  <c r="K110" i="6" s="1"/>
  <c r="J112" i="6"/>
  <c r="K112" i="6" s="1"/>
  <c r="J114" i="6"/>
  <c r="K114" i="6" s="1"/>
  <c r="J116" i="6"/>
  <c r="K116" i="6" s="1"/>
  <c r="J118" i="6"/>
  <c r="K118" i="6" s="1"/>
  <c r="J120" i="6"/>
  <c r="K120" i="6" s="1"/>
  <c r="J122" i="6"/>
  <c r="K122" i="6" s="1"/>
  <c r="J124" i="6"/>
  <c r="K124" i="6" s="1"/>
  <c r="J126" i="6"/>
  <c r="K126" i="6" s="1"/>
  <c r="J128" i="6"/>
  <c r="K128" i="6" s="1"/>
  <c r="J130" i="6"/>
  <c r="K130" i="6" s="1"/>
  <c r="D136" i="7"/>
  <c r="U134" i="9"/>
  <c r="U136" i="9"/>
  <c r="U139" i="9" s="1"/>
  <c r="D136" i="4"/>
  <c r="E136" i="7"/>
  <c r="X134" i="9"/>
  <c r="J3" i="6"/>
  <c r="K3" i="6" s="1"/>
  <c r="J5" i="6"/>
  <c r="K5" i="6" s="1"/>
  <c r="J7" i="6"/>
  <c r="K7" i="6" s="1"/>
  <c r="J9" i="6"/>
  <c r="K9" i="6" s="1"/>
  <c r="J11" i="6"/>
  <c r="K11" i="6" s="1"/>
  <c r="J13" i="6"/>
  <c r="K13" i="6" s="1"/>
  <c r="J15" i="6"/>
  <c r="K15" i="6" s="1"/>
  <c r="J17" i="6"/>
  <c r="K17" i="6" s="1"/>
  <c r="J19" i="6"/>
  <c r="K19" i="6" s="1"/>
  <c r="J21" i="6"/>
  <c r="K21" i="6" s="1"/>
  <c r="J23" i="6"/>
  <c r="K23" i="6" s="1"/>
  <c r="J25" i="6"/>
  <c r="K25" i="6" s="1"/>
  <c r="J27" i="6"/>
  <c r="K27" i="6" s="1"/>
  <c r="J29" i="6"/>
  <c r="K29" i="6" s="1"/>
  <c r="J31" i="6"/>
  <c r="K31" i="6" s="1"/>
  <c r="J33" i="6"/>
  <c r="K33" i="6" s="1"/>
  <c r="J35" i="6"/>
  <c r="K35" i="6" s="1"/>
  <c r="J37" i="6"/>
  <c r="K37" i="6" s="1"/>
  <c r="J39" i="6"/>
  <c r="K39" i="6" s="1"/>
  <c r="J41" i="6"/>
  <c r="K41" i="6" s="1"/>
  <c r="J43" i="6"/>
  <c r="K43" i="6" s="1"/>
  <c r="J45" i="6"/>
  <c r="K45" i="6" s="1"/>
  <c r="J47" i="6"/>
  <c r="K47" i="6" s="1"/>
  <c r="J49" i="6"/>
  <c r="K49" i="6" s="1"/>
  <c r="J51" i="6"/>
  <c r="K51" i="6" s="1"/>
  <c r="J53" i="6"/>
  <c r="K53" i="6" s="1"/>
  <c r="J55" i="6"/>
  <c r="K55" i="6" s="1"/>
  <c r="J57" i="6"/>
  <c r="K57" i="6" s="1"/>
  <c r="J59" i="6"/>
  <c r="K59" i="6" s="1"/>
  <c r="J61" i="6"/>
  <c r="K61" i="6" s="1"/>
  <c r="J63" i="6"/>
  <c r="K63" i="6" s="1"/>
  <c r="J65" i="6"/>
  <c r="K65" i="6" s="1"/>
  <c r="J67" i="6"/>
  <c r="K67" i="6" s="1"/>
  <c r="J69" i="6"/>
  <c r="K69" i="6" s="1"/>
  <c r="J71" i="6"/>
  <c r="K71" i="6" s="1"/>
  <c r="J73" i="6"/>
  <c r="K73" i="6" s="1"/>
  <c r="J75" i="6"/>
  <c r="K75" i="6" s="1"/>
  <c r="J77" i="6"/>
  <c r="K77" i="6" s="1"/>
  <c r="J79" i="6"/>
  <c r="K79" i="6" s="1"/>
  <c r="J81" i="6"/>
  <c r="K81" i="6" s="1"/>
  <c r="J83" i="6"/>
  <c r="K83" i="6" s="1"/>
  <c r="J85" i="6"/>
  <c r="K85" i="6" s="1"/>
  <c r="J91" i="6"/>
  <c r="K91" i="6" s="1"/>
  <c r="J93" i="6"/>
  <c r="K93" i="6" s="1"/>
  <c r="J95" i="6"/>
  <c r="K95" i="6" s="1"/>
  <c r="J97" i="6"/>
  <c r="K97" i="6" s="1"/>
  <c r="J99" i="6"/>
  <c r="K99" i="6" s="1"/>
  <c r="J101" i="6"/>
  <c r="K101" i="6" s="1"/>
  <c r="J103" i="6"/>
  <c r="K103" i="6" s="1"/>
  <c r="W139" i="9"/>
  <c r="L134" i="9"/>
  <c r="L139" i="9"/>
  <c r="H139" i="9"/>
  <c r="O135" i="2"/>
  <c r="O136" i="2"/>
  <c r="O135" i="4"/>
  <c r="J105" i="6"/>
  <c r="K105" i="6" s="1"/>
  <c r="J107" i="6"/>
  <c r="K107" i="6" s="1"/>
  <c r="J109" i="6"/>
  <c r="K109" i="6" s="1"/>
  <c r="J111" i="6"/>
  <c r="K111" i="6" s="1"/>
  <c r="J113" i="6"/>
  <c r="K113" i="6" s="1"/>
  <c r="J115" i="6"/>
  <c r="K115" i="6" s="1"/>
  <c r="J117" i="6"/>
  <c r="K117" i="6" s="1"/>
  <c r="J119" i="6"/>
  <c r="K119" i="6" s="1"/>
  <c r="J121" i="6"/>
  <c r="K121" i="6" s="1"/>
  <c r="J123" i="6"/>
  <c r="K123" i="6" s="1"/>
  <c r="J125" i="6"/>
  <c r="K125" i="6" s="1"/>
  <c r="J127" i="6"/>
  <c r="K127" i="6" s="1"/>
  <c r="J129" i="6"/>
  <c r="K129" i="6" s="1"/>
  <c r="J131" i="6"/>
  <c r="K131" i="6" s="1"/>
  <c r="R2" i="2"/>
  <c r="R135" i="2" s="1"/>
  <c r="D135" i="2"/>
  <c r="R71" i="2"/>
  <c r="R136" i="2" s="1"/>
  <c r="D136" i="2"/>
  <c r="E135" i="4"/>
  <c r="E136" i="4"/>
  <c r="L133" i="8"/>
  <c r="L135" i="8"/>
  <c r="L138" i="8" s="1"/>
  <c r="Q2" i="4"/>
  <c r="D135" i="4"/>
  <c r="C138" i="6"/>
  <c r="J70" i="6"/>
  <c r="D133" i="7"/>
  <c r="D135" i="7"/>
  <c r="E135" i="2"/>
  <c r="E136" i="2"/>
  <c r="K135" i="4"/>
  <c r="O70" i="4"/>
  <c r="N91" i="5"/>
  <c r="O91" i="5" s="1"/>
  <c r="N100" i="5"/>
  <c r="O100" i="5" s="1"/>
  <c r="N103" i="5"/>
  <c r="O103" i="5" s="1"/>
  <c r="N106" i="5"/>
  <c r="O106" i="5" s="1"/>
  <c r="N109" i="5"/>
  <c r="N112" i="5"/>
  <c r="O112" i="5" s="1"/>
  <c r="N118" i="5"/>
  <c r="O118" i="5" s="1"/>
  <c r="N124" i="5"/>
  <c r="O124" i="5" s="1"/>
  <c r="N130" i="5"/>
  <c r="O130" i="5" s="1"/>
  <c r="D136" i="6"/>
  <c r="E135" i="7"/>
  <c r="E133" i="7"/>
  <c r="K136" i="7"/>
  <c r="D18" i="1" s="1"/>
  <c r="K136" i="4"/>
  <c r="K133" i="7"/>
  <c r="K135" i="7"/>
  <c r="S70" i="2"/>
  <c r="S137" i="2" s="1"/>
  <c r="E137" i="2"/>
  <c r="L135" i="5"/>
  <c r="L133" i="5"/>
  <c r="L136" i="5"/>
  <c r="B18" i="1" s="1"/>
  <c r="E136" i="6"/>
  <c r="P40" i="4"/>
  <c r="R40" i="4" s="1"/>
  <c r="L20" i="7"/>
  <c r="M20" i="7" s="1"/>
  <c r="P5" i="4"/>
  <c r="R5" i="4" s="1"/>
  <c r="P68" i="4"/>
  <c r="R68" i="4" s="1"/>
  <c r="P121" i="4"/>
  <c r="R121" i="4" s="1"/>
  <c r="P118" i="4"/>
  <c r="R118" i="4" s="1"/>
  <c r="P64" i="4"/>
  <c r="R64" i="4" s="1"/>
  <c r="P115" i="4"/>
  <c r="R115" i="4" s="1"/>
  <c r="P95" i="4"/>
  <c r="R95" i="4" s="1"/>
  <c r="P35" i="4"/>
  <c r="R35" i="4" s="1"/>
  <c r="P65" i="4"/>
  <c r="R65" i="4" s="1"/>
  <c r="P91" i="4"/>
  <c r="R91" i="4" s="1"/>
  <c r="P17" i="4"/>
  <c r="R17" i="4" s="1"/>
  <c r="P16" i="4"/>
  <c r="R16" i="4" s="1"/>
  <c r="P128" i="4"/>
  <c r="R128" i="4" s="1"/>
  <c r="P45" i="4"/>
  <c r="R45" i="4" s="1"/>
  <c r="L23" i="7"/>
  <c r="M23" i="7" s="1"/>
  <c r="P11" i="4"/>
  <c r="R11" i="4" s="1"/>
  <c r="P50" i="4"/>
  <c r="R50" i="4" s="1"/>
  <c r="P58" i="4"/>
  <c r="R58" i="4" s="1"/>
  <c r="P55" i="4"/>
  <c r="R55" i="4" s="1"/>
  <c r="P100" i="4"/>
  <c r="R100" i="4" s="1"/>
  <c r="P7" i="4"/>
  <c r="R7" i="4" s="1"/>
  <c r="P93" i="4"/>
  <c r="R93" i="4" s="1"/>
  <c r="P129" i="4"/>
  <c r="R129" i="4" s="1"/>
  <c r="L99" i="7"/>
  <c r="M99" i="7" s="1"/>
  <c r="P67" i="4"/>
  <c r="R67" i="4" s="1"/>
  <c r="P120" i="4"/>
  <c r="R120" i="4" s="1"/>
  <c r="P47" i="4"/>
  <c r="R47" i="4" s="1"/>
  <c r="P52" i="4"/>
  <c r="R52" i="4" s="1"/>
  <c r="L6" i="7"/>
  <c r="M6" i="7" s="1"/>
  <c r="P14" i="4"/>
  <c r="R14" i="4" s="1"/>
  <c r="P24" i="4"/>
  <c r="R24" i="4" s="1"/>
  <c r="P32" i="4"/>
  <c r="R32" i="4" s="1"/>
  <c r="P42" i="4"/>
  <c r="R42" i="4" s="1"/>
  <c r="L9" i="7"/>
  <c r="M9" i="7" s="1"/>
  <c r="L18" i="7"/>
  <c r="M18" i="7" s="1"/>
  <c r="P29" i="4"/>
  <c r="R29" i="4" s="1"/>
  <c r="P49" i="4"/>
  <c r="R49" i="4" s="1"/>
  <c r="P44" i="4"/>
  <c r="S44" i="4" s="1"/>
  <c r="P127" i="4"/>
  <c r="R127" i="4" s="1"/>
  <c r="L8" i="7"/>
  <c r="M8" i="7" s="1"/>
  <c r="T57" i="2"/>
  <c r="U57" i="2" s="1"/>
  <c r="P10" i="4"/>
  <c r="R10" i="4" s="1"/>
  <c r="P36" i="4"/>
  <c r="R36" i="4" s="1"/>
  <c r="P59" i="4"/>
  <c r="R59" i="4" s="1"/>
  <c r="P74" i="4"/>
  <c r="R74" i="4" s="1"/>
  <c r="L61" i="7"/>
  <c r="M61" i="7" s="1"/>
  <c r="L123" i="7"/>
  <c r="M123" i="7" s="1"/>
  <c r="L126" i="7"/>
  <c r="M126" i="7" s="1"/>
  <c r="P43" i="4"/>
  <c r="R43" i="4" s="1"/>
  <c r="P102" i="4"/>
  <c r="R102" i="4" s="1"/>
  <c r="P20" i="4"/>
  <c r="R20" i="4" s="1"/>
  <c r="P53" i="4"/>
  <c r="R53" i="4" s="1"/>
  <c r="P110" i="4"/>
  <c r="R110" i="4" s="1"/>
  <c r="L51" i="7"/>
  <c r="M51" i="7" s="1"/>
  <c r="L63" i="7"/>
  <c r="M63" i="7" s="1"/>
  <c r="L21" i="7"/>
  <c r="M21" i="7" s="1"/>
  <c r="L122" i="7"/>
  <c r="M122" i="7" s="1"/>
  <c r="L4" i="7"/>
  <c r="M4" i="7" s="1"/>
  <c r="L84" i="7"/>
  <c r="M84" i="7" s="1"/>
  <c r="P9" i="4"/>
  <c r="R9" i="4" s="1"/>
  <c r="P60" i="4"/>
  <c r="R60" i="4" s="1"/>
  <c r="P82" i="4"/>
  <c r="R82" i="4" s="1"/>
  <c r="P92" i="4"/>
  <c r="R92" i="4" s="1"/>
  <c r="P103" i="4"/>
  <c r="R103" i="4" s="1"/>
  <c r="P126" i="4"/>
  <c r="R126" i="4" s="1"/>
  <c r="L33" i="7"/>
  <c r="M33" i="7" s="1"/>
  <c r="L92" i="7"/>
  <c r="M92" i="7" s="1"/>
  <c r="L95" i="7"/>
  <c r="M95" i="7" s="1"/>
  <c r="P33" i="4"/>
  <c r="R33" i="4" s="1"/>
  <c r="P105" i="4"/>
  <c r="R105" i="4" s="1"/>
  <c r="P108" i="4"/>
  <c r="R108" i="4" s="1"/>
  <c r="P113" i="4"/>
  <c r="R113" i="4" s="1"/>
  <c r="P123" i="4"/>
  <c r="R123" i="4" s="1"/>
  <c r="D134" i="6"/>
  <c r="T47" i="2"/>
  <c r="U47" i="2" s="1"/>
  <c r="T78" i="2"/>
  <c r="U78" i="2" s="1"/>
  <c r="L26" i="7"/>
  <c r="M26" i="7" s="1"/>
  <c r="L38" i="7"/>
  <c r="M38" i="7" s="1"/>
  <c r="L74" i="7"/>
  <c r="M74" i="7" s="1"/>
  <c r="L109" i="7"/>
  <c r="M109" i="7" s="1"/>
  <c r="L121" i="7"/>
  <c r="M121" i="7" s="1"/>
  <c r="T49" i="2"/>
  <c r="U49" i="2" s="1"/>
  <c r="T80" i="2"/>
  <c r="U80" i="2" s="1"/>
  <c r="P13" i="4"/>
  <c r="R13" i="4" s="1"/>
  <c r="P81" i="4"/>
  <c r="R81" i="4" s="1"/>
  <c r="P84" i="4"/>
  <c r="R84" i="4" s="1"/>
  <c r="P99" i="4"/>
  <c r="R99" i="4" s="1"/>
  <c r="P125" i="4"/>
  <c r="R125" i="4" s="1"/>
  <c r="L11" i="7"/>
  <c r="M11" i="7" s="1"/>
  <c r="L29" i="7"/>
  <c r="M29" i="7" s="1"/>
  <c r="L32" i="7"/>
  <c r="M32" i="7" s="1"/>
  <c r="L35" i="7"/>
  <c r="M35" i="7" s="1"/>
  <c r="L41" i="7"/>
  <c r="M41" i="7" s="1"/>
  <c r="L44" i="7"/>
  <c r="M44" i="7" s="1"/>
  <c r="L47" i="7"/>
  <c r="M47" i="7" s="1"/>
  <c r="L91" i="7"/>
  <c r="M91" i="7" s="1"/>
  <c r="L94" i="7"/>
  <c r="M94" i="7" s="1"/>
  <c r="L97" i="7"/>
  <c r="M97" i="7" s="1"/>
  <c r="T76" i="2"/>
  <c r="U76" i="2" s="1"/>
  <c r="P8" i="4"/>
  <c r="R8" i="4" s="1"/>
  <c r="P23" i="4"/>
  <c r="R23" i="4" s="1"/>
  <c r="P25" i="4"/>
  <c r="R25" i="4" s="1"/>
  <c r="P76" i="4"/>
  <c r="R76" i="4" s="1"/>
  <c r="P107" i="4"/>
  <c r="R107" i="4" s="1"/>
  <c r="P117" i="4"/>
  <c r="R117" i="4" s="1"/>
  <c r="P122" i="4"/>
  <c r="R122" i="4" s="1"/>
  <c r="P130" i="4"/>
  <c r="R130" i="4" s="1"/>
  <c r="L17" i="7"/>
  <c r="M17" i="7" s="1"/>
  <c r="L111" i="7"/>
  <c r="M111" i="7" s="1"/>
  <c r="R70" i="2"/>
  <c r="R137" i="2" s="1"/>
  <c r="C136" i="4"/>
  <c r="T75" i="2"/>
  <c r="U75" i="2" s="1"/>
  <c r="L28" i="7"/>
  <c r="M28" i="7" s="1"/>
  <c r="L73" i="7"/>
  <c r="M73" i="7" s="1"/>
  <c r="L76" i="7"/>
  <c r="M76" i="7" s="1"/>
  <c r="P3" i="4"/>
  <c r="R3" i="4" s="1"/>
  <c r="Q4" i="9" s="1"/>
  <c r="P22" i="4"/>
  <c r="R22" i="4" s="1"/>
  <c r="P31" i="4"/>
  <c r="R31" i="4" s="1"/>
  <c r="P61" i="4"/>
  <c r="R61" i="4" s="1"/>
  <c r="P78" i="4"/>
  <c r="R78" i="4" s="1"/>
  <c r="P98" i="4"/>
  <c r="R98" i="4" s="1"/>
  <c r="P109" i="4"/>
  <c r="R109" i="4" s="1"/>
  <c r="P114" i="4"/>
  <c r="R114" i="4" s="1"/>
  <c r="P119" i="4"/>
  <c r="R119" i="4" s="1"/>
  <c r="L31" i="7"/>
  <c r="M31" i="7" s="1"/>
  <c r="L34" i="7"/>
  <c r="M34" i="7" s="1"/>
  <c r="L37" i="7"/>
  <c r="M37" i="7" s="1"/>
  <c r="L40" i="7"/>
  <c r="M40" i="7" s="1"/>
  <c r="L49" i="7"/>
  <c r="M49" i="7" s="1"/>
  <c r="L85" i="7"/>
  <c r="M85" i="7" s="1"/>
  <c r="L93" i="7"/>
  <c r="M93" i="7" s="1"/>
  <c r="L96" i="7"/>
  <c r="M96" i="7" s="1"/>
  <c r="P27" i="4"/>
  <c r="R27" i="4" s="1"/>
  <c r="P34" i="4"/>
  <c r="R34" i="4" s="1"/>
  <c r="P41" i="4"/>
  <c r="R41" i="4" s="1"/>
  <c r="P46" i="4"/>
  <c r="R46" i="4" s="1"/>
  <c r="P83" i="4"/>
  <c r="R83" i="4" s="1"/>
  <c r="P85" i="4"/>
  <c r="R85" i="4" s="1"/>
  <c r="P101" i="4"/>
  <c r="R101" i="4" s="1"/>
  <c r="P111" i="4"/>
  <c r="R111" i="4" s="1"/>
  <c r="P116" i="4"/>
  <c r="R116" i="4" s="1"/>
  <c r="P124" i="4"/>
  <c r="R124" i="4" s="1"/>
  <c r="L16" i="7"/>
  <c r="M16" i="7" s="1"/>
  <c r="L101" i="7"/>
  <c r="M101" i="7" s="1"/>
  <c r="L104" i="7"/>
  <c r="M104" i="7" s="1"/>
  <c r="L116" i="7"/>
  <c r="M116" i="7" s="1"/>
  <c r="B9" i="1"/>
  <c r="N59" i="5"/>
  <c r="O59" i="5" s="1"/>
  <c r="N65" i="5"/>
  <c r="O65" i="5" s="1"/>
  <c r="N77" i="5"/>
  <c r="N115" i="5"/>
  <c r="N121" i="5"/>
  <c r="N127" i="5"/>
  <c r="N97" i="5"/>
  <c r="T16" i="2"/>
  <c r="U16" i="2" s="1"/>
  <c r="T44" i="2"/>
  <c r="U44" i="2" s="1"/>
  <c r="T46" i="2"/>
  <c r="U46" i="2" s="1"/>
  <c r="T50" i="2"/>
  <c r="U50" i="2" s="1"/>
  <c r="T77" i="2"/>
  <c r="U77" i="2" s="1"/>
  <c r="T128" i="2"/>
  <c r="U128" i="2" s="1"/>
  <c r="C136" i="5"/>
  <c r="L43" i="7"/>
  <c r="M43" i="7" s="1"/>
  <c r="L46" i="7"/>
  <c r="M46" i="7" s="1"/>
  <c r="L72" i="7"/>
  <c r="M72" i="7" s="1"/>
  <c r="L78" i="7"/>
  <c r="M78" i="7" s="1"/>
  <c r="L81" i="7"/>
  <c r="M81" i="7" s="1"/>
  <c r="L112" i="7"/>
  <c r="M112" i="7" s="1"/>
  <c r="L124" i="7"/>
  <c r="M124" i="7" s="1"/>
  <c r="L130" i="7"/>
  <c r="M130" i="7" s="1"/>
  <c r="T8" i="2"/>
  <c r="U8" i="2" s="1"/>
  <c r="T18" i="2"/>
  <c r="U18" i="2" s="1"/>
  <c r="T32" i="2"/>
  <c r="U32" i="2" s="1"/>
  <c r="T48" i="2"/>
  <c r="U48" i="2" s="1"/>
  <c r="T79" i="2"/>
  <c r="U79" i="2" s="1"/>
  <c r="T113" i="2"/>
  <c r="U113" i="2" s="1"/>
  <c r="T115" i="2"/>
  <c r="U115" i="2" s="1"/>
  <c r="P12" i="4"/>
  <c r="R12" i="4" s="1"/>
  <c r="P21" i="4"/>
  <c r="R21" i="4" s="1"/>
  <c r="P62" i="4"/>
  <c r="R62" i="4" s="1"/>
  <c r="P80" i="4"/>
  <c r="R80" i="4" s="1"/>
  <c r="P89" i="4"/>
  <c r="R89" i="4" s="1"/>
  <c r="N81" i="5"/>
  <c r="C137" i="6"/>
  <c r="L12" i="7"/>
  <c r="M12" i="7" s="1"/>
  <c r="L15" i="7"/>
  <c r="M15" i="7" s="1"/>
  <c r="L60" i="7"/>
  <c r="M60" i="7" s="1"/>
  <c r="L66" i="7"/>
  <c r="M66" i="7" s="1"/>
  <c r="L69" i="7"/>
  <c r="M69" i="7" s="1"/>
  <c r="L100" i="7"/>
  <c r="M100" i="7" s="1"/>
  <c r="L115" i="7"/>
  <c r="M115" i="7" s="1"/>
  <c r="L118" i="7"/>
  <c r="M118" i="7" s="1"/>
  <c r="T24" i="2"/>
  <c r="U24" i="2" s="1"/>
  <c r="T42" i="2"/>
  <c r="U42" i="2" s="1"/>
  <c r="T124" i="2"/>
  <c r="U124" i="2" s="1"/>
  <c r="T126" i="2"/>
  <c r="U126" i="2" s="1"/>
  <c r="P38" i="4"/>
  <c r="R38" i="4" s="1"/>
  <c r="P51" i="4"/>
  <c r="R51" i="4" s="1"/>
  <c r="P66" i="4"/>
  <c r="R66" i="4" s="1"/>
  <c r="P75" i="4"/>
  <c r="R75" i="4" s="1"/>
  <c r="P97" i="4"/>
  <c r="R97" i="4" s="1"/>
  <c r="P104" i="4"/>
  <c r="R104" i="4" s="1"/>
  <c r="N94" i="5"/>
  <c r="L42" i="7"/>
  <c r="M42" i="7" s="1"/>
  <c r="L48" i="7"/>
  <c r="M48" i="7" s="1"/>
  <c r="L54" i="7"/>
  <c r="M54" i="7" s="1"/>
  <c r="L57" i="7"/>
  <c r="M57" i="7" s="1"/>
  <c r="L86" i="7"/>
  <c r="M86" i="7" s="1"/>
  <c r="L103" i="7"/>
  <c r="M103" i="7" s="1"/>
  <c r="L106" i="7"/>
  <c r="M106" i="7" s="1"/>
  <c r="T12" i="2"/>
  <c r="U12" i="2" s="1"/>
  <c r="T40" i="2"/>
  <c r="U40" i="2" s="1"/>
  <c r="T58" i="2"/>
  <c r="U58" i="2" s="1"/>
  <c r="T60" i="2"/>
  <c r="U60" i="2" s="1"/>
  <c r="T62" i="2"/>
  <c r="U62" i="2" s="1"/>
  <c r="T85" i="2"/>
  <c r="T91" i="2"/>
  <c r="U91" i="2" s="1"/>
  <c r="T93" i="2"/>
  <c r="U93" i="2" s="1"/>
  <c r="T99" i="2"/>
  <c r="U99" i="2" s="1"/>
  <c r="T111" i="2"/>
  <c r="U111" i="2" s="1"/>
  <c r="T122" i="2"/>
  <c r="U122" i="2" s="1"/>
  <c r="L129" i="7"/>
  <c r="M129" i="7" s="1"/>
  <c r="T28" i="2"/>
  <c r="U28" i="2" s="1"/>
  <c r="T73" i="2"/>
  <c r="U73" i="2" s="1"/>
  <c r="T64" i="2"/>
  <c r="U64" i="2" s="1"/>
  <c r="T66" i="2"/>
  <c r="U66" i="2" s="1"/>
  <c r="T68" i="2"/>
  <c r="U68" i="2" s="1"/>
  <c r="T105" i="2"/>
  <c r="U105" i="2" s="1"/>
  <c r="P18" i="4"/>
  <c r="R18" i="4" s="1"/>
  <c r="P70" i="4"/>
  <c r="P137" i="4" s="1"/>
  <c r="P79" i="4"/>
  <c r="R79" i="4" s="1"/>
  <c r="P94" i="4"/>
  <c r="R94" i="4" s="1"/>
  <c r="P96" i="4"/>
  <c r="R96" i="4" s="1"/>
  <c r="N80" i="5"/>
  <c r="O80" i="5" s="1"/>
  <c r="C134" i="6"/>
  <c r="L45" i="7"/>
  <c r="M45" i="7" s="1"/>
  <c r="L62" i="7"/>
  <c r="M62" i="7" s="1"/>
  <c r="L77" i="7"/>
  <c r="M77" i="7" s="1"/>
  <c r="L80" i="7"/>
  <c r="M80" i="7" s="1"/>
  <c r="L83" i="7"/>
  <c r="M83" i="7" s="1"/>
  <c r="L114" i="7"/>
  <c r="M114" i="7" s="1"/>
  <c r="T6" i="2"/>
  <c r="U6" i="2" s="1"/>
  <c r="T14" i="2"/>
  <c r="U14" i="2" s="1"/>
  <c r="T36" i="2"/>
  <c r="U36" i="2" s="1"/>
  <c r="T3" i="2"/>
  <c r="U3" i="2" s="1"/>
  <c r="T5" i="2"/>
  <c r="U5" i="2" s="1"/>
  <c r="T7" i="2"/>
  <c r="U7" i="2" s="1"/>
  <c r="T9" i="2"/>
  <c r="U9" i="2" s="1"/>
  <c r="T11" i="2"/>
  <c r="U11" i="2" s="1"/>
  <c r="T13" i="2"/>
  <c r="U13" i="2" s="1"/>
  <c r="T15" i="2"/>
  <c r="U15" i="2" s="1"/>
  <c r="T17" i="2"/>
  <c r="U17" i="2" s="1"/>
  <c r="T19" i="2"/>
  <c r="U19" i="2" s="1"/>
  <c r="T21" i="2"/>
  <c r="U21" i="2" s="1"/>
  <c r="T23" i="2"/>
  <c r="U23" i="2" s="1"/>
  <c r="T25" i="2"/>
  <c r="U25" i="2" s="1"/>
  <c r="T27" i="2"/>
  <c r="U27" i="2" s="1"/>
  <c r="T29" i="2"/>
  <c r="U29" i="2" s="1"/>
  <c r="T31" i="2"/>
  <c r="U31" i="2" s="1"/>
  <c r="T33" i="2"/>
  <c r="U33" i="2" s="1"/>
  <c r="T35" i="2"/>
  <c r="U35" i="2" s="1"/>
  <c r="T37" i="2"/>
  <c r="U37" i="2" s="1"/>
  <c r="T39" i="2"/>
  <c r="U39" i="2" s="1"/>
  <c r="T41" i="2"/>
  <c r="U41" i="2" s="1"/>
  <c r="T43" i="2"/>
  <c r="U43" i="2" s="1"/>
  <c r="T45" i="2"/>
  <c r="U45" i="2" s="1"/>
  <c r="T118" i="2"/>
  <c r="U118" i="2" s="1"/>
  <c r="T120" i="2"/>
  <c r="U120" i="2" s="1"/>
  <c r="T131" i="2"/>
  <c r="U131" i="2" s="1"/>
  <c r="P37" i="4"/>
  <c r="R37" i="4" s="1"/>
  <c r="P48" i="4"/>
  <c r="R48" i="4" s="1"/>
  <c r="P57" i="4"/>
  <c r="R57" i="4" s="1"/>
  <c r="P72" i="4"/>
  <c r="R72" i="4" s="1"/>
  <c r="P77" i="4"/>
  <c r="R77" i="4" s="1"/>
  <c r="P106" i="4"/>
  <c r="R106" i="4" s="1"/>
  <c r="P131" i="4"/>
  <c r="R131" i="4" s="1"/>
  <c r="N98" i="5"/>
  <c r="L3" i="7"/>
  <c r="M3" i="7" s="1"/>
  <c r="L14" i="7"/>
  <c r="M14" i="7" s="1"/>
  <c r="L22" i="7"/>
  <c r="M22" i="7" s="1"/>
  <c r="L25" i="7"/>
  <c r="L30" i="7"/>
  <c r="M30" i="7" s="1"/>
  <c r="L36" i="7"/>
  <c r="M36" i="7" s="1"/>
  <c r="L39" i="7"/>
  <c r="M39" i="7" s="1"/>
  <c r="L50" i="7"/>
  <c r="M50" i="7" s="1"/>
  <c r="L65" i="7"/>
  <c r="M65" i="7" s="1"/>
  <c r="L68" i="7"/>
  <c r="M68" i="7" s="1"/>
  <c r="L71" i="7"/>
  <c r="L102" i="7"/>
  <c r="M102" i="7" s="1"/>
  <c r="L117" i="7"/>
  <c r="L120" i="7"/>
  <c r="M120" i="7" s="1"/>
  <c r="T10" i="2"/>
  <c r="U10" i="2" s="1"/>
  <c r="T30" i="2"/>
  <c r="U30" i="2" s="1"/>
  <c r="T116" i="2"/>
  <c r="U116" i="2" s="1"/>
  <c r="T129" i="2"/>
  <c r="U129" i="2" s="1"/>
  <c r="L19" i="7"/>
  <c r="M19" i="7" s="1"/>
  <c r="L27" i="7"/>
  <c r="M27" i="7" s="1"/>
  <c r="L53" i="7"/>
  <c r="M53" i="7" s="1"/>
  <c r="L56" i="7"/>
  <c r="M56" i="7" s="1"/>
  <c r="L59" i="7"/>
  <c r="M59" i="7" s="1"/>
  <c r="L90" i="7"/>
  <c r="M90" i="7" s="1"/>
  <c r="L105" i="7"/>
  <c r="M105" i="7" s="1"/>
  <c r="L108" i="7"/>
  <c r="M108" i="7" s="1"/>
  <c r="T26" i="2"/>
  <c r="U26" i="2" s="1"/>
  <c r="T125" i="2"/>
  <c r="U125" i="2" s="1"/>
  <c r="E133" i="4"/>
  <c r="N117" i="5"/>
  <c r="N123" i="5"/>
  <c r="N129" i="5"/>
  <c r="O129" i="5" s="1"/>
  <c r="L5" i="7"/>
  <c r="M5" i="7" s="1"/>
  <c r="T82" i="2"/>
  <c r="U82" i="2" s="1"/>
  <c r="T84" i="2"/>
  <c r="U84" i="2" s="1"/>
  <c r="T86" i="2"/>
  <c r="U86" i="2" s="1"/>
  <c r="T92" i="2"/>
  <c r="U92" i="2" s="1"/>
  <c r="T94" i="2"/>
  <c r="U94" i="2" s="1"/>
  <c r="T98" i="2"/>
  <c r="U98" i="2" s="1"/>
  <c r="T100" i="2"/>
  <c r="U100" i="2" s="1"/>
  <c r="T110" i="2"/>
  <c r="U110" i="2" s="1"/>
  <c r="T112" i="2"/>
  <c r="U112" i="2" s="1"/>
  <c r="T114" i="2"/>
  <c r="U114" i="2" s="1"/>
  <c r="P54" i="4"/>
  <c r="R54" i="4" s="1"/>
  <c r="P63" i="4"/>
  <c r="R63" i="4" s="1"/>
  <c r="P86" i="4"/>
  <c r="R86" i="4" s="1"/>
  <c r="Q87" i="9" s="1"/>
  <c r="L64" i="7"/>
  <c r="M64" i="7" s="1"/>
  <c r="L79" i="7"/>
  <c r="M79" i="7" s="1"/>
  <c r="L82" i="7"/>
  <c r="M82" i="7" s="1"/>
  <c r="L110" i="7"/>
  <c r="M110" i="7" s="1"/>
  <c r="L125" i="7"/>
  <c r="M125" i="7" s="1"/>
  <c r="L128" i="7"/>
  <c r="M128" i="7" s="1"/>
  <c r="L131" i="7"/>
  <c r="M131" i="7" s="1"/>
  <c r="T4" i="2"/>
  <c r="U4" i="2" s="1"/>
  <c r="T20" i="2"/>
  <c r="U20" i="2" s="1"/>
  <c r="T34" i="2"/>
  <c r="U34" i="2" s="1"/>
  <c r="T55" i="2"/>
  <c r="U55" i="2" s="1"/>
  <c r="T104" i="2"/>
  <c r="U104" i="2" s="1"/>
  <c r="T106" i="2"/>
  <c r="U106" i="2" s="1"/>
  <c r="T121" i="2"/>
  <c r="U121" i="2" s="1"/>
  <c r="T123" i="2"/>
  <c r="U123" i="2" s="1"/>
  <c r="P2" i="4"/>
  <c r="P4" i="4"/>
  <c r="R4" i="4" s="1"/>
  <c r="P19" i="4"/>
  <c r="R19" i="4" s="1"/>
  <c r="P26" i="4"/>
  <c r="R26" i="4" s="1"/>
  <c r="P28" i="4"/>
  <c r="R28" i="4" s="1"/>
  <c r="P39" i="4"/>
  <c r="R39" i="4" s="1"/>
  <c r="P90" i="4"/>
  <c r="R90" i="4" s="1"/>
  <c r="P112" i="4"/>
  <c r="R112" i="4" s="1"/>
  <c r="C133" i="5"/>
  <c r="N60" i="5"/>
  <c r="N66" i="5"/>
  <c r="N78" i="5"/>
  <c r="L2" i="7"/>
  <c r="L10" i="7"/>
  <c r="M10" i="7" s="1"/>
  <c r="L13" i="7"/>
  <c r="M13" i="7" s="1"/>
  <c r="L24" i="7"/>
  <c r="M24" i="7" s="1"/>
  <c r="L52" i="7"/>
  <c r="M52" i="7" s="1"/>
  <c r="L67" i="7"/>
  <c r="M67" i="7" s="1"/>
  <c r="L70" i="7"/>
  <c r="L137" i="7" s="1"/>
  <c r="D24" i="1" s="1"/>
  <c r="L89" i="7"/>
  <c r="M89" i="7" s="1"/>
  <c r="L113" i="7"/>
  <c r="M113" i="7" s="1"/>
  <c r="L119" i="7"/>
  <c r="M119" i="7" s="1"/>
  <c r="T22" i="2"/>
  <c r="U22" i="2" s="1"/>
  <c r="T38" i="2"/>
  <c r="U38" i="2" s="1"/>
  <c r="T108" i="2"/>
  <c r="U108" i="2" s="1"/>
  <c r="P6" i="4"/>
  <c r="R6" i="4" s="1"/>
  <c r="P15" i="4"/>
  <c r="R15" i="4" s="1"/>
  <c r="P30" i="4"/>
  <c r="R30" i="4" s="1"/>
  <c r="P56" i="4"/>
  <c r="R56" i="4" s="1"/>
  <c r="P69" i="4"/>
  <c r="R69" i="4" s="1"/>
  <c r="P73" i="4"/>
  <c r="R73" i="4" s="1"/>
  <c r="N96" i="5"/>
  <c r="O96" i="5" s="1"/>
  <c r="L7" i="7"/>
  <c r="L55" i="7"/>
  <c r="M55" i="7" s="1"/>
  <c r="L58" i="7"/>
  <c r="M58" i="7" s="1"/>
  <c r="L75" i="7"/>
  <c r="M75" i="7" s="1"/>
  <c r="L98" i="7"/>
  <c r="M98" i="7" s="1"/>
  <c r="L107" i="7"/>
  <c r="M107" i="7" s="1"/>
  <c r="L127" i="7"/>
  <c r="M127" i="7" s="1"/>
  <c r="C135" i="2"/>
  <c r="T53" i="2"/>
  <c r="U53" i="2" s="1"/>
  <c r="T130" i="2"/>
  <c r="U130" i="2" s="1"/>
  <c r="C136" i="2"/>
  <c r="T117" i="2"/>
  <c r="U117" i="2" s="1"/>
  <c r="O126" i="5"/>
  <c r="O5" i="5"/>
  <c r="O23" i="5"/>
  <c r="O29" i="5"/>
  <c r="O41" i="5"/>
  <c r="O86" i="5"/>
  <c r="N63" i="5"/>
  <c r="N69" i="5"/>
  <c r="N75" i="5"/>
  <c r="N113" i="5"/>
  <c r="N119" i="5"/>
  <c r="N125" i="5"/>
  <c r="N131" i="5"/>
  <c r="E8" i="1"/>
  <c r="O57" i="5"/>
  <c r="T81" i="2"/>
  <c r="U81" i="2" s="1"/>
  <c r="O16" i="5"/>
  <c r="O34" i="5"/>
  <c r="O85" i="5"/>
  <c r="T52" i="2"/>
  <c r="U52" i="2" s="1"/>
  <c r="T54" i="2"/>
  <c r="U54" i="2" s="1"/>
  <c r="T56" i="2"/>
  <c r="U56" i="2" s="1"/>
  <c r="T83" i="2"/>
  <c r="U83" i="2" s="1"/>
  <c r="U89" i="2"/>
  <c r="T95" i="2"/>
  <c r="U95" i="2" s="1"/>
  <c r="T101" i="2"/>
  <c r="U101" i="2" s="1"/>
  <c r="T107" i="2"/>
  <c r="U107" i="2" s="1"/>
  <c r="T109" i="2"/>
  <c r="U109" i="2" s="1"/>
  <c r="N56" i="5"/>
  <c r="N62" i="5"/>
  <c r="N68" i="5"/>
  <c r="N74" i="5"/>
  <c r="T97" i="2"/>
  <c r="U97" i="2" s="1"/>
  <c r="T103" i="2"/>
  <c r="U103" i="2" s="1"/>
  <c r="N79" i="5"/>
  <c r="O3" i="5"/>
  <c r="O9" i="5"/>
  <c r="O21" i="5"/>
  <c r="O39" i="5"/>
  <c r="O84" i="5"/>
  <c r="N61" i="5"/>
  <c r="N67" i="5"/>
  <c r="N73" i="5"/>
  <c r="N111" i="5"/>
  <c r="T72" i="2"/>
  <c r="U72" i="2" s="1"/>
  <c r="T74" i="2"/>
  <c r="U74" i="2" s="1"/>
  <c r="T127" i="2"/>
  <c r="U127" i="2" s="1"/>
  <c r="O8" i="5"/>
  <c r="O20" i="5"/>
  <c r="O38" i="5"/>
  <c r="O44" i="5"/>
  <c r="O83" i="5"/>
  <c r="N54" i="5"/>
  <c r="N72" i="5"/>
  <c r="O122" i="5"/>
  <c r="T51" i="2"/>
  <c r="U51" i="2" s="1"/>
  <c r="O7" i="5"/>
  <c r="O13" i="5"/>
  <c r="O31" i="5"/>
  <c r="O37" i="5"/>
  <c r="O43" i="5"/>
  <c r="O49" i="5"/>
  <c r="T59" i="2"/>
  <c r="U59" i="2" s="1"/>
  <c r="T61" i="2"/>
  <c r="U61" i="2" s="1"/>
  <c r="T63" i="2"/>
  <c r="U63" i="2" s="1"/>
  <c r="T90" i="2"/>
  <c r="U90" i="2" s="1"/>
  <c r="T96" i="2"/>
  <c r="U96" i="2" s="1"/>
  <c r="T102" i="2"/>
  <c r="U102" i="2" s="1"/>
  <c r="T119" i="2"/>
  <c r="U119" i="2" s="1"/>
  <c r="N95" i="5"/>
  <c r="O6" i="5"/>
  <c r="O18" i="5"/>
  <c r="O24" i="5"/>
  <c r="O36" i="5"/>
  <c r="O89" i="5"/>
  <c r="O99" i="5"/>
  <c r="T65" i="2"/>
  <c r="U65" i="2" s="1"/>
  <c r="T67" i="2"/>
  <c r="U67" i="2" s="1"/>
  <c r="T69" i="2"/>
  <c r="U69" i="2" s="1"/>
  <c r="N58" i="5"/>
  <c r="N64" i="5"/>
  <c r="N70" i="5"/>
  <c r="N137" i="5" s="1"/>
  <c r="B25" i="1" s="1"/>
  <c r="N76" i="5"/>
  <c r="Q71" i="2"/>
  <c r="Q136" i="2" s="1"/>
  <c r="C133" i="7"/>
  <c r="C135" i="7"/>
  <c r="C136" i="7"/>
  <c r="C137" i="7"/>
  <c r="E133" i="2"/>
  <c r="K133" i="4"/>
  <c r="C136" i="6"/>
  <c r="D133" i="2"/>
  <c r="P133" i="2"/>
  <c r="C137" i="5"/>
  <c r="C133" i="2"/>
  <c r="O133" i="2"/>
  <c r="M71" i="5"/>
  <c r="M136" i="5" s="1"/>
  <c r="B19" i="1" s="1"/>
  <c r="S2" i="2"/>
  <c r="S135" i="2" s="1"/>
  <c r="P71" i="4"/>
  <c r="F133" i="4"/>
  <c r="F138" i="4" s="1"/>
  <c r="Q2" i="2"/>
  <c r="Q135" i="2" s="1"/>
  <c r="C137" i="2"/>
  <c r="C135" i="4"/>
  <c r="C135" i="5"/>
  <c r="D133" i="4"/>
  <c r="M2" i="5"/>
  <c r="E132" i="6"/>
  <c r="C133" i="4"/>
  <c r="D132" i="6"/>
  <c r="C132" i="6"/>
  <c r="E134" i="6"/>
  <c r="S71" i="2"/>
  <c r="S136" i="2" s="1"/>
  <c r="R87" i="9" l="1"/>
  <c r="J509" i="10"/>
  <c r="L509" i="10" s="1"/>
  <c r="M509" i="10" s="1"/>
  <c r="R4" i="9"/>
  <c r="J11" i="10"/>
  <c r="L11" i="10" s="1"/>
  <c r="M11" i="10" s="1"/>
  <c r="D139" i="6"/>
  <c r="O14" i="5"/>
  <c r="O55" i="5"/>
  <c r="B10" i="1"/>
  <c r="G138" i="9"/>
  <c r="G139" i="9" s="1"/>
  <c r="I71" i="9"/>
  <c r="O53" i="5"/>
  <c r="G134" i="9"/>
  <c r="D138" i="4"/>
  <c r="O137" i="4"/>
  <c r="E23" i="1" s="1"/>
  <c r="P71" i="9"/>
  <c r="E138" i="7"/>
  <c r="M138" i="9"/>
  <c r="O71" i="9"/>
  <c r="O138" i="9" s="1"/>
  <c r="O139" i="9" s="1"/>
  <c r="M139" i="9"/>
  <c r="C10" i="1"/>
  <c r="E139" i="6"/>
  <c r="Q138" i="2"/>
  <c r="K136" i="6"/>
  <c r="C15" i="1" s="1"/>
  <c r="S125" i="4"/>
  <c r="Q126" i="9"/>
  <c r="S52" i="4"/>
  <c r="Q53" i="9"/>
  <c r="S11" i="4"/>
  <c r="T11" i="4" s="1"/>
  <c r="Q12" i="9"/>
  <c r="S56" i="4"/>
  <c r="T56" i="4" s="1"/>
  <c r="Q57" i="9"/>
  <c r="S28" i="4"/>
  <c r="T28" i="4" s="1"/>
  <c r="Q29" i="9"/>
  <c r="S18" i="4"/>
  <c r="Q19" i="9"/>
  <c r="S66" i="4"/>
  <c r="T66" i="4" s="1"/>
  <c r="Q67" i="9"/>
  <c r="S25" i="4"/>
  <c r="T25" i="4" s="1"/>
  <c r="Q26" i="9"/>
  <c r="S29" i="4"/>
  <c r="T29" i="4" s="1"/>
  <c r="Q30" i="9"/>
  <c r="S58" i="4"/>
  <c r="Q59" i="9"/>
  <c r="S115" i="4"/>
  <c r="T115" i="4" s="1"/>
  <c r="Q116" i="9"/>
  <c r="S32" i="4"/>
  <c r="Q33" i="9"/>
  <c r="S30" i="4"/>
  <c r="T30" i="4" s="1"/>
  <c r="Q31" i="9"/>
  <c r="S26" i="4"/>
  <c r="T26" i="4" s="1"/>
  <c r="Q27" i="9"/>
  <c r="S37" i="4"/>
  <c r="T37" i="4" s="1"/>
  <c r="Q38" i="9"/>
  <c r="S62" i="4"/>
  <c r="T62" i="4" s="1"/>
  <c r="Q63" i="9"/>
  <c r="S61" i="4"/>
  <c r="T61" i="4" s="1"/>
  <c r="Q62" i="9"/>
  <c r="S130" i="4"/>
  <c r="T130" i="4" s="1"/>
  <c r="Q131" i="9"/>
  <c r="S108" i="4"/>
  <c r="T108" i="4" s="1"/>
  <c r="Q109" i="9"/>
  <c r="S126" i="4"/>
  <c r="T126" i="4" s="1"/>
  <c r="Q127" i="9"/>
  <c r="S110" i="4"/>
  <c r="Q111" i="9"/>
  <c r="S50" i="4"/>
  <c r="T50" i="4" s="1"/>
  <c r="Q51" i="9"/>
  <c r="S64" i="4"/>
  <c r="Q65" i="9"/>
  <c r="S15" i="4"/>
  <c r="T15" i="4" s="1"/>
  <c r="Q16" i="9"/>
  <c r="S19" i="4"/>
  <c r="T19" i="4" s="1"/>
  <c r="Q20" i="9"/>
  <c r="S86" i="4"/>
  <c r="T86" i="4" s="1"/>
  <c r="S106" i="4"/>
  <c r="Q107" i="9"/>
  <c r="S96" i="4"/>
  <c r="Q97" i="9"/>
  <c r="S38" i="4"/>
  <c r="T38" i="4" s="1"/>
  <c r="Q39" i="9"/>
  <c r="S21" i="4"/>
  <c r="T21" i="4" s="1"/>
  <c r="Q22" i="9"/>
  <c r="S118" i="4"/>
  <c r="T118" i="4" s="1"/>
  <c r="Q119" i="9"/>
  <c r="S124" i="4"/>
  <c r="T124" i="4" s="1"/>
  <c r="Q125" i="9"/>
  <c r="S46" i="4"/>
  <c r="Q47" i="9"/>
  <c r="S119" i="4"/>
  <c r="T119" i="4" s="1"/>
  <c r="Q120" i="9"/>
  <c r="S31" i="4"/>
  <c r="Q32" i="9"/>
  <c r="S122" i="4"/>
  <c r="Q123" i="9"/>
  <c r="S8" i="4"/>
  <c r="T8" i="4" s="1"/>
  <c r="Q9" i="9"/>
  <c r="J41" i="10" s="1"/>
  <c r="L41" i="10" s="1"/>
  <c r="M41" i="10" s="1"/>
  <c r="S105" i="4"/>
  <c r="T105" i="4" s="1"/>
  <c r="Q106" i="9"/>
  <c r="S103" i="4"/>
  <c r="Q104" i="9"/>
  <c r="S53" i="4"/>
  <c r="T53" i="4" s="1"/>
  <c r="Q54" i="9"/>
  <c r="S93" i="4"/>
  <c r="T93" i="4" s="1"/>
  <c r="Q94" i="9"/>
  <c r="S91" i="4"/>
  <c r="T91" i="4" s="1"/>
  <c r="Q92" i="9"/>
  <c r="K137" i="6"/>
  <c r="C20" i="1" s="1"/>
  <c r="J132" i="6"/>
  <c r="K132" i="6" s="1"/>
  <c r="S6" i="4"/>
  <c r="T6" i="4" s="1"/>
  <c r="Q7" i="9"/>
  <c r="S112" i="4"/>
  <c r="T112" i="4" s="1"/>
  <c r="Q113" i="9"/>
  <c r="S4" i="4"/>
  <c r="T4" i="4" s="1"/>
  <c r="Q5" i="9"/>
  <c r="S63" i="4"/>
  <c r="T63" i="4" s="1"/>
  <c r="Q64" i="9"/>
  <c r="S77" i="4"/>
  <c r="T77" i="4" s="1"/>
  <c r="Q78" i="9"/>
  <c r="S94" i="4"/>
  <c r="T94" i="4" s="1"/>
  <c r="Q95" i="9"/>
  <c r="S104" i="4"/>
  <c r="T104" i="4" s="1"/>
  <c r="Q105" i="9"/>
  <c r="S12" i="4"/>
  <c r="T12" i="4" s="1"/>
  <c r="Q13" i="9"/>
  <c r="S116" i="4"/>
  <c r="T116" i="4" s="1"/>
  <c r="Q117" i="9"/>
  <c r="S41" i="4"/>
  <c r="T41" i="4" s="1"/>
  <c r="Q42" i="9"/>
  <c r="S114" i="4"/>
  <c r="T114" i="4" s="1"/>
  <c r="Q115" i="9"/>
  <c r="S22" i="4"/>
  <c r="T22" i="4" s="1"/>
  <c r="Q23" i="9"/>
  <c r="S117" i="4"/>
  <c r="Q118" i="9"/>
  <c r="S99" i="4"/>
  <c r="T99" i="4" s="1"/>
  <c r="Q100" i="9"/>
  <c r="S33" i="4"/>
  <c r="T33" i="4" s="1"/>
  <c r="Q34" i="9"/>
  <c r="S92" i="4"/>
  <c r="T92" i="4" s="1"/>
  <c r="Q93" i="9"/>
  <c r="S20" i="4"/>
  <c r="T20" i="4" s="1"/>
  <c r="Q21" i="9"/>
  <c r="S74" i="4"/>
  <c r="T74" i="4" s="1"/>
  <c r="Q75" i="9"/>
  <c r="S127" i="4"/>
  <c r="T127" i="4" s="1"/>
  <c r="Q128" i="9"/>
  <c r="S42" i="4"/>
  <c r="T42" i="4" s="1"/>
  <c r="Q43" i="9"/>
  <c r="S47" i="4"/>
  <c r="T47" i="4" s="1"/>
  <c r="Q48" i="9"/>
  <c r="S7" i="4"/>
  <c r="T7" i="4" s="1"/>
  <c r="Q8" i="9"/>
  <c r="J35" i="10" s="1"/>
  <c r="L35" i="10" s="1"/>
  <c r="M35" i="10" s="1"/>
  <c r="S65" i="4"/>
  <c r="T65" i="4" s="1"/>
  <c r="Q66" i="9"/>
  <c r="S121" i="4"/>
  <c r="T121" i="4" s="1"/>
  <c r="Q122" i="9"/>
  <c r="J134" i="6"/>
  <c r="D138" i="7"/>
  <c r="S100" i="4"/>
  <c r="T100" i="4" s="1"/>
  <c r="Q101" i="9"/>
  <c r="S48" i="4"/>
  <c r="T48" i="4" s="1"/>
  <c r="Q49" i="9"/>
  <c r="S80" i="4"/>
  <c r="T80" i="4" s="1"/>
  <c r="Q81" i="9"/>
  <c r="S85" i="4"/>
  <c r="Q86" i="9"/>
  <c r="S78" i="4"/>
  <c r="T78" i="4" s="1"/>
  <c r="Q79" i="9"/>
  <c r="S13" i="4"/>
  <c r="Q14" i="9"/>
  <c r="S113" i="4"/>
  <c r="T113" i="4" s="1"/>
  <c r="Q114" i="9"/>
  <c r="S9" i="4"/>
  <c r="T9" i="4" s="1"/>
  <c r="Q10" i="9"/>
  <c r="S10" i="4"/>
  <c r="T10" i="4" s="1"/>
  <c r="Q11" i="9"/>
  <c r="S14" i="4"/>
  <c r="T14" i="4" s="1"/>
  <c r="Q15" i="9"/>
  <c r="S16" i="4"/>
  <c r="Q17" i="9"/>
  <c r="S131" i="4"/>
  <c r="T131" i="4" s="1"/>
  <c r="Q132" i="9"/>
  <c r="S51" i="4"/>
  <c r="T51" i="4" s="1"/>
  <c r="Q52" i="9"/>
  <c r="S83" i="4"/>
  <c r="T83" i="4" s="1"/>
  <c r="Q84" i="9"/>
  <c r="S23" i="4"/>
  <c r="T23" i="4" s="1"/>
  <c r="Q24" i="9"/>
  <c r="S129" i="4"/>
  <c r="T129" i="4" s="1"/>
  <c r="Q130" i="9"/>
  <c r="S17" i="4"/>
  <c r="T17" i="4" s="1"/>
  <c r="Q18" i="9"/>
  <c r="S40" i="4"/>
  <c r="T40" i="4" s="1"/>
  <c r="Q41" i="9"/>
  <c r="R41" i="9" s="1"/>
  <c r="J136" i="6"/>
  <c r="C14" i="1" s="1"/>
  <c r="S60" i="4"/>
  <c r="T60" i="4" s="1"/>
  <c r="Q61" i="9"/>
  <c r="S73" i="4"/>
  <c r="Q74" i="9"/>
  <c r="S90" i="4"/>
  <c r="T90" i="4" s="1"/>
  <c r="Q91" i="9"/>
  <c r="S54" i="4"/>
  <c r="Q55" i="9"/>
  <c r="S72" i="4"/>
  <c r="T72" i="4" s="1"/>
  <c r="Q73" i="9"/>
  <c r="J425" i="10" s="1"/>
  <c r="L425" i="10" s="1"/>
  <c r="M425" i="10" s="1"/>
  <c r="S79" i="4"/>
  <c r="T79" i="4" s="1"/>
  <c r="Q80" i="9"/>
  <c r="S97" i="4"/>
  <c r="T97" i="4" s="1"/>
  <c r="Q98" i="9"/>
  <c r="S35" i="4"/>
  <c r="T35" i="4" s="1"/>
  <c r="Q36" i="9"/>
  <c r="S111" i="4"/>
  <c r="T111" i="4" s="1"/>
  <c r="Q112" i="9"/>
  <c r="S34" i="4"/>
  <c r="T34" i="4" s="1"/>
  <c r="Q35" i="9"/>
  <c r="S109" i="4"/>
  <c r="Q110" i="9"/>
  <c r="S107" i="4"/>
  <c r="T107" i="4" s="1"/>
  <c r="Q108" i="9"/>
  <c r="S84" i="4"/>
  <c r="T84" i="4" s="1"/>
  <c r="Q85" i="9"/>
  <c r="S82" i="4"/>
  <c r="Q83" i="9"/>
  <c r="S102" i="4"/>
  <c r="T102" i="4" s="1"/>
  <c r="Q103" i="9"/>
  <c r="S59" i="4"/>
  <c r="Q60" i="9"/>
  <c r="S120" i="4"/>
  <c r="Q121" i="9"/>
  <c r="S45" i="4"/>
  <c r="T45" i="4" s="1"/>
  <c r="Q46" i="9"/>
  <c r="S68" i="4"/>
  <c r="Q69" i="9"/>
  <c r="R133" i="2"/>
  <c r="S69" i="4"/>
  <c r="Q70" i="9"/>
  <c r="S39" i="4"/>
  <c r="T39" i="4" s="1"/>
  <c r="Q40" i="9"/>
  <c r="S57" i="4"/>
  <c r="T57" i="4" s="1"/>
  <c r="Q58" i="9"/>
  <c r="S75" i="4"/>
  <c r="Q76" i="9"/>
  <c r="S89" i="4"/>
  <c r="T89" i="4" s="1"/>
  <c r="Q90" i="9"/>
  <c r="S101" i="4"/>
  <c r="T101" i="4" s="1"/>
  <c r="Q102" i="9"/>
  <c r="S27" i="4"/>
  <c r="T27" i="4" s="1"/>
  <c r="Q28" i="9"/>
  <c r="S98" i="4"/>
  <c r="Q99" i="9"/>
  <c r="S76" i="4"/>
  <c r="T76" i="4" s="1"/>
  <c r="Q77" i="9"/>
  <c r="S81" i="4"/>
  <c r="Q82" i="9"/>
  <c r="S123" i="4"/>
  <c r="T123" i="4" s="1"/>
  <c r="Q124" i="9"/>
  <c r="S43" i="4"/>
  <c r="Q44" i="9"/>
  <c r="S36" i="4"/>
  <c r="T36" i="4" s="1"/>
  <c r="Q37" i="9"/>
  <c r="S49" i="4"/>
  <c r="Q50" i="9"/>
  <c r="S24" i="4"/>
  <c r="T24" i="4" s="1"/>
  <c r="Q25" i="9"/>
  <c r="S67" i="4"/>
  <c r="T67" i="4" s="1"/>
  <c r="Q68" i="9"/>
  <c r="S55" i="4"/>
  <c r="T55" i="4" s="1"/>
  <c r="Q56" i="9"/>
  <c r="S128" i="4"/>
  <c r="T128" i="4" s="1"/>
  <c r="Q129" i="9"/>
  <c r="S95" i="4"/>
  <c r="T95" i="4" s="1"/>
  <c r="Q96" i="9"/>
  <c r="S5" i="4"/>
  <c r="T5" i="4" s="1"/>
  <c r="Q6" i="9"/>
  <c r="C9" i="1"/>
  <c r="O138" i="2"/>
  <c r="M71" i="7"/>
  <c r="L136" i="7"/>
  <c r="D19" i="1" s="1"/>
  <c r="S138" i="2"/>
  <c r="P136" i="4"/>
  <c r="M2" i="7"/>
  <c r="L135" i="7"/>
  <c r="L133" i="7"/>
  <c r="R2" i="4"/>
  <c r="Q3" i="9" s="1"/>
  <c r="P133" i="4"/>
  <c r="P135" i="4"/>
  <c r="K138" i="7"/>
  <c r="D28" i="1" s="1"/>
  <c r="D13" i="1"/>
  <c r="E138" i="4"/>
  <c r="M133" i="5"/>
  <c r="M135" i="5"/>
  <c r="Q133" i="4"/>
  <c r="Q135" i="4"/>
  <c r="Q138" i="4" s="1"/>
  <c r="C138" i="2"/>
  <c r="K138" i="4"/>
  <c r="J138" i="6"/>
  <c r="C24" i="1" s="1"/>
  <c r="K70" i="6"/>
  <c r="J137" i="6"/>
  <c r="C19" i="1" s="1"/>
  <c r="C139" i="6"/>
  <c r="B13" i="1"/>
  <c r="L138" i="5"/>
  <c r="B28" i="1" s="1"/>
  <c r="D138" i="2"/>
  <c r="O133" i="4"/>
  <c r="U85" i="2"/>
  <c r="F9" i="1"/>
  <c r="C138" i="5"/>
  <c r="C138" i="7"/>
  <c r="C138" i="4"/>
  <c r="E138" i="2"/>
  <c r="R138" i="2"/>
  <c r="E13" i="1"/>
  <c r="O138" i="4"/>
  <c r="E28" i="1" s="1"/>
  <c r="S3" i="4"/>
  <c r="O121" i="5"/>
  <c r="T70" i="2"/>
  <c r="T137" i="2" s="1"/>
  <c r="F24" i="1" s="1"/>
  <c r="E9" i="1"/>
  <c r="O97" i="5"/>
  <c r="D9" i="1"/>
  <c r="O127" i="5"/>
  <c r="D10" i="1"/>
  <c r="R70" i="4"/>
  <c r="O117" i="5"/>
  <c r="O123" i="5"/>
  <c r="O94" i="5"/>
  <c r="O60" i="5"/>
  <c r="O66" i="5"/>
  <c r="O77" i="5"/>
  <c r="O78" i="5"/>
  <c r="M7" i="7"/>
  <c r="M117" i="7"/>
  <c r="N71" i="5"/>
  <c r="M70" i="7"/>
  <c r="M137" i="7" s="1"/>
  <c r="D25" i="1" s="1"/>
  <c r="F10" i="1"/>
  <c r="O54" i="5"/>
  <c r="N2" i="5"/>
  <c r="O64" i="5"/>
  <c r="O72" i="5"/>
  <c r="O79" i="5"/>
  <c r="O70" i="5"/>
  <c r="O137" i="5" s="1"/>
  <c r="O63" i="5"/>
  <c r="O76" i="5"/>
  <c r="O69" i="5"/>
  <c r="O75" i="5"/>
  <c r="O95" i="5"/>
  <c r="O61" i="5"/>
  <c r="O113" i="5"/>
  <c r="T2" i="2"/>
  <c r="T135" i="2" s="1"/>
  <c r="Q133" i="2"/>
  <c r="O67" i="5"/>
  <c r="O119" i="5"/>
  <c r="O73" i="5"/>
  <c r="O56" i="5"/>
  <c r="O125" i="5"/>
  <c r="S133" i="2"/>
  <c r="O111" i="5"/>
  <c r="O62" i="5"/>
  <c r="O68" i="5"/>
  <c r="R71" i="4"/>
  <c r="T71" i="2"/>
  <c r="T136" i="2" s="1"/>
  <c r="F19" i="1" s="1"/>
  <c r="O74" i="5"/>
  <c r="R84" i="9" l="1"/>
  <c r="J491" i="10"/>
  <c r="L491" i="10" s="1"/>
  <c r="M491" i="10" s="1"/>
  <c r="R10" i="9"/>
  <c r="J47" i="10"/>
  <c r="L47" i="10" s="1"/>
  <c r="M47" i="10" s="1"/>
  <c r="R49" i="9"/>
  <c r="J281" i="10"/>
  <c r="L281" i="10" s="1"/>
  <c r="M281" i="10" s="1"/>
  <c r="R48" i="9"/>
  <c r="J275" i="10"/>
  <c r="L275" i="10" s="1"/>
  <c r="M275" i="10" s="1"/>
  <c r="R34" i="9"/>
  <c r="J191" i="10"/>
  <c r="L191" i="10" s="1"/>
  <c r="M191" i="10" s="1"/>
  <c r="R95" i="9"/>
  <c r="J557" i="10"/>
  <c r="L557" i="10" s="1"/>
  <c r="M557" i="10" s="1"/>
  <c r="R119" i="9"/>
  <c r="J701" i="10"/>
  <c r="L701" i="10" s="1"/>
  <c r="M701" i="10" s="1"/>
  <c r="R97" i="9"/>
  <c r="J569" i="10"/>
  <c r="L569" i="10" s="1"/>
  <c r="M569" i="10" s="1"/>
  <c r="R69" i="9"/>
  <c r="J401" i="10"/>
  <c r="L401" i="10" s="1"/>
  <c r="M401" i="10" s="1"/>
  <c r="R60" i="9"/>
  <c r="J347" i="10"/>
  <c r="L347" i="10" s="1"/>
  <c r="M347" i="10" s="1"/>
  <c r="R85" i="9"/>
  <c r="J497" i="10"/>
  <c r="L497" i="10" s="1"/>
  <c r="M497" i="10" s="1"/>
  <c r="R35" i="9"/>
  <c r="J197" i="10"/>
  <c r="L197" i="10" s="1"/>
  <c r="M197" i="10" s="1"/>
  <c r="R98" i="9"/>
  <c r="J575" i="10"/>
  <c r="L575" i="10" s="1"/>
  <c r="M575" i="10" s="1"/>
  <c r="R55" i="9"/>
  <c r="J317" i="10"/>
  <c r="L317" i="10" s="1"/>
  <c r="M317" i="10" s="1"/>
  <c r="R61" i="9"/>
  <c r="J353" i="10"/>
  <c r="L353" i="10" s="1"/>
  <c r="M353" i="10" s="1"/>
  <c r="R16" i="9"/>
  <c r="J83" i="10"/>
  <c r="L83" i="10" s="1"/>
  <c r="M83" i="10" s="1"/>
  <c r="R111" i="9"/>
  <c r="J653" i="10"/>
  <c r="L653" i="10" s="1"/>
  <c r="M653" i="10" s="1"/>
  <c r="R131" i="9"/>
  <c r="J773" i="10"/>
  <c r="L773" i="10" s="1"/>
  <c r="M773" i="10" s="1"/>
  <c r="R38" i="9"/>
  <c r="J215" i="10"/>
  <c r="L215" i="10" s="1"/>
  <c r="M215" i="10" s="1"/>
  <c r="R33" i="9"/>
  <c r="J185" i="10"/>
  <c r="L185" i="10" s="1"/>
  <c r="M185" i="10" s="1"/>
  <c r="R30" i="9"/>
  <c r="J167" i="10"/>
  <c r="L167" i="10" s="1"/>
  <c r="M167" i="10" s="1"/>
  <c r="R19" i="9"/>
  <c r="J101" i="10"/>
  <c r="L101" i="10" s="1"/>
  <c r="M101" i="10" s="1"/>
  <c r="R12" i="9"/>
  <c r="J59" i="10"/>
  <c r="L59" i="10" s="1"/>
  <c r="M59" i="10" s="1"/>
  <c r="R6" i="9"/>
  <c r="J23" i="10"/>
  <c r="L23" i="10" s="1"/>
  <c r="M23" i="10" s="1"/>
  <c r="R56" i="9"/>
  <c r="J323" i="10"/>
  <c r="L323" i="10" s="1"/>
  <c r="M323" i="10" s="1"/>
  <c r="R50" i="9"/>
  <c r="J287" i="10"/>
  <c r="L287" i="10" s="1"/>
  <c r="M287" i="10" s="1"/>
  <c r="R124" i="9"/>
  <c r="J731" i="10"/>
  <c r="L731" i="10" s="1"/>
  <c r="M731" i="10" s="1"/>
  <c r="R99" i="9"/>
  <c r="J581" i="10"/>
  <c r="L581" i="10" s="1"/>
  <c r="M581" i="10" s="1"/>
  <c r="R90" i="9"/>
  <c r="J527" i="10"/>
  <c r="L527" i="10" s="1"/>
  <c r="M527" i="10" s="1"/>
  <c r="R40" i="9"/>
  <c r="J227" i="10"/>
  <c r="L227" i="10" s="1"/>
  <c r="M227" i="10" s="1"/>
  <c r="R130" i="9"/>
  <c r="J767" i="10"/>
  <c r="L767" i="10" s="1"/>
  <c r="M767" i="10" s="1"/>
  <c r="R52" i="9"/>
  <c r="J299" i="10"/>
  <c r="L299" i="10" s="1"/>
  <c r="M299" i="10" s="1"/>
  <c r="R15" i="9"/>
  <c r="J77" i="10"/>
  <c r="L77" i="10" s="1"/>
  <c r="M77" i="10" s="1"/>
  <c r="R114" i="9"/>
  <c r="J671" i="10"/>
  <c r="L671" i="10" s="1"/>
  <c r="M671" i="10" s="1"/>
  <c r="R86" i="9"/>
  <c r="J503" i="10"/>
  <c r="L503" i="10" s="1"/>
  <c r="M503" i="10" s="1"/>
  <c r="R101" i="9"/>
  <c r="J593" i="10"/>
  <c r="L593" i="10" s="1"/>
  <c r="M593" i="10" s="1"/>
  <c r="R66" i="9"/>
  <c r="J383" i="10"/>
  <c r="L383" i="10" s="1"/>
  <c r="M383" i="10" s="1"/>
  <c r="R43" i="9"/>
  <c r="J245" i="10"/>
  <c r="L245" i="10" s="1"/>
  <c r="M245" i="10" s="1"/>
  <c r="R21" i="9"/>
  <c r="J113" i="10"/>
  <c r="L113" i="10" s="1"/>
  <c r="M113" i="10" s="1"/>
  <c r="R100" i="9"/>
  <c r="J587" i="10"/>
  <c r="L587" i="10" s="1"/>
  <c r="M587" i="10" s="1"/>
  <c r="R115" i="9"/>
  <c r="J677" i="10"/>
  <c r="L677" i="10" s="1"/>
  <c r="M677" i="10" s="1"/>
  <c r="R13" i="9"/>
  <c r="J65" i="10"/>
  <c r="L65" i="10" s="1"/>
  <c r="M65" i="10" s="1"/>
  <c r="R78" i="9"/>
  <c r="J455" i="10"/>
  <c r="L455" i="10" s="1"/>
  <c r="M455" i="10" s="1"/>
  <c r="R113" i="9"/>
  <c r="J665" i="10"/>
  <c r="L665" i="10" s="1"/>
  <c r="M665" i="10" s="1"/>
  <c r="R92" i="9"/>
  <c r="J539" i="10"/>
  <c r="L539" i="10" s="1"/>
  <c r="M539" i="10" s="1"/>
  <c r="R104" i="9"/>
  <c r="J611" i="10"/>
  <c r="L611" i="10" s="1"/>
  <c r="M611" i="10" s="1"/>
  <c r="R123" i="9"/>
  <c r="J725" i="10"/>
  <c r="L725" i="10" s="1"/>
  <c r="M725" i="10" s="1"/>
  <c r="R47" i="9"/>
  <c r="J269" i="10"/>
  <c r="L269" i="10" s="1"/>
  <c r="M269" i="10" s="1"/>
  <c r="R22" i="9"/>
  <c r="J119" i="10"/>
  <c r="L119" i="10" s="1"/>
  <c r="M119" i="10" s="1"/>
  <c r="R107" i="9"/>
  <c r="J629" i="10"/>
  <c r="L629" i="10" s="1"/>
  <c r="M629" i="10" s="1"/>
  <c r="R46" i="9"/>
  <c r="J263" i="10"/>
  <c r="L263" i="10" s="1"/>
  <c r="M263" i="10" s="1"/>
  <c r="R103" i="9"/>
  <c r="J605" i="10"/>
  <c r="L605" i="10" s="1"/>
  <c r="M605" i="10" s="1"/>
  <c r="R108" i="9"/>
  <c r="J635" i="10"/>
  <c r="L635" i="10" s="1"/>
  <c r="M635" i="10" s="1"/>
  <c r="R112" i="9"/>
  <c r="J659" i="10"/>
  <c r="L659" i="10" s="1"/>
  <c r="M659" i="10" s="1"/>
  <c r="R80" i="9"/>
  <c r="J467" i="10"/>
  <c r="L467" i="10" s="1"/>
  <c r="M467" i="10" s="1"/>
  <c r="R91" i="9"/>
  <c r="J533" i="10"/>
  <c r="L533" i="10" s="1"/>
  <c r="M533" i="10" s="1"/>
  <c r="R65" i="9"/>
  <c r="J377" i="10"/>
  <c r="L377" i="10" s="1"/>
  <c r="M377" i="10" s="1"/>
  <c r="R127" i="9"/>
  <c r="J749" i="10"/>
  <c r="L749" i="10" s="1"/>
  <c r="M749" i="10" s="1"/>
  <c r="R62" i="9"/>
  <c r="J359" i="10"/>
  <c r="L359" i="10" s="1"/>
  <c r="M359" i="10" s="1"/>
  <c r="R27" i="9"/>
  <c r="J149" i="10"/>
  <c r="L149" i="10" s="1"/>
  <c r="M149" i="10" s="1"/>
  <c r="R116" i="9"/>
  <c r="J683" i="10"/>
  <c r="L683" i="10" s="1"/>
  <c r="M683" i="10" s="1"/>
  <c r="R26" i="9"/>
  <c r="J143" i="10"/>
  <c r="L143" i="10" s="1"/>
  <c r="M143" i="10" s="1"/>
  <c r="R29" i="9"/>
  <c r="J161" i="10"/>
  <c r="L161" i="10" s="1"/>
  <c r="M161" i="10" s="1"/>
  <c r="R53" i="9"/>
  <c r="J305" i="10"/>
  <c r="L305" i="10" s="1"/>
  <c r="M305" i="10" s="1"/>
  <c r="R129" i="9"/>
  <c r="J761" i="10"/>
  <c r="L761" i="10" s="1"/>
  <c r="M761" i="10" s="1"/>
  <c r="R25" i="9"/>
  <c r="J137" i="10"/>
  <c r="L137" i="10" s="1"/>
  <c r="M137" i="10" s="1"/>
  <c r="R44" i="9"/>
  <c r="J251" i="10"/>
  <c r="L251" i="10" s="1"/>
  <c r="M251" i="10" s="1"/>
  <c r="R77" i="9"/>
  <c r="J449" i="10"/>
  <c r="L449" i="10" s="1"/>
  <c r="M449" i="10" s="1"/>
  <c r="R102" i="9"/>
  <c r="J599" i="10"/>
  <c r="L599" i="10" s="1"/>
  <c r="M599" i="10" s="1"/>
  <c r="R58" i="9"/>
  <c r="J335" i="10"/>
  <c r="L335" i="10" s="1"/>
  <c r="M335" i="10" s="1"/>
  <c r="R18" i="9"/>
  <c r="J95" i="10"/>
  <c r="L95" i="10" s="1"/>
  <c r="M95" i="10" s="1"/>
  <c r="R17" i="9"/>
  <c r="J89" i="10"/>
  <c r="L89" i="10" s="1"/>
  <c r="M89" i="10" s="1"/>
  <c r="R79" i="9"/>
  <c r="J461" i="10"/>
  <c r="L461" i="10" s="1"/>
  <c r="M461" i="10" s="1"/>
  <c r="R122" i="9"/>
  <c r="J719" i="10"/>
  <c r="L719" i="10" s="1"/>
  <c r="M719" i="10" s="1"/>
  <c r="R75" i="9"/>
  <c r="J437" i="10"/>
  <c r="L437" i="10" s="1"/>
  <c r="M437" i="10" s="1"/>
  <c r="R23" i="9"/>
  <c r="J125" i="10"/>
  <c r="L125" i="10" s="1"/>
  <c r="M125" i="10" s="1"/>
  <c r="R117" i="9"/>
  <c r="J689" i="10"/>
  <c r="L689" i="10" s="1"/>
  <c r="M689" i="10" s="1"/>
  <c r="R5" i="9"/>
  <c r="J17" i="10"/>
  <c r="L17" i="10" s="1"/>
  <c r="M17" i="10" s="1"/>
  <c r="R54" i="9"/>
  <c r="J311" i="10"/>
  <c r="L311" i="10" s="1"/>
  <c r="M311" i="10" s="1"/>
  <c r="R120" i="9"/>
  <c r="J707" i="10"/>
  <c r="L707" i="10" s="1"/>
  <c r="M707" i="10" s="1"/>
  <c r="R3" i="9"/>
  <c r="J5" i="10"/>
  <c r="L5" i="10" s="1"/>
  <c r="M5" i="10" s="1"/>
  <c r="R96" i="9"/>
  <c r="J563" i="10"/>
  <c r="L563" i="10" s="1"/>
  <c r="M563" i="10" s="1"/>
  <c r="R68" i="9"/>
  <c r="J395" i="10"/>
  <c r="L395" i="10" s="1"/>
  <c r="M395" i="10" s="1"/>
  <c r="R37" i="9"/>
  <c r="J209" i="10"/>
  <c r="L209" i="10" s="1"/>
  <c r="M209" i="10" s="1"/>
  <c r="R82" i="9"/>
  <c r="J479" i="10"/>
  <c r="L479" i="10" s="1"/>
  <c r="M479" i="10" s="1"/>
  <c r="R28" i="9"/>
  <c r="J155" i="10"/>
  <c r="L155" i="10" s="1"/>
  <c r="M155" i="10" s="1"/>
  <c r="R76" i="9"/>
  <c r="J443" i="10"/>
  <c r="L443" i="10" s="1"/>
  <c r="M443" i="10" s="1"/>
  <c r="R70" i="9"/>
  <c r="J407" i="10"/>
  <c r="L407" i="10" s="1"/>
  <c r="M407" i="10" s="1"/>
  <c r="R24" i="9"/>
  <c r="J131" i="10"/>
  <c r="L131" i="10" s="1"/>
  <c r="M131" i="10" s="1"/>
  <c r="R132" i="9"/>
  <c r="J779" i="10"/>
  <c r="L779" i="10" s="1"/>
  <c r="M779" i="10" s="1"/>
  <c r="R11" i="9"/>
  <c r="J53" i="10"/>
  <c r="L53" i="10" s="1"/>
  <c r="M53" i="10" s="1"/>
  <c r="R14" i="9"/>
  <c r="J71" i="10"/>
  <c r="L71" i="10" s="1"/>
  <c r="M71" i="10" s="1"/>
  <c r="R81" i="9"/>
  <c r="J473" i="10"/>
  <c r="L473" i="10" s="1"/>
  <c r="M473" i="10" s="1"/>
  <c r="R128" i="9"/>
  <c r="J755" i="10"/>
  <c r="L755" i="10" s="1"/>
  <c r="M755" i="10" s="1"/>
  <c r="R93" i="9"/>
  <c r="J545" i="10"/>
  <c r="L545" i="10" s="1"/>
  <c r="M545" i="10" s="1"/>
  <c r="R118" i="9"/>
  <c r="J695" i="10"/>
  <c r="L695" i="10" s="1"/>
  <c r="M695" i="10" s="1"/>
  <c r="R42" i="9"/>
  <c r="J239" i="10"/>
  <c r="L239" i="10" s="1"/>
  <c r="M239" i="10" s="1"/>
  <c r="R105" i="9"/>
  <c r="J617" i="10"/>
  <c r="L617" i="10" s="1"/>
  <c r="M617" i="10" s="1"/>
  <c r="R64" i="9"/>
  <c r="J371" i="10"/>
  <c r="L371" i="10" s="1"/>
  <c r="M371" i="10" s="1"/>
  <c r="R7" i="9"/>
  <c r="J29" i="10"/>
  <c r="L29" i="10" s="1"/>
  <c r="M29" i="10" s="1"/>
  <c r="R94" i="9"/>
  <c r="J551" i="10"/>
  <c r="L551" i="10" s="1"/>
  <c r="M551" i="10" s="1"/>
  <c r="R106" i="9"/>
  <c r="J623" i="10"/>
  <c r="L623" i="10" s="1"/>
  <c r="M623" i="10" s="1"/>
  <c r="R32" i="9"/>
  <c r="J179" i="10"/>
  <c r="L179" i="10" s="1"/>
  <c r="M179" i="10" s="1"/>
  <c r="R125" i="9"/>
  <c r="J737" i="10"/>
  <c r="L737" i="10" s="1"/>
  <c r="M737" i="10" s="1"/>
  <c r="R39" i="9"/>
  <c r="J221" i="10"/>
  <c r="L221" i="10" s="1"/>
  <c r="M221" i="10" s="1"/>
  <c r="R121" i="9"/>
  <c r="J713" i="10"/>
  <c r="L713" i="10" s="1"/>
  <c r="M713" i="10" s="1"/>
  <c r="R83" i="9"/>
  <c r="J485" i="10"/>
  <c r="L485" i="10" s="1"/>
  <c r="M485" i="10" s="1"/>
  <c r="R110" i="9"/>
  <c r="J647" i="10"/>
  <c r="L647" i="10" s="1"/>
  <c r="M647" i="10" s="1"/>
  <c r="R36" i="9"/>
  <c r="J203" i="10"/>
  <c r="L203" i="10" s="1"/>
  <c r="M203" i="10" s="1"/>
  <c r="R74" i="9"/>
  <c r="J431" i="10"/>
  <c r="L431" i="10" s="1"/>
  <c r="M431" i="10" s="1"/>
  <c r="R20" i="9"/>
  <c r="J107" i="10"/>
  <c r="L107" i="10" s="1"/>
  <c r="M107" i="10" s="1"/>
  <c r="R51" i="9"/>
  <c r="J293" i="10"/>
  <c r="L293" i="10" s="1"/>
  <c r="M293" i="10" s="1"/>
  <c r="R109" i="9"/>
  <c r="J641" i="10"/>
  <c r="L641" i="10" s="1"/>
  <c r="M641" i="10" s="1"/>
  <c r="R63" i="9"/>
  <c r="J365" i="10"/>
  <c r="L365" i="10" s="1"/>
  <c r="M365" i="10" s="1"/>
  <c r="R31" i="9"/>
  <c r="J173" i="10"/>
  <c r="L173" i="10" s="1"/>
  <c r="M173" i="10" s="1"/>
  <c r="R59" i="9"/>
  <c r="J341" i="10"/>
  <c r="L341" i="10" s="1"/>
  <c r="M341" i="10" s="1"/>
  <c r="R67" i="9"/>
  <c r="J389" i="10"/>
  <c r="L389" i="10" s="1"/>
  <c r="M389" i="10" s="1"/>
  <c r="R57" i="9"/>
  <c r="J329" i="10"/>
  <c r="L329" i="10" s="1"/>
  <c r="M329" i="10" s="1"/>
  <c r="R126" i="9"/>
  <c r="J743" i="10"/>
  <c r="L743" i="10" s="1"/>
  <c r="M743" i="10" s="1"/>
  <c r="I138" i="9"/>
  <c r="I139" i="9" s="1"/>
  <c r="I134" i="9"/>
  <c r="P138" i="9"/>
  <c r="P139" i="9" s="1"/>
  <c r="P134" i="9"/>
  <c r="O134" i="9"/>
  <c r="S2" i="4"/>
  <c r="E10" i="1"/>
  <c r="R73" i="9"/>
  <c r="R136" i="4"/>
  <c r="E19" i="1" s="1"/>
  <c r="Q72" i="9"/>
  <c r="R9" i="9"/>
  <c r="Q136" i="9"/>
  <c r="R8" i="9"/>
  <c r="R135" i="4"/>
  <c r="E14" i="1" s="1"/>
  <c r="R133" i="4"/>
  <c r="Q71" i="9"/>
  <c r="J413" i="10" s="1"/>
  <c r="L413" i="10" s="1"/>
  <c r="M413" i="10" s="1"/>
  <c r="N135" i="5"/>
  <c r="N133" i="5"/>
  <c r="J139" i="6"/>
  <c r="C29" i="1" s="1"/>
  <c r="D14" i="1"/>
  <c r="L138" i="7"/>
  <c r="D29" i="1" s="1"/>
  <c r="M135" i="7"/>
  <c r="M133" i="7"/>
  <c r="F14" i="1"/>
  <c r="T138" i="2"/>
  <c r="F29" i="1" s="1"/>
  <c r="P138" i="4"/>
  <c r="B14" i="1"/>
  <c r="M138" i="5"/>
  <c r="B29" i="1" s="1"/>
  <c r="K138" i="6"/>
  <c r="K134" i="6"/>
  <c r="N136" i="5"/>
  <c r="B20" i="1" s="1"/>
  <c r="M136" i="7"/>
  <c r="D20" i="1" s="1"/>
  <c r="S70" i="4"/>
  <c r="S137" i="4" s="1"/>
  <c r="E25" i="1" s="1"/>
  <c r="R137" i="4"/>
  <c r="E24" i="1" s="1"/>
  <c r="T3" i="4"/>
  <c r="S135" i="4"/>
  <c r="U70" i="2"/>
  <c r="U137" i="2" s="1"/>
  <c r="F25" i="1" s="1"/>
  <c r="O71" i="5"/>
  <c r="O136" i="5" s="1"/>
  <c r="S71" i="4"/>
  <c r="S136" i="4" s="1"/>
  <c r="E20" i="1" s="1"/>
  <c r="O2" i="5"/>
  <c r="T133" i="2"/>
  <c r="U2" i="2"/>
  <c r="U135" i="2" s="1"/>
  <c r="U71" i="2"/>
  <c r="U136" i="2" s="1"/>
  <c r="F20" i="1" s="1"/>
  <c r="R72" i="9" l="1"/>
  <c r="J419" i="10"/>
  <c r="L419" i="10" s="1"/>
  <c r="M419" i="10" s="1"/>
  <c r="R137" i="9"/>
  <c r="Q134" i="9"/>
  <c r="R136" i="9"/>
  <c r="Q138" i="9"/>
  <c r="R71" i="9"/>
  <c r="Q137" i="9"/>
  <c r="D15" i="1"/>
  <c r="M138" i="7"/>
  <c r="D30" i="1" s="1"/>
  <c r="O135" i="5"/>
  <c r="O138" i="5" s="1"/>
  <c r="O133" i="5"/>
  <c r="C25" i="1"/>
  <c r="K139" i="6"/>
  <c r="C30" i="1" s="1"/>
  <c r="B15" i="1"/>
  <c r="N138" i="5"/>
  <c r="B30" i="1" s="1"/>
  <c r="F15" i="1"/>
  <c r="U138" i="2"/>
  <c r="F30" i="1" s="1"/>
  <c r="S133" i="4"/>
  <c r="R138" i="4"/>
  <c r="E29" i="1" s="1"/>
  <c r="T70" i="4"/>
  <c r="T137" i="4" s="1"/>
  <c r="S138" i="4"/>
  <c r="E30" i="1" s="1"/>
  <c r="E15" i="1"/>
  <c r="T135" i="4"/>
  <c r="U133" i="2"/>
  <c r="T136" i="4"/>
  <c r="Q139" i="9" l="1"/>
  <c r="R138" i="9"/>
  <c r="R139" i="9" s="1"/>
  <c r="R134" i="9"/>
  <c r="T133" i="4"/>
  <c r="T138" i="4" s="1"/>
</calcChain>
</file>

<file path=xl/sharedStrings.xml><?xml version="1.0" encoding="utf-8"?>
<sst xmlns="http://schemas.openxmlformats.org/spreadsheetml/2006/main" count="5145" uniqueCount="245">
  <si>
    <t>Sessions Division</t>
  </si>
  <si>
    <t>Rewari</t>
  </si>
  <si>
    <t>Total Courts</t>
  </si>
  <si>
    <t>Working Courts</t>
  </si>
  <si>
    <t>TJOs</t>
  </si>
  <si>
    <t>Family Camp Courts</t>
  </si>
  <si>
    <t>ITEM</t>
  </si>
  <si>
    <t>Scanners</t>
  </si>
  <si>
    <t>Display Boards</t>
  </si>
  <si>
    <t>MFP</t>
  </si>
  <si>
    <t>Duplex Laser Printers</t>
  </si>
  <si>
    <t>AIO</t>
  </si>
  <si>
    <t xml:space="preserve">Distributed </t>
  </si>
  <si>
    <t>Requirement</t>
  </si>
  <si>
    <t>Shortfall (-) /Surplus (+)</t>
  </si>
  <si>
    <t>Sr. No.</t>
  </si>
  <si>
    <t>Sessions Division/Sub-Division</t>
  </si>
  <si>
    <t>2021 Paperless Court</t>
  </si>
  <si>
    <t>eSewa 2023</t>
  </si>
  <si>
    <t>Help Desk 2023</t>
  </si>
  <si>
    <t>Family Camp Courtrs &amp; Gram Nyayalya (4 per Court) 2023</t>
  </si>
  <si>
    <t>1828 in 2023</t>
  </si>
  <si>
    <t>Total distributed in 2023</t>
  </si>
  <si>
    <t>Requirement - Court use</t>
  </si>
  <si>
    <t>Requirement - TJO</t>
  </si>
  <si>
    <t>Requirement - Family &amp; Gram Nyayalya</t>
  </si>
  <si>
    <t>Total Requirement</t>
  </si>
  <si>
    <t xml:space="preserve">Shortfall (-) / Surplus (+) </t>
  </si>
  <si>
    <t xml:space="preserve">Requirment after adjustment within Distt </t>
  </si>
  <si>
    <t>Amritsar</t>
  </si>
  <si>
    <t>Ajnala</t>
  </si>
  <si>
    <t>Baba Bakala</t>
  </si>
  <si>
    <t>Barnala</t>
  </si>
  <si>
    <t>Bathinda</t>
  </si>
  <si>
    <t>Talwandi Sabo</t>
  </si>
  <si>
    <t>Phul</t>
  </si>
  <si>
    <t>Faridkot</t>
  </si>
  <si>
    <t>Jaitu</t>
  </si>
  <si>
    <t>Fatehgarh Sahib</t>
  </si>
  <si>
    <t>Amloh</t>
  </si>
  <si>
    <t>Khamanon</t>
  </si>
  <si>
    <t>Fazilka</t>
  </si>
  <si>
    <t>Abohar</t>
  </si>
  <si>
    <t>Jalalabad</t>
  </si>
  <si>
    <t>Ferozepur</t>
  </si>
  <si>
    <t>Guruharsahai</t>
  </si>
  <si>
    <t>Zira</t>
  </si>
  <si>
    <t>Gurdaspur</t>
  </si>
  <si>
    <t>Batala</t>
  </si>
  <si>
    <t>Hoshiarpur</t>
  </si>
  <si>
    <t>Dasuya</t>
  </si>
  <si>
    <t>Mukerian</t>
  </si>
  <si>
    <t>Garhshankar</t>
  </si>
  <si>
    <t>Jalandhar</t>
  </si>
  <si>
    <t>Nakodar</t>
  </si>
  <si>
    <t>Phillaur</t>
  </si>
  <si>
    <t>Kapurthala</t>
  </si>
  <si>
    <t>Phagwara</t>
  </si>
  <si>
    <t>Sultanpur Lodhi</t>
  </si>
  <si>
    <t>Bholath</t>
  </si>
  <si>
    <t>Ludhiana</t>
  </si>
  <si>
    <t>Samrala</t>
  </si>
  <si>
    <t>Khanna</t>
  </si>
  <si>
    <t>Jagraon</t>
  </si>
  <si>
    <t>Payal</t>
  </si>
  <si>
    <t>Mansa</t>
  </si>
  <si>
    <t>Sardulgarh</t>
  </si>
  <si>
    <t>Budhlada</t>
  </si>
  <si>
    <t>Moga</t>
  </si>
  <si>
    <t>Nihal Singh Wala</t>
  </si>
  <si>
    <t>Baghapurana</t>
  </si>
  <si>
    <t>Gram Nyayalya - Kot Isse Kha</t>
  </si>
  <si>
    <t>Pathankot</t>
  </si>
  <si>
    <t>Patiala</t>
  </si>
  <si>
    <t>Nabha</t>
  </si>
  <si>
    <t>Rajpura</t>
  </si>
  <si>
    <t>Samana</t>
  </si>
  <si>
    <t>Rupnagar</t>
  </si>
  <si>
    <t>Sri Anandpur Sahib</t>
  </si>
  <si>
    <t>Nangal</t>
  </si>
  <si>
    <t>Gram Nyayalya - Nangal</t>
  </si>
  <si>
    <t>S.A.S. Nagar</t>
  </si>
  <si>
    <t>Dera Bassi</t>
  </si>
  <si>
    <t>Kharar</t>
  </si>
  <si>
    <t>Sangrur</t>
  </si>
  <si>
    <t>Malerkotla</t>
  </si>
  <si>
    <t>Sunam</t>
  </si>
  <si>
    <t>Moonak</t>
  </si>
  <si>
    <t>Dhuri</t>
  </si>
  <si>
    <t>Sri Muktsar Sahib</t>
  </si>
  <si>
    <t>Gidderbaha</t>
  </si>
  <si>
    <t>Malout</t>
  </si>
  <si>
    <t>SBS Nagar</t>
  </si>
  <si>
    <t>Balachaur</t>
  </si>
  <si>
    <t>Tarn Taran</t>
  </si>
  <si>
    <t>Patti</t>
  </si>
  <si>
    <t>Khadoor Sahib</t>
  </si>
  <si>
    <t>Chandigarh</t>
  </si>
  <si>
    <t>Ambala</t>
  </si>
  <si>
    <t>Naraingarh</t>
  </si>
  <si>
    <t>Bhiwani</t>
  </si>
  <si>
    <t>Loharu</t>
  </si>
  <si>
    <t>Siwani</t>
  </si>
  <si>
    <t>Tosham</t>
  </si>
  <si>
    <t>Charkhi Dadri</t>
  </si>
  <si>
    <t>Faridabad</t>
  </si>
  <si>
    <t>Fatehabad</t>
  </si>
  <si>
    <t>Tohana</t>
  </si>
  <si>
    <t>Ratia</t>
  </si>
  <si>
    <t>Gurugram</t>
  </si>
  <si>
    <t>Pataudi</t>
  </si>
  <si>
    <t>Sohna</t>
  </si>
  <si>
    <t>Hisar</t>
  </si>
  <si>
    <t>Hansi</t>
  </si>
  <si>
    <t>Jhajjar</t>
  </si>
  <si>
    <t>Bahadurgarh</t>
  </si>
  <si>
    <t>Jind</t>
  </si>
  <si>
    <t>Narwana</t>
  </si>
  <si>
    <t>Safidon</t>
  </si>
  <si>
    <t>Kaithal</t>
  </si>
  <si>
    <t>Guhla</t>
  </si>
  <si>
    <t>Karnal</t>
  </si>
  <si>
    <t>Assandh</t>
  </si>
  <si>
    <t>Gharaunda</t>
  </si>
  <si>
    <t>Indri</t>
  </si>
  <si>
    <t>Kurukshetra</t>
  </si>
  <si>
    <t>Pehowa</t>
  </si>
  <si>
    <t>Shahabad</t>
  </si>
  <si>
    <t>Gram Nyayalya - Ladwa</t>
  </si>
  <si>
    <t>Narnaul</t>
  </si>
  <si>
    <t>Mohindergarh</t>
  </si>
  <si>
    <t>Kanina</t>
  </si>
  <si>
    <t>Mewat at Nuh</t>
  </si>
  <si>
    <t>Ferozepur Jhirka</t>
  </si>
  <si>
    <t>Punhana</t>
  </si>
  <si>
    <t>Palwal</t>
  </si>
  <si>
    <t>Hodel</t>
  </si>
  <si>
    <t>Hathin</t>
  </si>
  <si>
    <t>Panipat</t>
  </si>
  <si>
    <t>Samalkha</t>
  </si>
  <si>
    <t>Panchkula</t>
  </si>
  <si>
    <t>Kalka</t>
  </si>
  <si>
    <t>Kosli</t>
  </si>
  <si>
    <t>Bawal</t>
  </si>
  <si>
    <t>Rohtak</t>
  </si>
  <si>
    <t>Meham</t>
  </si>
  <si>
    <t>Sirsa</t>
  </si>
  <si>
    <t>Dabwali</t>
  </si>
  <si>
    <t>Ellenabad</t>
  </si>
  <si>
    <t>Gram Nyayalya - Rania</t>
  </si>
  <si>
    <t>Sonepat</t>
  </si>
  <si>
    <t>Ganaur</t>
  </si>
  <si>
    <t>Gohana</t>
  </si>
  <si>
    <t>Kharkhoda</t>
  </si>
  <si>
    <t>Yamunanagar at Jagadhri</t>
  </si>
  <si>
    <t>Bilaspur</t>
  </si>
  <si>
    <t>Total</t>
  </si>
  <si>
    <t>Punjab</t>
  </si>
  <si>
    <t>Haryana</t>
  </si>
  <si>
    <t>AMC 2014 (HP - 1566)</t>
  </si>
  <si>
    <t>AMC 2014 (HP - 1022)</t>
  </si>
  <si>
    <t>AMC 2014 Samsung ML 2161</t>
  </si>
  <si>
    <t>2016 (Actual)</t>
  </si>
  <si>
    <t>AMC - faulty</t>
  </si>
  <si>
    <t>(Qty.) 2016- Under AMC</t>
  </si>
  <si>
    <t>(Qty.) 2020 - Under warranty</t>
  </si>
  <si>
    <t>(Qty.) 2025 - Admn work</t>
  </si>
  <si>
    <t>(Qty.) 2025 - Court use</t>
  </si>
  <si>
    <t>Total available (under warranty &amp; AMC)</t>
  </si>
  <si>
    <t>Requirement 2 per Court</t>
  </si>
  <si>
    <r>
      <rPr>
        <b/>
        <sz val="10"/>
        <color rgb="FF000000"/>
        <rFont val="Times New Roman"/>
        <family val="1"/>
        <charset val="1"/>
      </rPr>
      <t>43</t>
    </r>
    <r>
      <rPr>
        <sz val="10"/>
        <color rgb="FF000000"/>
        <rFont val="Times New Roman"/>
        <family val="1"/>
        <charset val="1"/>
      </rPr>
      <t xml:space="preserve"> (Kodak/i1190) for Courts in </t>
    </r>
    <r>
      <rPr>
        <b/>
        <sz val="10"/>
        <color rgb="FF000000"/>
        <rFont val="Times New Roman"/>
        <family val="1"/>
        <charset val="1"/>
      </rPr>
      <t>2018</t>
    </r>
    <r>
      <rPr>
        <sz val="10"/>
        <color rgb="FF000000"/>
        <rFont val="Times New Roman"/>
        <family val="1"/>
        <charset val="1"/>
      </rPr>
      <t xml:space="preserve"> </t>
    </r>
  </si>
  <si>
    <t xml:space="preserve">120 (Kodak/i1190) FlatBed for Courts in 2018 </t>
  </si>
  <si>
    <t xml:space="preserve">2 (Kodak/i1190) FlatBed for Courts in 2019 </t>
  </si>
  <si>
    <t>12 (added in next column) for Paperless Court in 2021</t>
  </si>
  <si>
    <t>134 (120 for eSK and 12 for Paperless)  in   (HP/Scanjet Enterprise 7500)   2021</t>
  </si>
  <si>
    <t>100   (Fujitsu/Fujitsu SP 1130N)   for HelpDesk 2023</t>
  </si>
  <si>
    <t>52   (Ricoh/fi8190)   for Scanning &amp; Digitization 2024</t>
  </si>
  <si>
    <t>1247   HP/Scanjet 4600fnw ADF legal flatbed   for Courts in 2024</t>
  </si>
  <si>
    <t>Distributed for Courts</t>
  </si>
  <si>
    <t>Requirement for Courts</t>
  </si>
  <si>
    <t>Req after Adjustment with SD/SB</t>
  </si>
  <si>
    <t>Total number of working Court including family Courts (excluding Officers working as Secy, DLSA, ADJ/ ACJ as Spl. Judge, CBI Court &amp; SJM, POIT/ Special Tribunal) as on 07.01.2025</t>
  </si>
  <si>
    <t>Number of family Camp Court/ Gram Nyayalaya updated as on 07.01.2025</t>
  </si>
  <si>
    <t>Total supplied</t>
  </si>
  <si>
    <t>Addl requirment (- shortfall/ + surplus)</t>
  </si>
  <si>
    <t>Addl requirment after adjustment within Distt (- shortfall/ + surplus)</t>
  </si>
  <si>
    <t>Surplus (+) / Shortfall   (-)</t>
  </si>
  <si>
    <t>Total number of working Court including family Courts (excluding Officers working as Secy, DLSA, ADJ/ ACJ as Spl. Judge, CBI Court &amp; SJM, POIT/ Special Tribunal) as on 10.11.2025</t>
  </si>
  <si>
    <t>Number of family Camp Court/ Gram Nyayalaya updated as on 10.11.2025</t>
  </si>
  <si>
    <t>944 in  2017</t>
  </si>
  <si>
    <t>5 in 2018</t>
  </si>
  <si>
    <t>121 in 2023</t>
  </si>
  <si>
    <t>121 in 2024</t>
  </si>
  <si>
    <t>Total Supplied</t>
  </si>
  <si>
    <t>Total number of working Court including family Courts (excluding Officers working as Secy, DLSA, ADJ/ ACJ as Spl. Judge, CBI Court &amp; SJM, POIT/ Special Tribunal/ Railway Magistrate) as on 28.11.2025</t>
  </si>
  <si>
    <t>Supplied for Courts in 2025</t>
  </si>
  <si>
    <t>Supplied for eSewa Kendras in 2025</t>
  </si>
  <si>
    <t>Requirement after adjustment within Session Division</t>
  </si>
  <si>
    <t>Number of family Camp Court/ Gram Nyayalaya updated as on 28.11.2025</t>
  </si>
  <si>
    <r>
      <rPr>
        <b/>
        <sz val="9"/>
        <color rgb="FF000000"/>
        <rFont val="Arial"/>
        <family val="2"/>
      </rPr>
      <t xml:space="preserve">(D) </t>
    </r>
    <r>
      <rPr>
        <b/>
        <sz val="8"/>
        <color rgb="FF000000"/>
        <rFont val="Arial"/>
        <family val="2"/>
        <charset val="1"/>
      </rPr>
      <t xml:space="preserve">
Total distributed for Court Use (under warranty &amp; AMC)</t>
    </r>
  </si>
  <si>
    <r>
      <rPr>
        <b/>
        <sz val="9"/>
        <color rgb="FF000000"/>
        <rFont val="Arial"/>
        <family val="2"/>
      </rPr>
      <t xml:space="preserve">(C) </t>
    </r>
    <r>
      <rPr>
        <b/>
        <sz val="8"/>
        <color rgb="FF000000"/>
        <rFont val="Arial"/>
        <family val="2"/>
        <charset val="1"/>
      </rPr>
      <t xml:space="preserve">
TJOs</t>
    </r>
  </si>
  <si>
    <r>
      <rPr>
        <b/>
        <sz val="9"/>
        <color rgb="FF000000"/>
        <rFont val="Arial"/>
        <family val="2"/>
      </rPr>
      <t>(B)</t>
    </r>
    <r>
      <rPr>
        <b/>
        <sz val="8"/>
        <color rgb="FF000000"/>
        <rFont val="Arial"/>
        <family val="2"/>
        <charset val="1"/>
      </rPr>
      <t xml:space="preserve"> Number of family Camp Court/ Gram Nyayalaya updated as on 28.11.2025</t>
    </r>
  </si>
  <si>
    <r>
      <rPr>
        <b/>
        <sz val="9"/>
        <color rgb="FF000000"/>
        <rFont val="Arial"/>
        <family val="2"/>
      </rPr>
      <t xml:space="preserve">(A) </t>
    </r>
    <r>
      <rPr>
        <b/>
        <sz val="8"/>
        <color rgb="FF000000"/>
        <rFont val="Arial"/>
        <family val="2"/>
        <charset val="1"/>
      </rPr>
      <t xml:space="preserve">
Total number of working Court including family Courts (excluding Officers working as Secy, DLSA, ADJ/ ACJ as Spl. Judge, CBI Court &amp; SJM, POIT/ Special Tribunal/ Railway Magistrate) as on 28.11.2025</t>
    </r>
  </si>
  <si>
    <r>
      <rPr>
        <b/>
        <sz val="9"/>
        <color rgb="FF000000"/>
        <rFont val="Arial"/>
        <family val="2"/>
      </rPr>
      <t>E= (A+B+C) x 1</t>
    </r>
    <r>
      <rPr>
        <b/>
        <sz val="8"/>
        <color rgb="FF000000"/>
        <rFont val="Arial"/>
        <family val="2"/>
        <charset val="1"/>
      </rPr>
      <t xml:space="preserve">
Requirement 1 per Court &amp; 1 per gram nyayalya and family camp court and TJOs</t>
    </r>
  </si>
  <si>
    <r>
      <rPr>
        <b/>
        <sz val="9"/>
        <color rgb="FF000000"/>
        <rFont val="Arial"/>
        <family val="2"/>
      </rPr>
      <t>F= D - E</t>
    </r>
    <r>
      <rPr>
        <b/>
        <sz val="8"/>
        <color rgb="FF000000"/>
        <rFont val="Arial"/>
        <family val="2"/>
        <charset val="1"/>
      </rPr>
      <t xml:space="preserve">
Surplus (+) / Shortfall   (-)</t>
    </r>
  </si>
  <si>
    <t>Total number of working Court including family Courts (excluding Officers working as Secy, DLSA, ADJ/ ACJ as Spl. Judge, CBI Court &amp; SJM, POIT/ Special Tribunal) as on 28.11.2025</t>
  </si>
  <si>
    <t>Distributed</t>
  </si>
  <si>
    <t>CHANDIGARH</t>
  </si>
  <si>
    <t>PUNJAB</t>
  </si>
  <si>
    <t>HARYANA</t>
  </si>
  <si>
    <t>TOTAL</t>
  </si>
  <si>
    <t>NO DLP for family camp Court as per new norms</t>
  </si>
  <si>
    <t>PAS</t>
  </si>
  <si>
    <t>Req after adjustment within District</t>
  </si>
  <si>
    <t xml:space="preserve">Total Requirement for Courts </t>
  </si>
  <si>
    <t>Total distributed for COURTS</t>
  </si>
  <si>
    <t>Required</t>
  </si>
  <si>
    <t>Shortfall/Surplus</t>
  </si>
  <si>
    <t xml:space="preserve">Total number of working Court including family Courts </t>
  </si>
  <si>
    <t>Number of family Camp Court/ Gram Nyayalay</t>
  </si>
  <si>
    <t>Courts</t>
  </si>
  <si>
    <t>Narnaud</t>
  </si>
  <si>
    <t>Barwala</t>
  </si>
  <si>
    <t>Public Address System</t>
  </si>
  <si>
    <t>AIO Computers with UPS</t>
  </si>
  <si>
    <t>Multi Function Printers</t>
  </si>
  <si>
    <t>State</t>
  </si>
  <si>
    <t>Session_Division</t>
  </si>
  <si>
    <t>Location_Name</t>
  </si>
  <si>
    <t>Location_Type</t>
  </si>
  <si>
    <t>Courts_Count</t>
  </si>
  <si>
    <t>Hardware_Item</t>
  </si>
  <si>
    <t>Required_Qty</t>
  </si>
  <si>
    <t>Distributed_Qty</t>
  </si>
  <si>
    <t>Balance_Qty</t>
  </si>
  <si>
    <t>Status</t>
  </si>
  <si>
    <t>Remarks</t>
  </si>
  <si>
    <t>Session</t>
  </si>
  <si>
    <t>SubDivision</t>
  </si>
  <si>
    <t>DLP</t>
  </si>
  <si>
    <t>Total COURTS</t>
  </si>
  <si>
    <t>Display Board</t>
  </si>
  <si>
    <t>Gram Nyayalya</t>
  </si>
  <si>
    <t>Family_Courts</t>
  </si>
  <si>
    <t>Total_Courts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</si>
</sst>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sz val="11"/>
      <color theme="1"/>
      <name val="Segoe UI"/>
      <family val="2"/>
      <charset val="1"/>
    </font>
    <font>
      <b/>
      <sz val="11"/>
      <color theme="1"/>
      <name val="Segoe UI"/>
      <family val="2"/>
      <charset val="1"/>
    </font>
    <font>
      <b/>
      <sz val="11"/>
      <color theme="1"/>
      <name val="Calibri"/>
      <family val="2"/>
      <charset val="1"/>
    </font>
    <font>
      <b/>
      <i/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b/>
      <i/>
      <sz val="12"/>
      <name val="Calibri"/>
      <family val="2"/>
      <charset val="1"/>
    </font>
    <font>
      <b/>
      <i/>
      <sz val="11"/>
      <color theme="3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12"/>
      <color theme="1"/>
      <name val="Arial"/>
      <family val="2"/>
      <charset val="1"/>
    </font>
    <font>
      <b/>
      <i/>
      <sz val="8"/>
      <color rgb="FF000000"/>
      <name val="Arial"/>
      <family val="2"/>
      <charset val="1"/>
    </font>
    <font>
      <b/>
      <sz val="8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b/>
      <i/>
      <sz val="10"/>
      <color rgb="FF000000"/>
      <name val="Arial"/>
      <family val="2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i/>
      <sz val="8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2"/>
      <color theme="1"/>
      <name val="Calibri"/>
      <family val="2"/>
      <charset val="1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11"/>
      <color theme="1"/>
      <name val="Calibri"/>
      <family val="2"/>
    </font>
    <font>
      <b/>
      <sz val="14"/>
      <color theme="1"/>
      <name val="Segoe UI"/>
      <family val="2"/>
      <charset val="1"/>
    </font>
    <font>
      <sz val="12"/>
      <color theme="1"/>
      <name val="Segoe UI"/>
      <family val="2"/>
      <charset val="1"/>
    </font>
    <font>
      <sz val="12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1"/>
      <name val="Calibri"/>
      <family val="2"/>
    </font>
    <font>
      <b/>
      <sz val="8"/>
      <color rgb="FFFF0000"/>
      <name val="Arial"/>
      <family val="2"/>
      <charset val="1"/>
    </font>
    <font>
      <sz val="11"/>
      <color rgb="FFFF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14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59987182226020086"/>
        <bgColor rgb="FFCCCCCC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textRotation="90" wrapText="1"/>
    </xf>
    <xf numFmtId="0" fontId="3" fillId="0" borderId="1" xfId="0" applyFont="1" applyBorder="1" applyAlignment="1">
      <alignment horizontal="right" vertical="center" textRotation="90" wrapText="1"/>
    </xf>
    <xf numFmtId="0" fontId="7" fillId="0" borderId="1" xfId="0" applyFont="1" applyBorder="1" applyAlignment="1">
      <alignment horizontal="right" vertical="center" textRotation="90" wrapText="1"/>
    </xf>
    <xf numFmtId="0" fontId="8" fillId="0" borderId="1" xfId="0" applyFont="1" applyBorder="1" applyAlignment="1">
      <alignment horizontal="right" vertical="center" textRotation="90" wrapText="1"/>
    </xf>
    <xf numFmtId="0" fontId="9" fillId="0" borderId="1" xfId="0" applyFont="1" applyBorder="1" applyAlignment="1">
      <alignment horizontal="right" vertical="center" textRotation="90" wrapText="1"/>
    </xf>
    <xf numFmtId="0" fontId="3" fillId="0" borderId="3" xfId="0" applyFont="1" applyBorder="1" applyAlignment="1">
      <alignment horizontal="right" vertical="center" textRotation="90" wrapText="1"/>
    </xf>
    <xf numFmtId="0" fontId="0" fillId="0" borderId="1" xfId="0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vertical="center" wrapText="1"/>
    </xf>
    <xf numFmtId="0" fontId="0" fillId="4" borderId="0" xfId="0" applyFill="1"/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8" fillId="0" borderId="1" xfId="0" applyFont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17" fillId="0" borderId="1" xfId="0" applyFont="1" applyBorder="1" applyAlignment="1">
      <alignment horizontal="right" vertical="center" wrapText="1"/>
    </xf>
    <xf numFmtId="0" fontId="18" fillId="0" borderId="1" xfId="0" applyFont="1" applyBorder="1" applyAlignment="1">
      <alignment horizontal="right"/>
    </xf>
    <xf numFmtId="0" fontId="18" fillId="0" borderId="0" xfId="0" applyFont="1"/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17" fillId="0" borderId="1" xfId="0" applyFont="1" applyBorder="1" applyAlignment="1">
      <alignment horizontal="center"/>
    </xf>
    <xf numFmtId="0" fontId="19" fillId="0" borderId="1" xfId="0" applyFont="1" applyBorder="1"/>
    <xf numFmtId="0" fontId="0" fillId="0" borderId="1" xfId="0" applyBorder="1" applyAlignment="1">
      <alignment horizontal="center"/>
    </xf>
    <xf numFmtId="0" fontId="17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4" borderId="1" xfId="0" applyFont="1" applyFill="1" applyBorder="1" applyAlignment="1">
      <alignment wrapText="1"/>
    </xf>
    <xf numFmtId="0" fontId="13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wrapText="1"/>
    </xf>
    <xf numFmtId="0" fontId="3" fillId="0" borderId="1" xfId="0" applyFont="1" applyBorder="1"/>
    <xf numFmtId="0" fontId="3" fillId="0" borderId="0" xfId="0" applyFont="1"/>
    <xf numFmtId="0" fontId="25" fillId="0" borderId="1" xfId="0" applyFont="1" applyBorder="1" applyAlignment="1">
      <alignment horizontal="right" vertical="center" textRotation="90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/>
    <xf numFmtId="0" fontId="29" fillId="3" borderId="1" xfId="0" applyFont="1" applyFill="1" applyBorder="1" applyAlignment="1">
      <alignment horizontal="right" vertical="center" wrapText="1" indent="1"/>
    </xf>
    <xf numFmtId="0" fontId="2" fillId="3" borderId="2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1" fillId="0" borderId="1" xfId="0" applyFont="1" applyBorder="1" applyAlignment="1">
      <alignment horizontal="right"/>
    </xf>
    <xf numFmtId="0" fontId="31" fillId="0" borderId="1" xfId="0" applyFont="1" applyBorder="1"/>
    <xf numFmtId="0" fontId="0" fillId="5" borderId="1" xfId="0" applyFill="1" applyBorder="1"/>
    <xf numFmtId="0" fontId="29" fillId="3" borderId="2" xfId="0" applyFont="1" applyFill="1" applyBorder="1" applyAlignment="1">
      <alignment horizontal="left" vertical="center" wrapText="1" indent="1"/>
    </xf>
    <xf numFmtId="0" fontId="32" fillId="0" borderId="0" xfId="0" applyFont="1"/>
    <xf numFmtId="0" fontId="33" fillId="0" borderId="1" xfId="0" applyFont="1" applyBorder="1"/>
    <xf numFmtId="0" fontId="32" fillId="0" borderId="1" xfId="0" applyFont="1" applyBorder="1"/>
    <xf numFmtId="0" fontId="29" fillId="2" borderId="1" xfId="0" applyFont="1" applyFill="1" applyBorder="1" applyAlignment="1">
      <alignment horizontal="left" vertical="center" wrapText="1" indent="1"/>
    </xf>
    <xf numFmtId="0" fontId="29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9" fillId="0" borderId="1" xfId="0" applyFont="1" applyBorder="1" applyAlignment="1">
      <alignment horizontal="right" vertical="center" wrapText="1" indent="1"/>
    </xf>
    <xf numFmtId="0" fontId="30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/>
    <xf numFmtId="0" fontId="35" fillId="0" borderId="0" xfId="0" applyFont="1"/>
    <xf numFmtId="0" fontId="36" fillId="0" borderId="1" xfId="0" applyFont="1" applyBorder="1" applyAlignment="1">
      <alignment horizontal="right" vertical="center" wrapText="1"/>
    </xf>
    <xf numFmtId="0" fontId="36" fillId="0" borderId="0" xfId="0" applyFont="1" applyAlignment="1">
      <alignment horizontal="right" vertical="center"/>
    </xf>
    <xf numFmtId="0" fontId="37" fillId="0" borderId="1" xfId="0" applyFont="1" applyBorder="1"/>
    <xf numFmtId="0" fontId="38" fillId="0" borderId="1" xfId="0" applyFont="1" applyBorder="1" applyAlignment="1">
      <alignment horizontal="right" vertical="center" textRotation="90" wrapText="1"/>
    </xf>
    <xf numFmtId="0" fontId="39" fillId="0" borderId="0" xfId="0" applyFont="1"/>
    <xf numFmtId="0" fontId="40" fillId="0" borderId="1" xfId="0" applyFont="1" applyBorder="1" applyAlignment="1">
      <alignment horizontal="right" vertical="center" wrapText="1" indent="1"/>
    </xf>
    <xf numFmtId="0" fontId="39" fillId="0" borderId="1" xfId="0" applyFont="1" applyBorder="1"/>
    <xf numFmtId="0" fontId="40" fillId="0" borderId="1" xfId="0" applyFont="1" applyBorder="1" applyAlignment="1">
      <alignment horizontal="center" vertical="center" wrapText="1"/>
    </xf>
    <xf numFmtId="0" fontId="40" fillId="0" borderId="0" xfId="0" applyFont="1" applyAlignment="1">
      <alignment horizontal="right" vertical="center" wrapText="1" inden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40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B10" sqref="B10"/>
    </sheetView>
  </sheetViews>
  <sheetFormatPr defaultColWidth="8.7109375" defaultRowHeight="15" customHeight="1" x14ac:dyDescent="0.25"/>
  <cols>
    <col min="1" max="1" width="23.7109375" customWidth="1"/>
    <col min="2" max="2" width="23.28515625" customWidth="1"/>
    <col min="3" max="3" width="14" customWidth="1"/>
    <col min="5" max="5" width="13.28515625" customWidth="1"/>
    <col min="6" max="6" width="9.28515625" customWidth="1"/>
    <col min="9" max="9" width="22.28515625" bestFit="1" customWidth="1"/>
  </cols>
  <sheetData>
    <row r="1" spans="1:8" ht="16.5" x14ac:dyDescent="0.25">
      <c r="A1" s="1"/>
      <c r="B1" s="1"/>
    </row>
    <row r="2" spans="1:8" ht="16.5" x14ac:dyDescent="0.25">
      <c r="A2" s="82" t="s">
        <v>0</v>
      </c>
      <c r="B2" s="82" t="s">
        <v>132</v>
      </c>
    </row>
    <row r="3" spans="1:8" ht="16.5" x14ac:dyDescent="0.25">
      <c r="A3" s="82" t="s">
        <v>2</v>
      </c>
      <c r="B3" s="1">
        <f>IF(B2="","",VLOOKUP(B2,Courts!B:F,5,FALSE()))</f>
        <v>14</v>
      </c>
    </row>
    <row r="4" spans="1:8" ht="16.5" x14ac:dyDescent="0.25">
      <c r="A4" s="82" t="s">
        <v>3</v>
      </c>
      <c r="B4" s="1">
        <f>IF(B2="","",VLOOKUP(B2,Courts!B:C,2,FALSE()))</f>
        <v>13</v>
      </c>
    </row>
    <row r="5" spans="1:8" ht="16.5" x14ac:dyDescent="0.25">
      <c r="A5" s="82" t="s">
        <v>4</v>
      </c>
      <c r="B5" s="1">
        <f>IF(B2="","",VLOOKUP(B2,Courts!B:D,3,FALSE()))</f>
        <v>1</v>
      </c>
    </row>
    <row r="6" spans="1:8" ht="16.5" x14ac:dyDescent="0.25">
      <c r="A6" s="83" t="s">
        <v>5</v>
      </c>
      <c r="B6" s="84">
        <f>IF(B2="","",VLOOKUP(B2,Courts!B:E,4,FALSE()))</f>
        <v>0</v>
      </c>
    </row>
    <row r="7" spans="1:8" ht="60.75" x14ac:dyDescent="0.25">
      <c r="A7" s="82" t="s">
        <v>6</v>
      </c>
      <c r="B7" s="85" t="s">
        <v>7</v>
      </c>
      <c r="C7" s="85" t="s">
        <v>8</v>
      </c>
      <c r="D7" s="85" t="s">
        <v>9</v>
      </c>
      <c r="E7" s="85" t="s">
        <v>10</v>
      </c>
      <c r="F7" s="85" t="s">
        <v>11</v>
      </c>
      <c r="G7" s="70" t="s">
        <v>212</v>
      </c>
      <c r="H7" s="70"/>
    </row>
    <row r="8" spans="1:8" ht="17.25" x14ac:dyDescent="0.25">
      <c r="A8" s="82" t="s">
        <v>12</v>
      </c>
      <c r="B8" s="86">
        <f>IF(B2="","",VLOOKUP(B2,Scanners!B:L,11,FALSE()))</f>
        <v>18</v>
      </c>
      <c r="C8" s="73">
        <f>IF(B2="","",VLOOKUP(B2,DisBo!B:I,8,FALSE()))</f>
        <v>10</v>
      </c>
      <c r="D8" s="73">
        <f>IF(B2="","",VLOOKUP(B2,MFP!B:K,10,FALSE()))</f>
        <v>14</v>
      </c>
      <c r="E8" s="73">
        <f>IF(B2="","",VLOOKUP(B2,DLP!B:O,14,FALSE()))</f>
        <v>28</v>
      </c>
      <c r="F8" s="73">
        <f>IF(B2="","",VLOOKUP(B2,AIO!B:P,15,FALSE()))</f>
        <v>112</v>
      </c>
      <c r="G8" s="73">
        <f>IF(B2="","",VLOOKUP(B2,PAS!B:J,9,FALSE()))</f>
        <v>15</v>
      </c>
      <c r="H8" s="73"/>
    </row>
    <row r="9" spans="1:8" ht="17.25" x14ac:dyDescent="0.25">
      <c r="A9" s="82" t="s">
        <v>13</v>
      </c>
      <c r="B9" s="86">
        <f>IF(B2="","",VLOOKUP(B2,Scanners!B:M,12,FALSE()))</f>
        <v>14</v>
      </c>
      <c r="C9" s="73">
        <f>IF(B2="","",VLOOKUP(B2,DisBo!B:J,9,FALSE()))</f>
        <v>14</v>
      </c>
      <c r="D9" s="73">
        <f>IF(B2="","",VLOOKUP(B2,MFP!B:L,11,FALSE()))</f>
        <v>14</v>
      </c>
      <c r="E9" s="73">
        <f>IF(B2="","",VLOOKUP(B2,DLP!B:R,17,FALSE()))</f>
        <v>28</v>
      </c>
      <c r="F9" s="73">
        <f>IF(B2="","",VLOOKUP(B2,AIO!B:T,19,FALSE()))</f>
        <v>112</v>
      </c>
      <c r="G9" s="73">
        <f>IF(B2="","",VLOOKUP(B2,PAS!B:K,10,FALSE()))</f>
        <v>14</v>
      </c>
      <c r="H9" s="73"/>
    </row>
    <row r="10" spans="1:8" ht="33" x14ac:dyDescent="0.25">
      <c r="A10" s="82" t="s">
        <v>14</v>
      </c>
      <c r="B10" s="87">
        <f>IF(B2="","",VLOOKUP(B2,Scanners!B:N,13,FALSE()))</f>
        <v>4</v>
      </c>
      <c r="C10" s="87">
        <f>IF(B2="","",VLOOKUP(B2,DisBo!B:K,10,FALSE()))</f>
        <v>-4</v>
      </c>
      <c r="D10" s="87">
        <f>IF(B2="","",VLOOKUP(B2,MFP!B:M,12,FALSE()))</f>
        <v>0</v>
      </c>
      <c r="E10" s="87">
        <f>IF(B2="","",VLOOKUP(B2,DLP!B:S,18,FALSE()))</f>
        <v>0</v>
      </c>
      <c r="F10" s="87">
        <f>IF(B2="","",VLOOKUP(B2,AIO!B:U,20,FALSE()))</f>
        <v>0</v>
      </c>
      <c r="G10" s="3">
        <f>IF(B2="","",VLOOKUP(B2,PAS!B:L,11,FALSE()))</f>
        <v>1</v>
      </c>
      <c r="H10" s="4"/>
    </row>
    <row r="12" spans="1:8" ht="15" customHeight="1" x14ac:dyDescent="0.25">
      <c r="A12" s="71" t="s">
        <v>208</v>
      </c>
    </row>
    <row r="13" spans="1:8" ht="15" customHeight="1" x14ac:dyDescent="0.25">
      <c r="A13" s="69" t="s">
        <v>206</v>
      </c>
      <c r="B13" s="74">
        <f>Scanners!L135</f>
        <v>786</v>
      </c>
      <c r="C13" s="74">
        <f>DisBo!I136</f>
        <v>572</v>
      </c>
      <c r="D13" s="74">
        <f>MFP!K135</f>
        <v>717</v>
      </c>
      <c r="E13" s="74">
        <f>DLP!O135</f>
        <v>1378</v>
      </c>
      <c r="F13" s="74">
        <f>AIO!P135</f>
        <v>4420</v>
      </c>
      <c r="G13" s="74"/>
      <c r="H13" s="74"/>
    </row>
    <row r="14" spans="1:8" ht="15" customHeight="1" x14ac:dyDescent="0.25">
      <c r="A14" s="69" t="s">
        <v>13</v>
      </c>
      <c r="B14" s="74">
        <f>Scanners!M135</f>
        <v>685</v>
      </c>
      <c r="C14" s="74">
        <f>DisBo!J136</f>
        <v>685</v>
      </c>
      <c r="D14" s="74">
        <f>MFP!L135</f>
        <v>685</v>
      </c>
      <c r="E14" s="74">
        <f>DLP!R135</f>
        <v>1280</v>
      </c>
      <c r="F14" s="74">
        <f>AIO!T135</f>
        <v>5300</v>
      </c>
      <c r="G14" s="74"/>
      <c r="H14" s="74"/>
    </row>
    <row r="15" spans="1:8" ht="15" customHeight="1" x14ac:dyDescent="0.25">
      <c r="A15" s="2" t="s">
        <v>14</v>
      </c>
      <c r="B15" s="3">
        <f>Scanners!N135</f>
        <v>101</v>
      </c>
      <c r="C15" s="3">
        <f>DisBo!K136</f>
        <v>-113</v>
      </c>
      <c r="D15" s="3">
        <f>MFP!M135</f>
        <v>32</v>
      </c>
      <c r="E15" s="3">
        <f>DLP!S135</f>
        <v>98</v>
      </c>
      <c r="F15" s="3">
        <f>AIO!U135</f>
        <v>-880</v>
      </c>
      <c r="G15" s="3"/>
      <c r="H15" s="3"/>
    </row>
    <row r="16" spans="1:8" ht="15" customHeight="1" x14ac:dyDescent="0.25">
      <c r="A16" s="72"/>
      <c r="B16" s="72"/>
      <c r="C16" s="72"/>
      <c r="D16" s="72"/>
      <c r="E16" s="72"/>
      <c r="F16" s="72"/>
      <c r="G16" s="72"/>
      <c r="H16" s="72"/>
    </row>
    <row r="17" spans="1:8" ht="15" customHeight="1" x14ac:dyDescent="0.25">
      <c r="A17" s="71" t="s">
        <v>209</v>
      </c>
    </row>
    <row r="18" spans="1:8" ht="15" customHeight="1" x14ac:dyDescent="0.25">
      <c r="A18" s="69" t="s">
        <v>206</v>
      </c>
      <c r="B18" s="74">
        <f>Scanners!L136</f>
        <v>602</v>
      </c>
      <c r="C18" s="74">
        <f>DisBo!I137</f>
        <v>456</v>
      </c>
      <c r="D18" s="74">
        <f>MFP!K136</f>
        <v>548</v>
      </c>
      <c r="E18" s="74">
        <f>DLP!O136</f>
        <v>1095</v>
      </c>
      <c r="F18" s="74">
        <f>AIO!P136</f>
        <v>4241</v>
      </c>
      <c r="G18" s="74"/>
      <c r="H18" s="74"/>
    </row>
    <row r="19" spans="1:8" ht="15" customHeight="1" x14ac:dyDescent="0.25">
      <c r="A19" s="69" t="s">
        <v>13</v>
      </c>
      <c r="B19" s="74">
        <f>Scanners!M136</f>
        <v>623</v>
      </c>
      <c r="C19" s="74">
        <f>DisBo!J137</f>
        <v>623</v>
      </c>
      <c r="D19" s="74">
        <f>MFP!L136</f>
        <v>623</v>
      </c>
      <c r="E19" s="74">
        <f>DLP!R136</f>
        <v>1174</v>
      </c>
      <c r="F19" s="74">
        <f>AIO!T136</f>
        <v>4840</v>
      </c>
      <c r="G19" s="74"/>
      <c r="H19" s="74"/>
    </row>
    <row r="20" spans="1:8" ht="15" customHeight="1" x14ac:dyDescent="0.25">
      <c r="A20" s="2" t="s">
        <v>14</v>
      </c>
      <c r="B20" s="3">
        <f>Scanners!N136</f>
        <v>-21</v>
      </c>
      <c r="C20" s="3">
        <f>DisBo!K137</f>
        <v>-167</v>
      </c>
      <c r="D20" s="3">
        <f>MFP!M136</f>
        <v>-75</v>
      </c>
      <c r="E20" s="3">
        <f>DLP!S136</f>
        <v>-79</v>
      </c>
      <c r="F20" s="3">
        <f>AIO!U136</f>
        <v>-599</v>
      </c>
      <c r="G20" s="3"/>
      <c r="H20" s="3"/>
    </row>
    <row r="21" spans="1:8" ht="15" customHeight="1" x14ac:dyDescent="0.25">
      <c r="A21" s="72"/>
      <c r="B21" s="72"/>
      <c r="C21" s="72"/>
      <c r="D21" s="72"/>
      <c r="E21" s="72"/>
      <c r="F21" s="72"/>
      <c r="G21" s="72"/>
      <c r="H21" s="72"/>
    </row>
    <row r="22" spans="1:8" ht="15" customHeight="1" x14ac:dyDescent="0.25">
      <c r="A22" s="71" t="s">
        <v>207</v>
      </c>
    </row>
    <row r="23" spans="1:8" ht="15" customHeight="1" x14ac:dyDescent="0.25">
      <c r="A23" s="69" t="s">
        <v>206</v>
      </c>
      <c r="B23" s="74">
        <f>Scanners!L137</f>
        <v>36</v>
      </c>
      <c r="C23" s="74">
        <f>DisBo!I138</f>
        <v>31</v>
      </c>
      <c r="D23" s="74">
        <f>MFP!K137</f>
        <v>31</v>
      </c>
      <c r="E23" s="74">
        <f>DLP!O137</f>
        <v>65</v>
      </c>
      <c r="F23" s="74">
        <f>AIO!P137</f>
        <v>240</v>
      </c>
      <c r="G23" s="74"/>
      <c r="H23" s="74"/>
    </row>
    <row r="24" spans="1:8" ht="15" customHeight="1" x14ac:dyDescent="0.25">
      <c r="A24" s="69" t="s">
        <v>13</v>
      </c>
      <c r="B24" s="74">
        <f>Scanners!M137</f>
        <v>28</v>
      </c>
      <c r="C24" s="74">
        <f>DisBo!J138</f>
        <v>28</v>
      </c>
      <c r="D24" s="74">
        <f>MFP!L137</f>
        <v>28</v>
      </c>
      <c r="E24" s="74">
        <f>DLP!R137</f>
        <v>56</v>
      </c>
      <c r="F24" s="74">
        <f>AIO!T137</f>
        <v>224</v>
      </c>
      <c r="G24" s="74"/>
      <c r="H24" s="74"/>
    </row>
    <row r="25" spans="1:8" ht="15" customHeight="1" x14ac:dyDescent="0.25">
      <c r="A25" s="2" t="s">
        <v>14</v>
      </c>
      <c r="B25" s="3">
        <f>Scanners!N137</f>
        <v>8</v>
      </c>
      <c r="C25" s="3">
        <f>DisBo!K138</f>
        <v>3</v>
      </c>
      <c r="D25" s="3">
        <f>MFP!M137</f>
        <v>3</v>
      </c>
      <c r="E25" s="3">
        <f>DLP!S137</f>
        <v>9</v>
      </c>
      <c r="F25" s="3">
        <f>AIO!U137</f>
        <v>16</v>
      </c>
      <c r="G25" s="3"/>
      <c r="H25" s="3"/>
    </row>
    <row r="27" spans="1:8" ht="20.25" x14ac:dyDescent="0.3">
      <c r="A27" s="76" t="s">
        <v>210</v>
      </c>
      <c r="B27" s="77"/>
      <c r="C27" s="77"/>
      <c r="D27" s="77"/>
      <c r="E27" s="77"/>
      <c r="F27" s="77"/>
      <c r="G27" s="77"/>
      <c r="H27" s="77"/>
    </row>
    <row r="28" spans="1:8" ht="18.75" x14ac:dyDescent="0.3">
      <c r="A28" s="78" t="s">
        <v>206</v>
      </c>
      <c r="B28" s="79">
        <f>Scanners!L138</f>
        <v>1424</v>
      </c>
      <c r="C28" s="79">
        <f>DisBo!I139</f>
        <v>1059</v>
      </c>
      <c r="D28" s="79">
        <f>MFP!K138</f>
        <v>1296</v>
      </c>
      <c r="E28" s="79">
        <f>DLP!O138</f>
        <v>2538</v>
      </c>
      <c r="F28" s="79">
        <f>AIO!P138</f>
        <v>8901</v>
      </c>
      <c r="G28" s="79"/>
      <c r="H28" s="79"/>
    </row>
    <row r="29" spans="1:8" ht="18.75" x14ac:dyDescent="0.3">
      <c r="A29" s="78" t="s">
        <v>13</v>
      </c>
      <c r="B29" s="79">
        <f>Scanners!M138</f>
        <v>1336</v>
      </c>
      <c r="C29" s="79">
        <f>DisBo!J139</f>
        <v>1336</v>
      </c>
      <c r="D29" s="79">
        <f>MFP!L138</f>
        <v>1336</v>
      </c>
      <c r="E29" s="79">
        <f>DLP!R138</f>
        <v>2510</v>
      </c>
      <c r="F29" s="79">
        <f>AIO!T138</f>
        <v>10364</v>
      </c>
      <c r="G29" s="79"/>
      <c r="H29" s="79"/>
    </row>
    <row r="30" spans="1:8" ht="40.5" x14ac:dyDescent="0.25">
      <c r="A30" s="80" t="s">
        <v>14</v>
      </c>
      <c r="B30" s="81">
        <f>Scanners!N138</f>
        <v>88</v>
      </c>
      <c r="C30" s="81">
        <f>DisBo!K139</f>
        <v>-277</v>
      </c>
      <c r="D30" s="81">
        <f>MFP!M138</f>
        <v>-40</v>
      </c>
      <c r="E30" s="81">
        <f>DLP!S138</f>
        <v>28</v>
      </c>
      <c r="F30" s="81">
        <f>AIO!U138</f>
        <v>-1463</v>
      </c>
      <c r="G30" s="81"/>
      <c r="H30" s="81"/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Location" prompt="Select Location from Drop Down" xr:uid="{00000000-0002-0000-0000-000000000000}">
          <x14:formula1>
            <xm:f>Courts!B2:B131</xm:f>
          </x14:formula1>
          <x14:formula2>
            <xm:f>0</xm:f>
          </x14:formula2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3701-DED5-4E3E-AA95-719CF22058A3}">
  <dimension ref="A1:X139"/>
  <sheetViews>
    <sheetView zoomScale="90" zoomScaleNormal="90" workbookViewId="0">
      <selection activeCell="H3" sqref="H3"/>
    </sheetView>
  </sheetViews>
  <sheetFormatPr defaultRowHeight="15" x14ac:dyDescent="0.25"/>
  <cols>
    <col min="2" max="2" width="14.85546875" customWidth="1"/>
    <col min="3" max="3" width="14.42578125" customWidth="1"/>
    <col min="5" max="6" width="11.42578125" customWidth="1"/>
    <col min="7" max="7" width="12.28515625" bestFit="1" customWidth="1"/>
    <col min="8" max="8" width="10.140625" bestFit="1" customWidth="1"/>
    <col min="9" max="9" width="10" customWidth="1"/>
    <col min="10" max="10" width="12.28515625" bestFit="1" customWidth="1"/>
    <col min="11" max="11" width="10.140625" bestFit="1" customWidth="1"/>
    <col min="12" max="12" width="9.85546875" customWidth="1"/>
    <col min="13" max="13" width="12.28515625" bestFit="1" customWidth="1"/>
    <col min="14" max="14" width="10.140625" bestFit="1" customWidth="1"/>
    <col min="15" max="15" width="10" customWidth="1"/>
    <col min="16" max="16" width="12.28515625" bestFit="1" customWidth="1"/>
    <col min="17" max="17" width="10.140625" bestFit="1" customWidth="1"/>
    <col min="18" max="18" width="9.85546875" customWidth="1"/>
    <col min="19" max="19" width="12.28515625" bestFit="1" customWidth="1"/>
    <col min="20" max="20" width="10.140625" bestFit="1" customWidth="1"/>
    <col min="21" max="21" width="9.85546875" customWidth="1"/>
    <col min="22" max="22" width="12.28515625" bestFit="1" customWidth="1"/>
    <col min="23" max="23" width="10.140625" bestFit="1" customWidth="1"/>
    <col min="24" max="24" width="9.85546875" customWidth="1"/>
  </cols>
  <sheetData>
    <row r="1" spans="1:24" s="95" customFormat="1" ht="14.25" customHeight="1" x14ac:dyDescent="0.2">
      <c r="A1" s="97"/>
      <c r="B1" s="97"/>
      <c r="C1" s="102" t="s">
        <v>220</v>
      </c>
      <c r="D1" s="102"/>
      <c r="E1" s="102"/>
      <c r="F1" s="98"/>
      <c r="G1" s="102" t="s">
        <v>7</v>
      </c>
      <c r="H1" s="102"/>
      <c r="I1" s="102"/>
      <c r="J1" s="102" t="s">
        <v>8</v>
      </c>
      <c r="K1" s="102"/>
      <c r="L1" s="102"/>
      <c r="M1" s="102" t="s">
        <v>225</v>
      </c>
      <c r="N1" s="102"/>
      <c r="O1" s="102"/>
      <c r="P1" s="102" t="s">
        <v>10</v>
      </c>
      <c r="Q1" s="102"/>
      <c r="R1" s="102"/>
      <c r="S1" s="102" t="s">
        <v>224</v>
      </c>
      <c r="T1" s="102"/>
      <c r="U1" s="102"/>
      <c r="V1" s="103" t="s">
        <v>223</v>
      </c>
      <c r="W1" s="103"/>
      <c r="X1" s="103"/>
    </row>
    <row r="2" spans="1:24" s="99" customFormat="1" ht="76.5" x14ac:dyDescent="0.25">
      <c r="A2" s="6" t="s">
        <v>15</v>
      </c>
      <c r="B2" s="7" t="s">
        <v>16</v>
      </c>
      <c r="C2" s="8" t="s">
        <v>218</v>
      </c>
      <c r="D2" s="8" t="s">
        <v>4</v>
      </c>
      <c r="E2" s="8" t="s">
        <v>219</v>
      </c>
      <c r="F2" s="8" t="s">
        <v>240</v>
      </c>
      <c r="G2" s="96" t="s">
        <v>206</v>
      </c>
      <c r="H2" s="96" t="s">
        <v>216</v>
      </c>
      <c r="I2" s="96" t="s">
        <v>217</v>
      </c>
      <c r="J2" s="96" t="s">
        <v>206</v>
      </c>
      <c r="K2" s="96" t="s">
        <v>216</v>
      </c>
      <c r="L2" s="96" t="s">
        <v>217</v>
      </c>
      <c r="M2" s="96" t="s">
        <v>206</v>
      </c>
      <c r="N2" s="96" t="s">
        <v>216</v>
      </c>
      <c r="O2" s="96" t="s">
        <v>217</v>
      </c>
      <c r="P2" s="96" t="s">
        <v>206</v>
      </c>
      <c r="Q2" s="96" t="s">
        <v>216</v>
      </c>
      <c r="R2" s="96" t="s">
        <v>217</v>
      </c>
      <c r="S2" s="96" t="s">
        <v>206</v>
      </c>
      <c r="T2" s="96" t="s">
        <v>216</v>
      </c>
      <c r="U2" s="96" t="s">
        <v>217</v>
      </c>
      <c r="V2" s="96" t="s">
        <v>206</v>
      </c>
      <c r="W2" s="96" t="s">
        <v>216</v>
      </c>
      <c r="X2" s="96" t="s">
        <v>217</v>
      </c>
    </row>
    <row r="3" spans="1:24" x14ac:dyDescent="0.25">
      <c r="A3" s="15">
        <v>1</v>
      </c>
      <c r="B3" s="16" t="s">
        <v>29</v>
      </c>
      <c r="C3" s="17">
        <f>VLOOKUP(B:B,Courts!B:C,2,FALSE)</f>
        <v>48</v>
      </c>
      <c r="D3" s="17">
        <f>VLOOKUP(B:B,Courts!B:D,3,FALSE)</f>
        <v>0</v>
      </c>
      <c r="E3" s="15">
        <f>VLOOKUP(B:B,Courts!B:E,4,FALSE)</f>
        <v>0</v>
      </c>
      <c r="F3" s="15">
        <f>SUM(C3:E3)</f>
        <v>48</v>
      </c>
      <c r="G3" s="18">
        <f>Scanners!L2</f>
        <v>51</v>
      </c>
      <c r="H3" s="18">
        <f>SUM(C3:E3)*1</f>
        <v>48</v>
      </c>
      <c r="I3" s="18">
        <f>G3-H3</f>
        <v>3</v>
      </c>
      <c r="J3" s="18">
        <f>DisBo!I2</f>
        <v>35</v>
      </c>
      <c r="K3" s="18">
        <f>SUM(C3:E3)*1</f>
        <v>48</v>
      </c>
      <c r="L3" s="18">
        <f>J3-K3</f>
        <v>-13</v>
      </c>
      <c r="M3" s="18">
        <f>MFP!K2</f>
        <v>46</v>
      </c>
      <c r="N3" s="18">
        <f>SUM(C3:E3)*1</f>
        <v>48</v>
      </c>
      <c r="O3" s="18">
        <f>M3-N3</f>
        <v>-2</v>
      </c>
      <c r="P3" s="18">
        <f>DLP!O2</f>
        <v>90</v>
      </c>
      <c r="Q3" s="18">
        <f>DLP!R2</f>
        <v>96</v>
      </c>
      <c r="R3" s="18">
        <f>P3-Q3</f>
        <v>-6</v>
      </c>
      <c r="S3" s="18">
        <f>AIO!P2</f>
        <v>280</v>
      </c>
      <c r="T3" s="18">
        <f>SUM(C3:D3)*8+E3*4</f>
        <v>384</v>
      </c>
      <c r="U3" s="18">
        <f>S3-T3</f>
        <v>-104</v>
      </c>
      <c r="V3" s="18">
        <f>PAS!J2</f>
        <v>35</v>
      </c>
      <c r="W3" s="18">
        <f>SUM(C3:E3)*1</f>
        <v>48</v>
      </c>
      <c r="X3" s="18">
        <f>V3-W3</f>
        <v>-13</v>
      </c>
    </row>
    <row r="4" spans="1:24" x14ac:dyDescent="0.25">
      <c r="A4" s="15">
        <v>2</v>
      </c>
      <c r="B4" s="19" t="s">
        <v>30</v>
      </c>
      <c r="C4" s="17">
        <f>VLOOKUP(B:B,Courts!B:C,2,FALSE)</f>
        <v>5</v>
      </c>
      <c r="D4" s="17">
        <f>VLOOKUP(B:B,Courts!B:D,3,FALSE)</f>
        <v>0</v>
      </c>
      <c r="E4" s="15">
        <f>VLOOKUP(B:B,Courts!B:E,4,FALSE)</f>
        <v>1</v>
      </c>
      <c r="F4" s="15">
        <f t="shared" ref="F4:F67" si="0">SUM(C4:E4)</f>
        <v>6</v>
      </c>
      <c r="G4" s="18">
        <f>Scanners!L3</f>
        <v>6</v>
      </c>
      <c r="H4" s="18">
        <f t="shared" ref="H4:H67" si="1">SUM(C4:E4)*1</f>
        <v>6</v>
      </c>
      <c r="I4" s="18">
        <f t="shared" ref="I4:I67" si="2">G4-H4</f>
        <v>0</v>
      </c>
      <c r="J4" s="18">
        <f>DisBo!I3</f>
        <v>5</v>
      </c>
      <c r="K4" s="18">
        <f t="shared" ref="K4:K67" si="3">SUM(C4:E4)*1</f>
        <v>6</v>
      </c>
      <c r="L4" s="18">
        <f t="shared" ref="L4:L67" si="4">J4-K4</f>
        <v>-1</v>
      </c>
      <c r="M4" s="18">
        <f>MFP!K3</f>
        <v>6</v>
      </c>
      <c r="N4" s="18">
        <f t="shared" ref="N4:N67" si="5">SUM(C4:E4)*1</f>
        <v>6</v>
      </c>
      <c r="O4" s="18">
        <f t="shared" ref="O4:O67" si="6">M4-N4</f>
        <v>0</v>
      </c>
      <c r="P4" s="18">
        <f>DLP!O3</f>
        <v>11</v>
      </c>
      <c r="Q4" s="18">
        <f>DLP!R3</f>
        <v>10</v>
      </c>
      <c r="R4" s="18">
        <f t="shared" ref="R4:R67" si="7">P4-Q4</f>
        <v>1</v>
      </c>
      <c r="S4" s="18">
        <f>AIO!P3</f>
        <v>36</v>
      </c>
      <c r="T4" s="18">
        <f t="shared" ref="T4:T67" si="8">SUM(C4:D4)*8+E4*4</f>
        <v>44</v>
      </c>
      <c r="U4" s="18">
        <f t="shared" ref="U4:U67" si="9">S4-T4</f>
        <v>-8</v>
      </c>
      <c r="V4" s="18">
        <f>PAS!J3</f>
        <v>5</v>
      </c>
      <c r="W4" s="18">
        <f t="shared" ref="W4:W67" si="10">SUM(C4:E4)*1</f>
        <v>6</v>
      </c>
      <c r="X4" s="18">
        <f t="shared" ref="X4:X67" si="11">V4-W4</f>
        <v>-1</v>
      </c>
    </row>
    <row r="5" spans="1:24" x14ac:dyDescent="0.25">
      <c r="A5" s="15">
        <v>3</v>
      </c>
      <c r="B5" s="19" t="s">
        <v>31</v>
      </c>
      <c r="C5" s="17">
        <f>VLOOKUP(B:B,Courts!B:C,2,FALSE)</f>
        <v>4</v>
      </c>
      <c r="D5" s="17">
        <f>VLOOKUP(B:B,Courts!B:D,3,FALSE)</f>
        <v>0</v>
      </c>
      <c r="E5" s="15">
        <f>VLOOKUP(B:B,Courts!B:E,4,FALSE)</f>
        <v>1</v>
      </c>
      <c r="F5" s="15">
        <f t="shared" si="0"/>
        <v>5</v>
      </c>
      <c r="G5" s="18">
        <f>Scanners!L4</f>
        <v>5</v>
      </c>
      <c r="H5" s="18">
        <f t="shared" si="1"/>
        <v>5</v>
      </c>
      <c r="I5" s="18">
        <f t="shared" si="2"/>
        <v>0</v>
      </c>
      <c r="J5" s="18">
        <f>DisBo!I4</f>
        <v>3</v>
      </c>
      <c r="K5" s="18">
        <f t="shared" si="3"/>
        <v>5</v>
      </c>
      <c r="L5" s="18">
        <f t="shared" si="4"/>
        <v>-2</v>
      </c>
      <c r="M5" s="18">
        <f>MFP!K4</f>
        <v>5</v>
      </c>
      <c r="N5" s="18">
        <f t="shared" si="5"/>
        <v>5</v>
      </c>
      <c r="O5" s="18">
        <f t="shared" si="6"/>
        <v>0</v>
      </c>
      <c r="P5" s="18">
        <f>DLP!O4</f>
        <v>8</v>
      </c>
      <c r="Q5" s="18">
        <f>DLP!R4</f>
        <v>8</v>
      </c>
      <c r="R5" s="18">
        <f t="shared" si="7"/>
        <v>0</v>
      </c>
      <c r="S5" s="18">
        <f>AIO!P4</f>
        <v>21</v>
      </c>
      <c r="T5" s="18">
        <f t="shared" si="8"/>
        <v>36</v>
      </c>
      <c r="U5" s="18">
        <f t="shared" si="9"/>
        <v>-15</v>
      </c>
      <c r="V5" s="18">
        <f>PAS!J4</f>
        <v>2</v>
      </c>
      <c r="W5" s="18">
        <f t="shared" si="10"/>
        <v>5</v>
      </c>
      <c r="X5" s="18">
        <f t="shared" si="11"/>
        <v>-3</v>
      </c>
    </row>
    <row r="6" spans="1:24" x14ac:dyDescent="0.25">
      <c r="A6" s="15">
        <v>4</v>
      </c>
      <c r="B6" s="16" t="s">
        <v>32</v>
      </c>
      <c r="C6" s="17">
        <f>VLOOKUP(B:B,Courts!B:C,2,FALSE)</f>
        <v>11</v>
      </c>
      <c r="D6" s="17">
        <f>VLOOKUP(B:B,Courts!B:D,3,FALSE)</f>
        <v>0</v>
      </c>
      <c r="E6" s="15">
        <f>VLOOKUP(B:B,Courts!B:E,4,FALSE)</f>
        <v>0</v>
      </c>
      <c r="F6" s="15">
        <f t="shared" si="0"/>
        <v>11</v>
      </c>
      <c r="G6" s="18">
        <f>Scanners!L5</f>
        <v>17</v>
      </c>
      <c r="H6" s="18">
        <f t="shared" si="1"/>
        <v>11</v>
      </c>
      <c r="I6" s="18">
        <f t="shared" si="2"/>
        <v>6</v>
      </c>
      <c r="J6" s="18">
        <f>DisBo!I5</f>
        <v>11</v>
      </c>
      <c r="K6" s="18">
        <f t="shared" si="3"/>
        <v>11</v>
      </c>
      <c r="L6" s="18">
        <f t="shared" si="4"/>
        <v>0</v>
      </c>
      <c r="M6" s="18">
        <f>MFP!K5</f>
        <v>13</v>
      </c>
      <c r="N6" s="18">
        <f t="shared" si="5"/>
        <v>11</v>
      </c>
      <c r="O6" s="18">
        <f t="shared" si="6"/>
        <v>2</v>
      </c>
      <c r="P6" s="18">
        <f>DLP!O5</f>
        <v>26</v>
      </c>
      <c r="Q6" s="18">
        <f>DLP!R5</f>
        <v>22</v>
      </c>
      <c r="R6" s="18">
        <f t="shared" si="7"/>
        <v>4</v>
      </c>
      <c r="S6" s="18">
        <f>AIO!P5</f>
        <v>88</v>
      </c>
      <c r="T6" s="18">
        <f t="shared" si="8"/>
        <v>88</v>
      </c>
      <c r="U6" s="18">
        <f t="shared" si="9"/>
        <v>0</v>
      </c>
      <c r="V6" s="18">
        <f>PAS!J5</f>
        <v>11</v>
      </c>
      <c r="W6" s="18">
        <f t="shared" si="10"/>
        <v>11</v>
      </c>
      <c r="X6" s="18">
        <f t="shared" si="11"/>
        <v>0</v>
      </c>
    </row>
    <row r="7" spans="1:24" x14ac:dyDescent="0.25">
      <c r="A7" s="15">
        <v>5</v>
      </c>
      <c r="B7" s="16" t="s">
        <v>33</v>
      </c>
      <c r="C7" s="17">
        <f>VLOOKUP(B:B,Courts!B:C,2,FALSE)</f>
        <v>25</v>
      </c>
      <c r="D7" s="17">
        <f>VLOOKUP(B:B,Courts!B:D,3,FALSE)</f>
        <v>0</v>
      </c>
      <c r="E7" s="15">
        <f>VLOOKUP(B:B,Courts!B:E,4,FALSE)</f>
        <v>0</v>
      </c>
      <c r="F7" s="15">
        <f t="shared" si="0"/>
        <v>25</v>
      </c>
      <c r="G7" s="18">
        <f>Scanners!L6</f>
        <v>31</v>
      </c>
      <c r="H7" s="18">
        <f t="shared" si="1"/>
        <v>25</v>
      </c>
      <c r="I7" s="18">
        <f t="shared" si="2"/>
        <v>6</v>
      </c>
      <c r="J7" s="18">
        <f>DisBo!I6</f>
        <v>20</v>
      </c>
      <c r="K7" s="18">
        <f t="shared" si="3"/>
        <v>25</v>
      </c>
      <c r="L7" s="18">
        <f t="shared" si="4"/>
        <v>-5</v>
      </c>
      <c r="M7" s="18">
        <f>MFP!K6</f>
        <v>28</v>
      </c>
      <c r="N7" s="18">
        <f t="shared" si="5"/>
        <v>25</v>
      </c>
      <c r="O7" s="18">
        <f t="shared" si="6"/>
        <v>3</v>
      </c>
      <c r="P7" s="18">
        <f>DLP!O6</f>
        <v>54</v>
      </c>
      <c r="Q7" s="18">
        <f>DLP!R6</f>
        <v>50</v>
      </c>
      <c r="R7" s="18">
        <f t="shared" si="7"/>
        <v>4</v>
      </c>
      <c r="S7" s="18">
        <f>AIO!P6</f>
        <v>168</v>
      </c>
      <c r="T7" s="18">
        <f t="shared" si="8"/>
        <v>200</v>
      </c>
      <c r="U7" s="18">
        <f t="shared" si="9"/>
        <v>-32</v>
      </c>
      <c r="V7" s="18">
        <f>PAS!J6</f>
        <v>21</v>
      </c>
      <c r="W7" s="18">
        <f t="shared" si="10"/>
        <v>25</v>
      </c>
      <c r="X7" s="18">
        <f t="shared" si="11"/>
        <v>-4</v>
      </c>
    </row>
    <row r="8" spans="1:24" x14ac:dyDescent="0.25">
      <c r="A8" s="15">
        <v>6</v>
      </c>
      <c r="B8" s="19" t="s">
        <v>34</v>
      </c>
      <c r="C8" s="17">
        <f>VLOOKUP(B:B,Courts!B:C,2,FALSE)</f>
        <v>6</v>
      </c>
      <c r="D8" s="17">
        <f>VLOOKUP(B:B,Courts!B:D,3,FALSE)</f>
        <v>0</v>
      </c>
      <c r="E8" s="15">
        <f>VLOOKUP(B:B,Courts!B:E,4,FALSE)</f>
        <v>1</v>
      </c>
      <c r="F8" s="15">
        <f t="shared" si="0"/>
        <v>7</v>
      </c>
      <c r="G8" s="18">
        <f>Scanners!L7</f>
        <v>7</v>
      </c>
      <c r="H8" s="18">
        <f t="shared" si="1"/>
        <v>7</v>
      </c>
      <c r="I8" s="18">
        <f t="shared" si="2"/>
        <v>0</v>
      </c>
      <c r="J8" s="18">
        <f>DisBo!I7</f>
        <v>4</v>
      </c>
      <c r="K8" s="18">
        <f t="shared" si="3"/>
        <v>7</v>
      </c>
      <c r="L8" s="18">
        <f t="shared" si="4"/>
        <v>-3</v>
      </c>
      <c r="M8" s="18">
        <f>MFP!K7</f>
        <v>7</v>
      </c>
      <c r="N8" s="18">
        <f t="shared" si="5"/>
        <v>7</v>
      </c>
      <c r="O8" s="18">
        <f t="shared" si="6"/>
        <v>0</v>
      </c>
      <c r="P8" s="18">
        <f>DLP!O7</f>
        <v>12</v>
      </c>
      <c r="Q8" s="18">
        <f>DLP!R7</f>
        <v>12</v>
      </c>
      <c r="R8" s="18">
        <f t="shared" si="7"/>
        <v>0</v>
      </c>
      <c r="S8" s="18">
        <f>AIO!P7</f>
        <v>28</v>
      </c>
      <c r="T8" s="18">
        <f t="shared" si="8"/>
        <v>52</v>
      </c>
      <c r="U8" s="18">
        <f t="shared" si="9"/>
        <v>-24</v>
      </c>
      <c r="V8" s="18">
        <f>PAS!J7</f>
        <v>4</v>
      </c>
      <c r="W8" s="18">
        <f t="shared" si="10"/>
        <v>7</v>
      </c>
      <c r="X8" s="18">
        <f t="shared" si="11"/>
        <v>-3</v>
      </c>
    </row>
    <row r="9" spans="1:24" x14ac:dyDescent="0.25">
      <c r="A9" s="15">
        <v>7</v>
      </c>
      <c r="B9" s="19" t="s">
        <v>35</v>
      </c>
      <c r="C9" s="17">
        <f>VLOOKUP(B:B,Courts!B:C,2,FALSE)</f>
        <v>4</v>
      </c>
      <c r="D9" s="17">
        <f>VLOOKUP(B:B,Courts!B:D,3,FALSE)</f>
        <v>0</v>
      </c>
      <c r="E9" s="15">
        <f>VLOOKUP(B:B,Courts!B:E,4,FALSE)</f>
        <v>1</v>
      </c>
      <c r="F9" s="15">
        <f t="shared" si="0"/>
        <v>5</v>
      </c>
      <c r="G9" s="18">
        <f>Scanners!L8</f>
        <v>6</v>
      </c>
      <c r="H9" s="18">
        <f t="shared" si="1"/>
        <v>5</v>
      </c>
      <c r="I9" s="18">
        <f t="shared" si="2"/>
        <v>1</v>
      </c>
      <c r="J9" s="18">
        <f>DisBo!I8</f>
        <v>3</v>
      </c>
      <c r="K9" s="18">
        <f t="shared" si="3"/>
        <v>5</v>
      </c>
      <c r="L9" s="18">
        <f t="shared" si="4"/>
        <v>-2</v>
      </c>
      <c r="M9" s="18">
        <f>MFP!K8</f>
        <v>6</v>
      </c>
      <c r="N9" s="18">
        <f t="shared" si="5"/>
        <v>5</v>
      </c>
      <c r="O9" s="18">
        <f t="shared" si="6"/>
        <v>1</v>
      </c>
      <c r="P9" s="18">
        <f>DLP!O8</f>
        <v>10</v>
      </c>
      <c r="Q9" s="18">
        <f>DLP!R8</f>
        <v>8</v>
      </c>
      <c r="R9" s="18">
        <f t="shared" si="7"/>
        <v>2</v>
      </c>
      <c r="S9" s="18">
        <f>AIO!P8</f>
        <v>21</v>
      </c>
      <c r="T9" s="18">
        <f t="shared" si="8"/>
        <v>36</v>
      </c>
      <c r="U9" s="18">
        <f t="shared" si="9"/>
        <v>-15</v>
      </c>
      <c r="V9" s="18">
        <f>PAS!J8</f>
        <v>3</v>
      </c>
      <c r="W9" s="18">
        <f t="shared" si="10"/>
        <v>5</v>
      </c>
      <c r="X9" s="18">
        <f t="shared" si="11"/>
        <v>-2</v>
      </c>
    </row>
    <row r="10" spans="1:24" x14ac:dyDescent="0.25">
      <c r="A10" s="15">
        <v>8</v>
      </c>
      <c r="B10" s="16" t="s">
        <v>36</v>
      </c>
      <c r="C10" s="17">
        <f>VLOOKUP(B:B,Courts!B:C,2,FALSE)</f>
        <v>12</v>
      </c>
      <c r="D10" s="17">
        <f>VLOOKUP(B:B,Courts!B:D,3,FALSE)</f>
        <v>0</v>
      </c>
      <c r="E10" s="15">
        <f>VLOOKUP(B:B,Courts!B:E,4,FALSE)</f>
        <v>0</v>
      </c>
      <c r="F10" s="15">
        <f t="shared" si="0"/>
        <v>12</v>
      </c>
      <c r="G10" s="18">
        <f>Scanners!L9</f>
        <v>14</v>
      </c>
      <c r="H10" s="18">
        <f t="shared" si="1"/>
        <v>12</v>
      </c>
      <c r="I10" s="18">
        <f t="shared" si="2"/>
        <v>2</v>
      </c>
      <c r="J10" s="18">
        <f>DisBo!I9</f>
        <v>10</v>
      </c>
      <c r="K10" s="18">
        <f t="shared" si="3"/>
        <v>12</v>
      </c>
      <c r="L10" s="18">
        <f t="shared" si="4"/>
        <v>-2</v>
      </c>
      <c r="M10" s="18">
        <f>MFP!K9</f>
        <v>12</v>
      </c>
      <c r="N10" s="18">
        <f t="shared" si="5"/>
        <v>12</v>
      </c>
      <c r="O10" s="18">
        <f t="shared" si="6"/>
        <v>0</v>
      </c>
      <c r="P10" s="18">
        <f>DLP!O9</f>
        <v>27</v>
      </c>
      <c r="Q10" s="18">
        <f>DLP!R9</f>
        <v>24</v>
      </c>
      <c r="R10" s="18">
        <f t="shared" si="7"/>
        <v>3</v>
      </c>
      <c r="S10" s="18">
        <f>AIO!P9</f>
        <v>80</v>
      </c>
      <c r="T10" s="18">
        <f t="shared" si="8"/>
        <v>96</v>
      </c>
      <c r="U10" s="18">
        <f t="shared" si="9"/>
        <v>-16</v>
      </c>
      <c r="V10" s="18">
        <f>PAS!J9</f>
        <v>11</v>
      </c>
      <c r="W10" s="18">
        <f t="shared" si="10"/>
        <v>12</v>
      </c>
      <c r="X10" s="18">
        <f t="shared" si="11"/>
        <v>-1</v>
      </c>
    </row>
    <row r="11" spans="1:24" x14ac:dyDescent="0.25">
      <c r="A11" s="15">
        <v>9</v>
      </c>
      <c r="B11" s="19" t="s">
        <v>37</v>
      </c>
      <c r="C11" s="17">
        <f>VLOOKUP(B:B,Courts!B:C,2,FALSE)</f>
        <v>2</v>
      </c>
      <c r="D11" s="17">
        <f>VLOOKUP(B:B,Courts!B:D,3,FALSE)</f>
        <v>0</v>
      </c>
      <c r="E11" s="15">
        <f>VLOOKUP(B:B,Courts!B:E,4,FALSE)</f>
        <v>0</v>
      </c>
      <c r="F11" s="15">
        <f t="shared" si="0"/>
        <v>2</v>
      </c>
      <c r="G11" s="18">
        <f>Scanners!L10</f>
        <v>3</v>
      </c>
      <c r="H11" s="18">
        <f t="shared" si="1"/>
        <v>2</v>
      </c>
      <c r="I11" s="18">
        <f t="shared" si="2"/>
        <v>1</v>
      </c>
      <c r="J11" s="18">
        <f>DisBo!I10</f>
        <v>1</v>
      </c>
      <c r="K11" s="18">
        <f t="shared" si="3"/>
        <v>2</v>
      </c>
      <c r="L11" s="18">
        <f t="shared" si="4"/>
        <v>-1</v>
      </c>
      <c r="M11" s="18">
        <f>MFP!K10</f>
        <v>2</v>
      </c>
      <c r="N11" s="18">
        <f t="shared" si="5"/>
        <v>2</v>
      </c>
      <c r="O11" s="18">
        <f t="shared" si="6"/>
        <v>0</v>
      </c>
      <c r="P11" s="18">
        <f>DLP!O10</f>
        <v>4</v>
      </c>
      <c r="Q11" s="18">
        <f>DLP!R10</f>
        <v>4</v>
      </c>
      <c r="R11" s="18">
        <f t="shared" si="7"/>
        <v>0</v>
      </c>
      <c r="S11" s="18">
        <f>AIO!P10</f>
        <v>8</v>
      </c>
      <c r="T11" s="18">
        <f t="shared" si="8"/>
        <v>16</v>
      </c>
      <c r="U11" s="18">
        <f t="shared" si="9"/>
        <v>-8</v>
      </c>
      <c r="V11" s="18">
        <f>PAS!J10</f>
        <v>1</v>
      </c>
      <c r="W11" s="18">
        <f t="shared" si="10"/>
        <v>2</v>
      </c>
      <c r="X11" s="18">
        <f t="shared" si="11"/>
        <v>-1</v>
      </c>
    </row>
    <row r="12" spans="1:24" ht="25.5" x14ac:dyDescent="0.25">
      <c r="A12" s="15">
        <v>10</v>
      </c>
      <c r="B12" s="16" t="s">
        <v>38</v>
      </c>
      <c r="C12" s="17">
        <f>VLOOKUP(B:B,Courts!B:C,2,FALSE)</f>
        <v>11</v>
      </c>
      <c r="D12" s="17">
        <f>VLOOKUP(B:B,Courts!B:D,3,FALSE)</f>
        <v>0</v>
      </c>
      <c r="E12" s="15">
        <f>VLOOKUP(B:B,Courts!B:E,4,FALSE)</f>
        <v>0</v>
      </c>
      <c r="F12" s="15">
        <f t="shared" si="0"/>
        <v>11</v>
      </c>
      <c r="G12" s="18">
        <f>Scanners!L11</f>
        <v>14</v>
      </c>
      <c r="H12" s="18">
        <f t="shared" si="1"/>
        <v>11</v>
      </c>
      <c r="I12" s="18">
        <f t="shared" si="2"/>
        <v>3</v>
      </c>
      <c r="J12" s="18">
        <f>DisBo!I11</f>
        <v>12</v>
      </c>
      <c r="K12" s="18">
        <f t="shared" si="3"/>
        <v>11</v>
      </c>
      <c r="L12" s="18">
        <f t="shared" si="4"/>
        <v>1</v>
      </c>
      <c r="M12" s="18">
        <f>MFP!K11</f>
        <v>13</v>
      </c>
      <c r="N12" s="18">
        <f t="shared" si="5"/>
        <v>11</v>
      </c>
      <c r="O12" s="18">
        <f t="shared" si="6"/>
        <v>2</v>
      </c>
      <c r="P12" s="18">
        <f>DLP!O11</f>
        <v>24</v>
      </c>
      <c r="Q12" s="18">
        <f>DLP!R11</f>
        <v>22</v>
      </c>
      <c r="R12" s="18">
        <f t="shared" si="7"/>
        <v>2</v>
      </c>
      <c r="S12" s="18">
        <f>AIO!P11</f>
        <v>92</v>
      </c>
      <c r="T12" s="18">
        <f t="shared" si="8"/>
        <v>88</v>
      </c>
      <c r="U12" s="18">
        <f t="shared" si="9"/>
        <v>4</v>
      </c>
      <c r="V12" s="18">
        <f>PAS!J11</f>
        <v>12</v>
      </c>
      <c r="W12" s="18">
        <f t="shared" si="10"/>
        <v>11</v>
      </c>
      <c r="X12" s="18">
        <f t="shared" si="11"/>
        <v>1</v>
      </c>
    </row>
    <row r="13" spans="1:24" x14ac:dyDescent="0.25">
      <c r="A13" s="15">
        <v>11</v>
      </c>
      <c r="B13" s="19" t="s">
        <v>39</v>
      </c>
      <c r="C13" s="17">
        <f>VLOOKUP(B:B,Courts!B:C,2,FALSE)</f>
        <v>4</v>
      </c>
      <c r="D13" s="17">
        <f>VLOOKUP(B:B,Courts!B:D,3,FALSE)</f>
        <v>0</v>
      </c>
      <c r="E13" s="15">
        <f>VLOOKUP(B:B,Courts!B:E,4,FALSE)</f>
        <v>1</v>
      </c>
      <c r="F13" s="15">
        <f t="shared" si="0"/>
        <v>5</v>
      </c>
      <c r="G13" s="18">
        <f>Scanners!L12</f>
        <v>6</v>
      </c>
      <c r="H13" s="18">
        <f t="shared" si="1"/>
        <v>5</v>
      </c>
      <c r="I13" s="18">
        <f t="shared" si="2"/>
        <v>1</v>
      </c>
      <c r="J13" s="18">
        <f>DisBo!I12</f>
        <v>3</v>
      </c>
      <c r="K13" s="18">
        <f t="shared" si="3"/>
        <v>5</v>
      </c>
      <c r="L13" s="18">
        <f t="shared" si="4"/>
        <v>-2</v>
      </c>
      <c r="M13" s="18">
        <f>MFP!K12</f>
        <v>6</v>
      </c>
      <c r="N13" s="18">
        <f t="shared" si="5"/>
        <v>5</v>
      </c>
      <c r="O13" s="18">
        <f t="shared" si="6"/>
        <v>1</v>
      </c>
      <c r="P13" s="18">
        <f>DLP!O12</f>
        <v>10</v>
      </c>
      <c r="Q13" s="18">
        <f>DLP!R12</f>
        <v>8</v>
      </c>
      <c r="R13" s="18">
        <f t="shared" si="7"/>
        <v>2</v>
      </c>
      <c r="S13" s="18">
        <f>AIO!P12</f>
        <v>28</v>
      </c>
      <c r="T13" s="18">
        <f t="shared" si="8"/>
        <v>36</v>
      </c>
      <c r="U13" s="18">
        <f t="shared" si="9"/>
        <v>-8</v>
      </c>
      <c r="V13" s="18">
        <f>PAS!J12</f>
        <v>3</v>
      </c>
      <c r="W13" s="18">
        <f t="shared" si="10"/>
        <v>5</v>
      </c>
      <c r="X13" s="18">
        <f t="shared" si="11"/>
        <v>-2</v>
      </c>
    </row>
    <row r="14" spans="1:24" x14ac:dyDescent="0.25">
      <c r="A14" s="15">
        <v>12</v>
      </c>
      <c r="B14" s="19" t="s">
        <v>40</v>
      </c>
      <c r="C14" s="17">
        <f>VLOOKUP(B:B,Courts!B:C,2,FALSE)</f>
        <v>2</v>
      </c>
      <c r="D14" s="17">
        <f>VLOOKUP(B:B,Courts!B:D,3,FALSE)</f>
        <v>0</v>
      </c>
      <c r="E14" s="15">
        <f>VLOOKUP(B:B,Courts!B:E,4,FALSE)</f>
        <v>1</v>
      </c>
      <c r="F14" s="15">
        <f t="shared" si="0"/>
        <v>3</v>
      </c>
      <c r="G14" s="18">
        <f>Scanners!L13</f>
        <v>3</v>
      </c>
      <c r="H14" s="18">
        <f t="shared" si="1"/>
        <v>3</v>
      </c>
      <c r="I14" s="18">
        <f t="shared" si="2"/>
        <v>0</v>
      </c>
      <c r="J14" s="18">
        <f>DisBo!I13</f>
        <v>3</v>
      </c>
      <c r="K14" s="18">
        <f t="shared" si="3"/>
        <v>3</v>
      </c>
      <c r="L14" s="18">
        <f t="shared" si="4"/>
        <v>0</v>
      </c>
      <c r="M14" s="18">
        <f>MFP!K13</f>
        <v>3</v>
      </c>
      <c r="N14" s="18">
        <f t="shared" si="5"/>
        <v>3</v>
      </c>
      <c r="O14" s="18">
        <f t="shared" si="6"/>
        <v>0</v>
      </c>
      <c r="P14" s="18">
        <f>DLP!O13</f>
        <v>4</v>
      </c>
      <c r="Q14" s="18">
        <f>DLP!R13</f>
        <v>4</v>
      </c>
      <c r="R14" s="18">
        <f t="shared" si="7"/>
        <v>0</v>
      </c>
      <c r="S14" s="18">
        <f>AIO!P13</f>
        <v>20</v>
      </c>
      <c r="T14" s="18">
        <f t="shared" si="8"/>
        <v>20</v>
      </c>
      <c r="U14" s="18">
        <f t="shared" si="9"/>
        <v>0</v>
      </c>
      <c r="V14" s="18">
        <f>PAS!J13</f>
        <v>3</v>
      </c>
      <c r="W14" s="18">
        <f t="shared" si="10"/>
        <v>3</v>
      </c>
      <c r="X14" s="18">
        <f t="shared" si="11"/>
        <v>0</v>
      </c>
    </row>
    <row r="15" spans="1:24" x14ac:dyDescent="0.25">
      <c r="A15" s="15">
        <v>13</v>
      </c>
      <c r="B15" s="16" t="s">
        <v>41</v>
      </c>
      <c r="C15" s="17">
        <f>VLOOKUP(B:B,Courts!B:C,2,FALSE)</f>
        <v>12</v>
      </c>
      <c r="D15" s="17">
        <f>VLOOKUP(B:B,Courts!B:D,3,FALSE)</f>
        <v>0</v>
      </c>
      <c r="E15" s="15">
        <f>VLOOKUP(B:B,Courts!B:E,4,FALSE)</f>
        <v>0</v>
      </c>
      <c r="F15" s="15">
        <f t="shared" si="0"/>
        <v>12</v>
      </c>
      <c r="G15" s="18">
        <f>Scanners!L14</f>
        <v>14</v>
      </c>
      <c r="H15" s="18">
        <f t="shared" si="1"/>
        <v>12</v>
      </c>
      <c r="I15" s="18">
        <f t="shared" si="2"/>
        <v>2</v>
      </c>
      <c r="J15" s="18">
        <f>DisBo!I14</f>
        <v>12</v>
      </c>
      <c r="K15" s="18">
        <f t="shared" si="3"/>
        <v>12</v>
      </c>
      <c r="L15" s="18">
        <f t="shared" si="4"/>
        <v>0</v>
      </c>
      <c r="M15" s="18">
        <f>MFP!K14</f>
        <v>13</v>
      </c>
      <c r="N15" s="18">
        <f t="shared" si="5"/>
        <v>12</v>
      </c>
      <c r="O15" s="18">
        <f t="shared" si="6"/>
        <v>1</v>
      </c>
      <c r="P15" s="18">
        <f>DLP!O14</f>
        <v>26</v>
      </c>
      <c r="Q15" s="18">
        <f>DLP!R14</f>
        <v>24</v>
      </c>
      <c r="R15" s="18">
        <f t="shared" si="7"/>
        <v>2</v>
      </c>
      <c r="S15" s="18">
        <f>AIO!P14</f>
        <v>91</v>
      </c>
      <c r="T15" s="18">
        <f t="shared" si="8"/>
        <v>96</v>
      </c>
      <c r="U15" s="18">
        <f t="shared" si="9"/>
        <v>-5</v>
      </c>
      <c r="V15" s="18">
        <f>PAS!J14</f>
        <v>10</v>
      </c>
      <c r="W15" s="18">
        <f t="shared" si="10"/>
        <v>12</v>
      </c>
      <c r="X15" s="18">
        <f t="shared" si="11"/>
        <v>-2</v>
      </c>
    </row>
    <row r="16" spans="1:24" x14ac:dyDescent="0.25">
      <c r="A16" s="15">
        <v>14</v>
      </c>
      <c r="B16" s="19" t="s">
        <v>42</v>
      </c>
      <c r="C16" s="17">
        <f>VLOOKUP(B:B,Courts!B:C,2,FALSE)</f>
        <v>7</v>
      </c>
      <c r="D16" s="17">
        <f>VLOOKUP(B:B,Courts!B:D,3,FALSE)</f>
        <v>0</v>
      </c>
      <c r="E16" s="15">
        <f>VLOOKUP(B:B,Courts!B:E,4,FALSE)</f>
        <v>1</v>
      </c>
      <c r="F16" s="15">
        <f t="shared" si="0"/>
        <v>8</v>
      </c>
      <c r="G16" s="18">
        <f>Scanners!L15</f>
        <v>8</v>
      </c>
      <c r="H16" s="18">
        <f t="shared" si="1"/>
        <v>8</v>
      </c>
      <c r="I16" s="18">
        <f t="shared" si="2"/>
        <v>0</v>
      </c>
      <c r="J16" s="18">
        <f>DisBo!I15</f>
        <v>5</v>
      </c>
      <c r="K16" s="18">
        <f t="shared" si="3"/>
        <v>8</v>
      </c>
      <c r="L16" s="18">
        <f t="shared" si="4"/>
        <v>-3</v>
      </c>
      <c r="M16" s="18">
        <f>MFP!K15</f>
        <v>8</v>
      </c>
      <c r="N16" s="18">
        <f t="shared" si="5"/>
        <v>8</v>
      </c>
      <c r="O16" s="18">
        <f t="shared" si="6"/>
        <v>0</v>
      </c>
      <c r="P16" s="18">
        <f>DLP!O15</f>
        <v>15</v>
      </c>
      <c r="Q16" s="18">
        <f>DLP!R15</f>
        <v>14</v>
      </c>
      <c r="R16" s="18">
        <f t="shared" si="7"/>
        <v>1</v>
      </c>
      <c r="S16" s="18">
        <f>AIO!P15</f>
        <v>44</v>
      </c>
      <c r="T16" s="18">
        <f t="shared" si="8"/>
        <v>60</v>
      </c>
      <c r="U16" s="18">
        <f t="shared" si="9"/>
        <v>-16</v>
      </c>
      <c r="V16" s="18">
        <f>PAS!J15</f>
        <v>7</v>
      </c>
      <c r="W16" s="18">
        <f t="shared" si="10"/>
        <v>8</v>
      </c>
      <c r="X16" s="18">
        <f t="shared" si="11"/>
        <v>-1</v>
      </c>
    </row>
    <row r="17" spans="1:24" x14ac:dyDescent="0.25">
      <c r="A17" s="15">
        <v>15</v>
      </c>
      <c r="B17" s="19" t="s">
        <v>43</v>
      </c>
      <c r="C17" s="17">
        <f>VLOOKUP(B:B,Courts!B:C,2,FALSE)</f>
        <v>4</v>
      </c>
      <c r="D17" s="17">
        <f>VLOOKUP(B:B,Courts!B:D,3,FALSE)</f>
        <v>0</v>
      </c>
      <c r="E17" s="15">
        <f>VLOOKUP(B:B,Courts!B:E,4,FALSE)</f>
        <v>1</v>
      </c>
      <c r="F17" s="15">
        <f t="shared" si="0"/>
        <v>5</v>
      </c>
      <c r="G17" s="18">
        <f>Scanners!L16</f>
        <v>5</v>
      </c>
      <c r="H17" s="18">
        <f t="shared" si="1"/>
        <v>5</v>
      </c>
      <c r="I17" s="18">
        <f t="shared" si="2"/>
        <v>0</v>
      </c>
      <c r="J17" s="18">
        <f>DisBo!I16</f>
        <v>4</v>
      </c>
      <c r="K17" s="18">
        <f t="shared" si="3"/>
        <v>5</v>
      </c>
      <c r="L17" s="18">
        <f t="shared" si="4"/>
        <v>-1</v>
      </c>
      <c r="M17" s="18">
        <f>MFP!K16</f>
        <v>5</v>
      </c>
      <c r="N17" s="18">
        <f t="shared" si="5"/>
        <v>5</v>
      </c>
      <c r="O17" s="18">
        <f t="shared" si="6"/>
        <v>0</v>
      </c>
      <c r="P17" s="18">
        <f>DLP!O16</f>
        <v>8</v>
      </c>
      <c r="Q17" s="18">
        <f>DLP!R16</f>
        <v>8</v>
      </c>
      <c r="R17" s="18">
        <f t="shared" si="7"/>
        <v>0</v>
      </c>
      <c r="S17" s="18">
        <f>AIO!P16</f>
        <v>28</v>
      </c>
      <c r="T17" s="18">
        <f t="shared" si="8"/>
        <v>36</v>
      </c>
      <c r="U17" s="18">
        <f t="shared" si="9"/>
        <v>-8</v>
      </c>
      <c r="V17" s="18">
        <f>PAS!J16</f>
        <v>4</v>
      </c>
      <c r="W17" s="18">
        <f t="shared" si="10"/>
        <v>5</v>
      </c>
      <c r="X17" s="18">
        <f t="shared" si="11"/>
        <v>-1</v>
      </c>
    </row>
    <row r="18" spans="1:24" x14ac:dyDescent="0.25">
      <c r="A18" s="15">
        <v>16</v>
      </c>
      <c r="B18" s="16" t="s">
        <v>44</v>
      </c>
      <c r="C18" s="17">
        <f>VLOOKUP(B:B,Courts!B:C,2,FALSE)</f>
        <v>16</v>
      </c>
      <c r="D18" s="17">
        <f>VLOOKUP(B:B,Courts!B:D,3,FALSE)</f>
        <v>0</v>
      </c>
      <c r="E18" s="15">
        <f>VLOOKUP(B:B,Courts!B:E,4,FALSE)</f>
        <v>0</v>
      </c>
      <c r="F18" s="15">
        <f t="shared" si="0"/>
        <v>16</v>
      </c>
      <c r="G18" s="18">
        <f>Scanners!L17</f>
        <v>20</v>
      </c>
      <c r="H18" s="18">
        <f t="shared" si="1"/>
        <v>16</v>
      </c>
      <c r="I18" s="18">
        <f t="shared" si="2"/>
        <v>4</v>
      </c>
      <c r="J18" s="18">
        <f>DisBo!I17</f>
        <v>15</v>
      </c>
      <c r="K18" s="18">
        <f t="shared" si="3"/>
        <v>16</v>
      </c>
      <c r="L18" s="18">
        <f t="shared" si="4"/>
        <v>-1</v>
      </c>
      <c r="M18" s="18">
        <f>MFP!K17</f>
        <v>18</v>
      </c>
      <c r="N18" s="18">
        <f t="shared" si="5"/>
        <v>16</v>
      </c>
      <c r="O18" s="18">
        <f t="shared" si="6"/>
        <v>2</v>
      </c>
      <c r="P18" s="18">
        <f>DLP!O17</f>
        <v>34</v>
      </c>
      <c r="Q18" s="18">
        <f>DLP!R17</f>
        <v>32</v>
      </c>
      <c r="R18" s="18">
        <f t="shared" si="7"/>
        <v>2</v>
      </c>
      <c r="S18" s="18">
        <f>AIO!P17</f>
        <v>120</v>
      </c>
      <c r="T18" s="18">
        <f t="shared" si="8"/>
        <v>128</v>
      </c>
      <c r="U18" s="18">
        <f t="shared" si="9"/>
        <v>-8</v>
      </c>
      <c r="V18" s="18">
        <f>PAS!J17</f>
        <v>15</v>
      </c>
      <c r="W18" s="18">
        <f t="shared" si="10"/>
        <v>16</v>
      </c>
      <c r="X18" s="18">
        <f t="shared" si="11"/>
        <v>-1</v>
      </c>
    </row>
    <row r="19" spans="1:24" x14ac:dyDescent="0.25">
      <c r="A19" s="15">
        <v>17</v>
      </c>
      <c r="B19" s="19" t="s">
        <v>45</v>
      </c>
      <c r="C19" s="17">
        <f>VLOOKUP(B:B,Courts!B:C,2,FALSE)</f>
        <v>3</v>
      </c>
      <c r="D19" s="17">
        <f>VLOOKUP(B:B,Courts!B:D,3,FALSE)</f>
        <v>0</v>
      </c>
      <c r="E19" s="15">
        <f>VLOOKUP(B:B,Courts!B:E,4,FALSE)</f>
        <v>1</v>
      </c>
      <c r="F19" s="15">
        <f t="shared" si="0"/>
        <v>4</v>
      </c>
      <c r="G19" s="18">
        <f>Scanners!L18</f>
        <v>4</v>
      </c>
      <c r="H19" s="18">
        <f t="shared" si="1"/>
        <v>4</v>
      </c>
      <c r="I19" s="18">
        <f t="shared" si="2"/>
        <v>0</v>
      </c>
      <c r="J19" s="18">
        <f>DisBo!I18</f>
        <v>3</v>
      </c>
      <c r="K19" s="18">
        <f t="shared" si="3"/>
        <v>4</v>
      </c>
      <c r="L19" s="18">
        <f t="shared" si="4"/>
        <v>-1</v>
      </c>
      <c r="M19" s="18">
        <f>MFP!K18</f>
        <v>4</v>
      </c>
      <c r="N19" s="18">
        <f t="shared" si="5"/>
        <v>4</v>
      </c>
      <c r="O19" s="18">
        <f t="shared" si="6"/>
        <v>0</v>
      </c>
      <c r="P19" s="18">
        <f>DLP!O18</f>
        <v>6</v>
      </c>
      <c r="Q19" s="18">
        <f>DLP!R18</f>
        <v>6</v>
      </c>
      <c r="R19" s="18">
        <f t="shared" si="7"/>
        <v>0</v>
      </c>
      <c r="S19" s="18">
        <f>AIO!P18</f>
        <v>20</v>
      </c>
      <c r="T19" s="18">
        <f t="shared" si="8"/>
        <v>28</v>
      </c>
      <c r="U19" s="18">
        <f t="shared" si="9"/>
        <v>-8</v>
      </c>
      <c r="V19" s="18">
        <f>PAS!J18</f>
        <v>3</v>
      </c>
      <c r="W19" s="18">
        <f t="shared" si="10"/>
        <v>4</v>
      </c>
      <c r="X19" s="18">
        <f t="shared" si="11"/>
        <v>-1</v>
      </c>
    </row>
    <row r="20" spans="1:24" x14ac:dyDescent="0.25">
      <c r="A20" s="15">
        <v>18</v>
      </c>
      <c r="B20" s="19" t="s">
        <v>46</v>
      </c>
      <c r="C20" s="17">
        <f>VLOOKUP(B:B,Courts!B:C,2,FALSE)</f>
        <v>3</v>
      </c>
      <c r="D20" s="17">
        <f>VLOOKUP(B:B,Courts!B:D,3,FALSE)</f>
        <v>0</v>
      </c>
      <c r="E20" s="15">
        <f>VLOOKUP(B:B,Courts!B:E,4,FALSE)</f>
        <v>1</v>
      </c>
      <c r="F20" s="15">
        <f t="shared" si="0"/>
        <v>4</v>
      </c>
      <c r="G20" s="18">
        <f>Scanners!L19</f>
        <v>5</v>
      </c>
      <c r="H20" s="18">
        <f t="shared" si="1"/>
        <v>4</v>
      </c>
      <c r="I20" s="18">
        <f t="shared" si="2"/>
        <v>1</v>
      </c>
      <c r="J20" s="18">
        <f>DisBo!I19</f>
        <v>4</v>
      </c>
      <c r="K20" s="18">
        <f t="shared" si="3"/>
        <v>4</v>
      </c>
      <c r="L20" s="18">
        <f t="shared" si="4"/>
        <v>0</v>
      </c>
      <c r="M20" s="18">
        <f>MFP!K19</f>
        <v>5</v>
      </c>
      <c r="N20" s="18">
        <f t="shared" si="5"/>
        <v>4</v>
      </c>
      <c r="O20" s="18">
        <f t="shared" si="6"/>
        <v>1</v>
      </c>
      <c r="P20" s="18">
        <f>DLP!O19</f>
        <v>8</v>
      </c>
      <c r="Q20" s="18">
        <f>DLP!R19</f>
        <v>6</v>
      </c>
      <c r="R20" s="18">
        <f t="shared" si="7"/>
        <v>2</v>
      </c>
      <c r="S20" s="18">
        <f>AIO!P19</f>
        <v>28</v>
      </c>
      <c r="T20" s="18">
        <f t="shared" si="8"/>
        <v>28</v>
      </c>
      <c r="U20" s="18">
        <f t="shared" si="9"/>
        <v>0</v>
      </c>
      <c r="V20" s="18">
        <f>PAS!J19</f>
        <v>4</v>
      </c>
      <c r="W20" s="18">
        <f t="shared" si="10"/>
        <v>4</v>
      </c>
      <c r="X20" s="18">
        <f t="shared" si="11"/>
        <v>0</v>
      </c>
    </row>
    <row r="21" spans="1:24" x14ac:dyDescent="0.25">
      <c r="A21" s="15">
        <v>19</v>
      </c>
      <c r="B21" s="16" t="s">
        <v>47</v>
      </c>
      <c r="C21" s="17">
        <f>VLOOKUP(B:B,Courts!B:C,2,FALSE)</f>
        <v>18</v>
      </c>
      <c r="D21" s="17">
        <f>VLOOKUP(B:B,Courts!B:D,3,FALSE)</f>
        <v>0</v>
      </c>
      <c r="E21" s="15">
        <f>VLOOKUP(B:B,Courts!B:E,4,FALSE)</f>
        <v>0</v>
      </c>
      <c r="F21" s="15">
        <f t="shared" si="0"/>
        <v>18</v>
      </c>
      <c r="G21" s="18">
        <f>Scanners!L20</f>
        <v>21</v>
      </c>
      <c r="H21" s="18">
        <f t="shared" si="1"/>
        <v>18</v>
      </c>
      <c r="I21" s="18">
        <f t="shared" si="2"/>
        <v>3</v>
      </c>
      <c r="J21" s="18">
        <f>DisBo!I20</f>
        <v>18</v>
      </c>
      <c r="K21" s="18">
        <f t="shared" si="3"/>
        <v>18</v>
      </c>
      <c r="L21" s="18">
        <f t="shared" si="4"/>
        <v>0</v>
      </c>
      <c r="M21" s="18">
        <f>MFP!K20</f>
        <v>19</v>
      </c>
      <c r="N21" s="18">
        <f t="shared" si="5"/>
        <v>18</v>
      </c>
      <c r="O21" s="18">
        <f t="shared" si="6"/>
        <v>1</v>
      </c>
      <c r="P21" s="18">
        <f>DLP!O20</f>
        <v>41</v>
      </c>
      <c r="Q21" s="18">
        <f>DLP!R20</f>
        <v>36</v>
      </c>
      <c r="R21" s="18">
        <f t="shared" si="7"/>
        <v>5</v>
      </c>
      <c r="S21" s="18">
        <f>AIO!P20</f>
        <v>144</v>
      </c>
      <c r="T21" s="18">
        <f t="shared" si="8"/>
        <v>144</v>
      </c>
      <c r="U21" s="18">
        <f t="shared" si="9"/>
        <v>0</v>
      </c>
      <c r="V21" s="18">
        <f>PAS!J20</f>
        <v>19</v>
      </c>
      <c r="W21" s="18">
        <f t="shared" si="10"/>
        <v>18</v>
      </c>
      <c r="X21" s="18">
        <f t="shared" si="11"/>
        <v>1</v>
      </c>
    </row>
    <row r="22" spans="1:24" x14ac:dyDescent="0.25">
      <c r="A22" s="15">
        <v>20</v>
      </c>
      <c r="B22" s="19" t="s">
        <v>48</v>
      </c>
      <c r="C22" s="17">
        <f>VLOOKUP(B:B,Courts!B:C,2,FALSE)</f>
        <v>9</v>
      </c>
      <c r="D22" s="17">
        <f>VLOOKUP(B:B,Courts!B:D,3,FALSE)</f>
        <v>0</v>
      </c>
      <c r="E22" s="15">
        <f>VLOOKUP(B:B,Courts!B:E,4,FALSE)</f>
        <v>1</v>
      </c>
      <c r="F22" s="15">
        <f t="shared" si="0"/>
        <v>10</v>
      </c>
      <c r="G22" s="18">
        <f>Scanners!L21</f>
        <v>13</v>
      </c>
      <c r="H22" s="18">
        <f t="shared" si="1"/>
        <v>10</v>
      </c>
      <c r="I22" s="18">
        <f t="shared" si="2"/>
        <v>3</v>
      </c>
      <c r="J22" s="18">
        <f>DisBo!I21</f>
        <v>11</v>
      </c>
      <c r="K22" s="18">
        <f t="shared" si="3"/>
        <v>10</v>
      </c>
      <c r="L22" s="18">
        <f t="shared" si="4"/>
        <v>1</v>
      </c>
      <c r="M22" s="18">
        <f>MFP!K21</f>
        <v>10</v>
      </c>
      <c r="N22" s="18">
        <f t="shared" si="5"/>
        <v>10</v>
      </c>
      <c r="O22" s="18">
        <f t="shared" si="6"/>
        <v>0</v>
      </c>
      <c r="P22" s="18">
        <f>DLP!O21</f>
        <v>19</v>
      </c>
      <c r="Q22" s="18">
        <f>DLP!R21</f>
        <v>18</v>
      </c>
      <c r="R22" s="18">
        <f t="shared" si="7"/>
        <v>1</v>
      </c>
      <c r="S22" s="18">
        <f>AIO!P21</f>
        <v>84</v>
      </c>
      <c r="T22" s="18">
        <f t="shared" si="8"/>
        <v>76</v>
      </c>
      <c r="U22" s="18">
        <f t="shared" si="9"/>
        <v>8</v>
      </c>
      <c r="V22" s="18">
        <f>PAS!J21</f>
        <v>9</v>
      </c>
      <c r="W22" s="18">
        <f t="shared" si="10"/>
        <v>10</v>
      </c>
      <c r="X22" s="18">
        <f t="shared" si="11"/>
        <v>-1</v>
      </c>
    </row>
    <row r="23" spans="1:24" x14ac:dyDescent="0.25">
      <c r="A23" s="15">
        <v>21</v>
      </c>
      <c r="B23" s="16" t="s">
        <v>49</v>
      </c>
      <c r="C23" s="17">
        <f>VLOOKUP(B:B,Courts!B:C,2,FALSE)</f>
        <v>19</v>
      </c>
      <c r="D23" s="17">
        <f>VLOOKUP(B:B,Courts!B:D,3,FALSE)</f>
        <v>0</v>
      </c>
      <c r="E23" s="15">
        <f>VLOOKUP(B:B,Courts!B:E,4,FALSE)</f>
        <v>0</v>
      </c>
      <c r="F23" s="15">
        <f t="shared" si="0"/>
        <v>19</v>
      </c>
      <c r="G23" s="18">
        <f>Scanners!L22</f>
        <v>22</v>
      </c>
      <c r="H23" s="18">
        <f t="shared" si="1"/>
        <v>19</v>
      </c>
      <c r="I23" s="18">
        <f t="shared" si="2"/>
        <v>3</v>
      </c>
      <c r="J23" s="18">
        <f>DisBo!I22</f>
        <v>18</v>
      </c>
      <c r="K23" s="18">
        <f t="shared" si="3"/>
        <v>19</v>
      </c>
      <c r="L23" s="18">
        <f t="shared" si="4"/>
        <v>-1</v>
      </c>
      <c r="M23" s="18">
        <f>MFP!K22</f>
        <v>21</v>
      </c>
      <c r="N23" s="18">
        <f t="shared" si="5"/>
        <v>19</v>
      </c>
      <c r="O23" s="18">
        <f t="shared" si="6"/>
        <v>2</v>
      </c>
      <c r="P23" s="18">
        <f>DLP!O22</f>
        <v>42</v>
      </c>
      <c r="Q23" s="18">
        <f>DLP!R22</f>
        <v>38</v>
      </c>
      <c r="R23" s="18">
        <f t="shared" si="7"/>
        <v>4</v>
      </c>
      <c r="S23" s="18">
        <f>AIO!P22</f>
        <v>136</v>
      </c>
      <c r="T23" s="18">
        <f t="shared" si="8"/>
        <v>152</v>
      </c>
      <c r="U23" s="18">
        <f t="shared" si="9"/>
        <v>-16</v>
      </c>
      <c r="V23" s="18">
        <f>PAS!J22</f>
        <v>18</v>
      </c>
      <c r="W23" s="18">
        <f t="shared" si="10"/>
        <v>19</v>
      </c>
      <c r="X23" s="18">
        <f t="shared" si="11"/>
        <v>-1</v>
      </c>
    </row>
    <row r="24" spans="1:24" x14ac:dyDescent="0.25">
      <c r="A24" s="15">
        <v>22</v>
      </c>
      <c r="B24" s="19" t="s">
        <v>50</v>
      </c>
      <c r="C24" s="17">
        <f>VLOOKUP(B:B,Courts!B:C,2,FALSE)</f>
        <v>4</v>
      </c>
      <c r="D24" s="17">
        <f>VLOOKUP(B:B,Courts!B:D,3,FALSE)</f>
        <v>0</v>
      </c>
      <c r="E24" s="15">
        <f>VLOOKUP(B:B,Courts!B:E,4,FALSE)</f>
        <v>1</v>
      </c>
      <c r="F24" s="15">
        <f t="shared" si="0"/>
        <v>5</v>
      </c>
      <c r="G24" s="18">
        <f>Scanners!L23</f>
        <v>6</v>
      </c>
      <c r="H24" s="18">
        <f t="shared" si="1"/>
        <v>5</v>
      </c>
      <c r="I24" s="18">
        <f t="shared" si="2"/>
        <v>1</v>
      </c>
      <c r="J24" s="18">
        <f>DisBo!I23</f>
        <v>6</v>
      </c>
      <c r="K24" s="18">
        <f t="shared" si="3"/>
        <v>5</v>
      </c>
      <c r="L24" s="18">
        <f t="shared" si="4"/>
        <v>1</v>
      </c>
      <c r="M24" s="18">
        <f>MFP!K23</f>
        <v>5</v>
      </c>
      <c r="N24" s="18">
        <f t="shared" si="5"/>
        <v>5</v>
      </c>
      <c r="O24" s="18">
        <f t="shared" si="6"/>
        <v>0</v>
      </c>
      <c r="P24" s="18">
        <f>DLP!O23</f>
        <v>10</v>
      </c>
      <c r="Q24" s="18">
        <f>DLP!R23</f>
        <v>8</v>
      </c>
      <c r="R24" s="18">
        <f t="shared" si="7"/>
        <v>2</v>
      </c>
      <c r="S24" s="18">
        <f>AIO!P23</f>
        <v>44</v>
      </c>
      <c r="T24" s="18">
        <f t="shared" si="8"/>
        <v>36</v>
      </c>
      <c r="U24" s="18">
        <f t="shared" si="9"/>
        <v>8</v>
      </c>
      <c r="V24" s="18">
        <f>PAS!J23</f>
        <v>6</v>
      </c>
      <c r="W24" s="18">
        <f t="shared" si="10"/>
        <v>5</v>
      </c>
      <c r="X24" s="18">
        <f t="shared" si="11"/>
        <v>1</v>
      </c>
    </row>
    <row r="25" spans="1:24" x14ac:dyDescent="0.25">
      <c r="A25" s="15">
        <v>23</v>
      </c>
      <c r="B25" s="19" t="s">
        <v>51</v>
      </c>
      <c r="C25" s="17">
        <f>VLOOKUP(B:B,Courts!B:C,2,FALSE)</f>
        <v>3</v>
      </c>
      <c r="D25" s="17">
        <f>VLOOKUP(B:B,Courts!B:D,3,FALSE)</f>
        <v>0</v>
      </c>
      <c r="E25" s="15">
        <f>VLOOKUP(B:B,Courts!B:E,4,FALSE)</f>
        <v>1</v>
      </c>
      <c r="F25" s="15">
        <f t="shared" si="0"/>
        <v>4</v>
      </c>
      <c r="G25" s="18">
        <f>Scanners!L24</f>
        <v>5</v>
      </c>
      <c r="H25" s="18">
        <f t="shared" si="1"/>
        <v>4</v>
      </c>
      <c r="I25" s="18">
        <f t="shared" si="2"/>
        <v>1</v>
      </c>
      <c r="J25" s="18">
        <f>DisBo!I24</f>
        <v>4</v>
      </c>
      <c r="K25" s="18">
        <f t="shared" si="3"/>
        <v>4</v>
      </c>
      <c r="L25" s="18">
        <f t="shared" si="4"/>
        <v>0</v>
      </c>
      <c r="M25" s="18">
        <f>MFP!K24</f>
        <v>5</v>
      </c>
      <c r="N25" s="18">
        <f t="shared" si="5"/>
        <v>4</v>
      </c>
      <c r="O25" s="18">
        <f t="shared" si="6"/>
        <v>1</v>
      </c>
      <c r="P25" s="18">
        <f>DLP!O24</f>
        <v>8</v>
      </c>
      <c r="Q25" s="18">
        <f>DLP!R24</f>
        <v>6</v>
      </c>
      <c r="R25" s="18">
        <f t="shared" si="7"/>
        <v>2</v>
      </c>
      <c r="S25" s="18">
        <f>AIO!P24</f>
        <v>28</v>
      </c>
      <c r="T25" s="18">
        <f t="shared" si="8"/>
        <v>28</v>
      </c>
      <c r="U25" s="18">
        <f t="shared" si="9"/>
        <v>0</v>
      </c>
      <c r="V25" s="18">
        <f>PAS!J24</f>
        <v>4</v>
      </c>
      <c r="W25" s="18">
        <f t="shared" si="10"/>
        <v>4</v>
      </c>
      <c r="X25" s="18">
        <f t="shared" si="11"/>
        <v>0</v>
      </c>
    </row>
    <row r="26" spans="1:24" x14ac:dyDescent="0.25">
      <c r="A26" s="15">
        <v>24</v>
      </c>
      <c r="B26" s="19" t="s">
        <v>52</v>
      </c>
      <c r="C26" s="17">
        <f>VLOOKUP(B:B,Courts!B:C,2,FALSE)</f>
        <v>3</v>
      </c>
      <c r="D26" s="17">
        <f>VLOOKUP(B:B,Courts!B:D,3,FALSE)</f>
        <v>0</v>
      </c>
      <c r="E26" s="15">
        <f>VLOOKUP(B:B,Courts!B:E,4,FALSE)</f>
        <v>1</v>
      </c>
      <c r="F26" s="15">
        <f t="shared" si="0"/>
        <v>4</v>
      </c>
      <c r="G26" s="18">
        <f>Scanners!L25</f>
        <v>4</v>
      </c>
      <c r="H26" s="18">
        <f t="shared" si="1"/>
        <v>4</v>
      </c>
      <c r="I26" s="18">
        <f t="shared" si="2"/>
        <v>0</v>
      </c>
      <c r="J26" s="18">
        <f>DisBo!I25</f>
        <v>4</v>
      </c>
      <c r="K26" s="18">
        <f t="shared" si="3"/>
        <v>4</v>
      </c>
      <c r="L26" s="18">
        <f t="shared" si="4"/>
        <v>0</v>
      </c>
      <c r="M26" s="18">
        <f>MFP!K25</f>
        <v>4</v>
      </c>
      <c r="N26" s="18">
        <f t="shared" si="5"/>
        <v>4</v>
      </c>
      <c r="O26" s="18">
        <f t="shared" si="6"/>
        <v>0</v>
      </c>
      <c r="P26" s="18">
        <f>DLP!O25</f>
        <v>9</v>
      </c>
      <c r="Q26" s="18">
        <f>DLP!R25</f>
        <v>6</v>
      </c>
      <c r="R26" s="18">
        <f t="shared" si="7"/>
        <v>3</v>
      </c>
      <c r="S26" s="18">
        <f>AIO!P25</f>
        <v>28</v>
      </c>
      <c r="T26" s="18">
        <f t="shared" si="8"/>
        <v>28</v>
      </c>
      <c r="U26" s="18">
        <f t="shared" si="9"/>
        <v>0</v>
      </c>
      <c r="V26" s="18">
        <f>PAS!J25</f>
        <v>4</v>
      </c>
      <c r="W26" s="18">
        <f t="shared" si="10"/>
        <v>4</v>
      </c>
      <c r="X26" s="18">
        <f t="shared" si="11"/>
        <v>0</v>
      </c>
    </row>
    <row r="27" spans="1:24" x14ac:dyDescent="0.25">
      <c r="A27" s="15">
        <v>25</v>
      </c>
      <c r="B27" s="16" t="s">
        <v>53</v>
      </c>
      <c r="C27" s="17">
        <f>VLOOKUP(B:B,Courts!B:C,2,FALSE)</f>
        <v>45</v>
      </c>
      <c r="D27" s="17">
        <f>VLOOKUP(B:B,Courts!B:D,3,FALSE)</f>
        <v>0</v>
      </c>
      <c r="E27" s="15">
        <f>VLOOKUP(B:B,Courts!B:E,4,FALSE)</f>
        <v>0</v>
      </c>
      <c r="F27" s="15">
        <f t="shared" si="0"/>
        <v>45</v>
      </c>
      <c r="G27" s="18">
        <f>Scanners!L26</f>
        <v>52</v>
      </c>
      <c r="H27" s="18">
        <f t="shared" si="1"/>
        <v>45</v>
      </c>
      <c r="I27" s="18">
        <f t="shared" si="2"/>
        <v>7</v>
      </c>
      <c r="J27" s="18">
        <f>DisBo!I26</f>
        <v>37</v>
      </c>
      <c r="K27" s="18">
        <f t="shared" si="3"/>
        <v>45</v>
      </c>
      <c r="L27" s="18">
        <f t="shared" si="4"/>
        <v>-8</v>
      </c>
      <c r="M27" s="18">
        <f>MFP!K26</f>
        <v>44</v>
      </c>
      <c r="N27" s="18">
        <f t="shared" si="5"/>
        <v>45</v>
      </c>
      <c r="O27" s="18">
        <f t="shared" si="6"/>
        <v>-1</v>
      </c>
      <c r="P27" s="18">
        <f>DLP!O26</f>
        <v>92</v>
      </c>
      <c r="Q27" s="18">
        <f>DLP!R26</f>
        <v>90</v>
      </c>
      <c r="R27" s="18">
        <f t="shared" si="7"/>
        <v>2</v>
      </c>
      <c r="S27" s="18">
        <f>AIO!P26</f>
        <v>299</v>
      </c>
      <c r="T27" s="18">
        <f t="shared" si="8"/>
        <v>360</v>
      </c>
      <c r="U27" s="18">
        <f t="shared" si="9"/>
        <v>-61</v>
      </c>
      <c r="V27" s="18">
        <f>PAS!J26</f>
        <v>41</v>
      </c>
      <c r="W27" s="18">
        <f t="shared" si="10"/>
        <v>45</v>
      </c>
      <c r="X27" s="18">
        <f t="shared" si="11"/>
        <v>-4</v>
      </c>
    </row>
    <row r="28" spans="1:24" x14ac:dyDescent="0.25">
      <c r="A28" s="15">
        <v>26</v>
      </c>
      <c r="B28" s="19" t="s">
        <v>54</v>
      </c>
      <c r="C28" s="17">
        <f>VLOOKUP(B:B,Courts!B:C,2,FALSE)</f>
        <v>3</v>
      </c>
      <c r="D28" s="17">
        <f>VLOOKUP(B:B,Courts!B:D,3,FALSE)</f>
        <v>0</v>
      </c>
      <c r="E28" s="15">
        <f>VLOOKUP(B:B,Courts!B:E,4,FALSE)</f>
        <v>1</v>
      </c>
      <c r="F28" s="15">
        <f t="shared" si="0"/>
        <v>4</v>
      </c>
      <c r="G28" s="18">
        <f>Scanners!L27</f>
        <v>5</v>
      </c>
      <c r="H28" s="18">
        <f t="shared" si="1"/>
        <v>4</v>
      </c>
      <c r="I28" s="18">
        <f t="shared" si="2"/>
        <v>1</v>
      </c>
      <c r="J28" s="18">
        <f>DisBo!I27</f>
        <v>5</v>
      </c>
      <c r="K28" s="18">
        <f t="shared" si="3"/>
        <v>4</v>
      </c>
      <c r="L28" s="18">
        <f t="shared" si="4"/>
        <v>1</v>
      </c>
      <c r="M28" s="18">
        <f>MFP!K27</f>
        <v>4</v>
      </c>
      <c r="N28" s="18">
        <f t="shared" si="5"/>
        <v>4</v>
      </c>
      <c r="O28" s="18">
        <f t="shared" si="6"/>
        <v>0</v>
      </c>
      <c r="P28" s="18">
        <f>DLP!O27</f>
        <v>11</v>
      </c>
      <c r="Q28" s="18">
        <f>DLP!R27</f>
        <v>6</v>
      </c>
      <c r="R28" s="18">
        <f t="shared" si="7"/>
        <v>5</v>
      </c>
      <c r="S28" s="18">
        <f>AIO!P27</f>
        <v>36</v>
      </c>
      <c r="T28" s="18">
        <f t="shared" si="8"/>
        <v>28</v>
      </c>
      <c r="U28" s="18">
        <f t="shared" si="9"/>
        <v>8</v>
      </c>
      <c r="V28" s="18">
        <f>PAS!J27</f>
        <v>5</v>
      </c>
      <c r="W28" s="18">
        <f t="shared" si="10"/>
        <v>4</v>
      </c>
      <c r="X28" s="18">
        <f t="shared" si="11"/>
        <v>1</v>
      </c>
    </row>
    <row r="29" spans="1:24" x14ac:dyDescent="0.25">
      <c r="A29" s="15">
        <v>27</v>
      </c>
      <c r="B29" s="19" t="s">
        <v>55</v>
      </c>
      <c r="C29" s="17">
        <f>VLOOKUP(B:B,Courts!B:C,2,FALSE)</f>
        <v>5</v>
      </c>
      <c r="D29" s="17">
        <f>VLOOKUP(B:B,Courts!B:D,3,FALSE)</f>
        <v>0</v>
      </c>
      <c r="E29" s="15">
        <f>VLOOKUP(B:B,Courts!B:E,4,FALSE)</f>
        <v>1</v>
      </c>
      <c r="F29" s="15">
        <f t="shared" si="0"/>
        <v>6</v>
      </c>
      <c r="G29" s="18">
        <f>Scanners!L28</f>
        <v>7</v>
      </c>
      <c r="H29" s="18">
        <f t="shared" si="1"/>
        <v>6</v>
      </c>
      <c r="I29" s="18">
        <f t="shared" si="2"/>
        <v>1</v>
      </c>
      <c r="J29" s="18">
        <f>DisBo!I28</f>
        <v>5</v>
      </c>
      <c r="K29" s="18">
        <f t="shared" si="3"/>
        <v>6</v>
      </c>
      <c r="L29" s="18">
        <f t="shared" si="4"/>
        <v>-1</v>
      </c>
      <c r="M29" s="18">
        <f>MFP!K28</f>
        <v>7</v>
      </c>
      <c r="N29" s="18">
        <f t="shared" si="5"/>
        <v>6</v>
      </c>
      <c r="O29" s="18">
        <f t="shared" si="6"/>
        <v>1</v>
      </c>
      <c r="P29" s="18">
        <f>DLP!O28</f>
        <v>12</v>
      </c>
      <c r="Q29" s="18">
        <f>DLP!R28</f>
        <v>10</v>
      </c>
      <c r="R29" s="18">
        <f t="shared" si="7"/>
        <v>2</v>
      </c>
      <c r="S29" s="18">
        <f>AIO!P28</f>
        <v>36</v>
      </c>
      <c r="T29" s="18">
        <f t="shared" si="8"/>
        <v>44</v>
      </c>
      <c r="U29" s="18">
        <f t="shared" si="9"/>
        <v>-8</v>
      </c>
      <c r="V29" s="18">
        <f>PAS!J28</f>
        <v>5</v>
      </c>
      <c r="W29" s="18">
        <f t="shared" si="10"/>
        <v>6</v>
      </c>
      <c r="X29" s="18">
        <f t="shared" si="11"/>
        <v>-1</v>
      </c>
    </row>
    <row r="30" spans="1:24" x14ac:dyDescent="0.25">
      <c r="A30" s="15">
        <v>28</v>
      </c>
      <c r="B30" s="16" t="s">
        <v>56</v>
      </c>
      <c r="C30" s="17">
        <f>VLOOKUP(B:B,Courts!B:C,2,FALSE)</f>
        <v>10</v>
      </c>
      <c r="D30" s="17">
        <f>VLOOKUP(B:B,Courts!B:D,3,FALSE)</f>
        <v>0</v>
      </c>
      <c r="E30" s="15">
        <f>VLOOKUP(B:B,Courts!B:E,4,FALSE)</f>
        <v>0</v>
      </c>
      <c r="F30" s="15">
        <f t="shared" si="0"/>
        <v>10</v>
      </c>
      <c r="G30" s="18">
        <f>Scanners!L29</f>
        <v>15</v>
      </c>
      <c r="H30" s="18">
        <f t="shared" si="1"/>
        <v>10</v>
      </c>
      <c r="I30" s="18">
        <f t="shared" si="2"/>
        <v>5</v>
      </c>
      <c r="J30" s="18">
        <f>DisBo!I29</f>
        <v>12</v>
      </c>
      <c r="K30" s="18">
        <f t="shared" si="3"/>
        <v>10</v>
      </c>
      <c r="L30" s="18">
        <f t="shared" si="4"/>
        <v>2</v>
      </c>
      <c r="M30" s="18">
        <f>MFP!K29</f>
        <v>13</v>
      </c>
      <c r="N30" s="18">
        <f t="shared" si="5"/>
        <v>10</v>
      </c>
      <c r="O30" s="18">
        <f t="shared" si="6"/>
        <v>3</v>
      </c>
      <c r="P30" s="18">
        <f>DLP!O29</f>
        <v>30</v>
      </c>
      <c r="Q30" s="18">
        <f>DLP!R29</f>
        <v>20</v>
      </c>
      <c r="R30" s="18">
        <f t="shared" si="7"/>
        <v>10</v>
      </c>
      <c r="S30" s="18">
        <f>AIO!P29</f>
        <v>96</v>
      </c>
      <c r="T30" s="18">
        <f t="shared" si="8"/>
        <v>80</v>
      </c>
      <c r="U30" s="18">
        <f t="shared" si="9"/>
        <v>16</v>
      </c>
      <c r="V30" s="18">
        <f>PAS!J29</f>
        <v>14</v>
      </c>
      <c r="W30" s="18">
        <f t="shared" si="10"/>
        <v>10</v>
      </c>
      <c r="X30" s="18">
        <f t="shared" si="11"/>
        <v>4</v>
      </c>
    </row>
    <row r="31" spans="1:24" x14ac:dyDescent="0.25">
      <c r="A31" s="15">
        <v>29</v>
      </c>
      <c r="B31" s="19" t="s">
        <v>57</v>
      </c>
      <c r="C31" s="17">
        <f>VLOOKUP(B:B,Courts!B:C,2,FALSE)</f>
        <v>4</v>
      </c>
      <c r="D31" s="17">
        <f>VLOOKUP(B:B,Courts!B:D,3,FALSE)</f>
        <v>0</v>
      </c>
      <c r="E31" s="15">
        <f>VLOOKUP(B:B,Courts!B:E,4,FALSE)</f>
        <v>1</v>
      </c>
      <c r="F31" s="15">
        <f t="shared" si="0"/>
        <v>5</v>
      </c>
      <c r="G31" s="18">
        <f>Scanners!L30</f>
        <v>6</v>
      </c>
      <c r="H31" s="18">
        <f t="shared" si="1"/>
        <v>5</v>
      </c>
      <c r="I31" s="18">
        <f t="shared" si="2"/>
        <v>1</v>
      </c>
      <c r="J31" s="18">
        <f>DisBo!I30</f>
        <v>4</v>
      </c>
      <c r="K31" s="18">
        <f t="shared" si="3"/>
        <v>5</v>
      </c>
      <c r="L31" s="18">
        <f t="shared" si="4"/>
        <v>-1</v>
      </c>
      <c r="M31" s="18">
        <f>MFP!K30</f>
        <v>6</v>
      </c>
      <c r="N31" s="18">
        <f t="shared" si="5"/>
        <v>5</v>
      </c>
      <c r="O31" s="18">
        <f t="shared" si="6"/>
        <v>1</v>
      </c>
      <c r="P31" s="18">
        <f>DLP!O30</f>
        <v>10</v>
      </c>
      <c r="Q31" s="18">
        <f>DLP!R30</f>
        <v>8</v>
      </c>
      <c r="R31" s="18">
        <f t="shared" si="7"/>
        <v>2</v>
      </c>
      <c r="S31" s="18">
        <f>AIO!P30</f>
        <v>28</v>
      </c>
      <c r="T31" s="18">
        <f t="shared" si="8"/>
        <v>36</v>
      </c>
      <c r="U31" s="18">
        <f t="shared" si="9"/>
        <v>-8</v>
      </c>
      <c r="V31" s="18">
        <f>PAS!J30</f>
        <v>5</v>
      </c>
      <c r="W31" s="18">
        <f t="shared" si="10"/>
        <v>5</v>
      </c>
      <c r="X31" s="18">
        <f t="shared" si="11"/>
        <v>0</v>
      </c>
    </row>
    <row r="32" spans="1:24" ht="30" x14ac:dyDescent="0.25">
      <c r="A32" s="15">
        <v>30</v>
      </c>
      <c r="B32" s="19" t="s">
        <v>58</v>
      </c>
      <c r="C32" s="17">
        <f>VLOOKUP(B:B,Courts!B:C,2,FALSE)</f>
        <v>3</v>
      </c>
      <c r="D32" s="17">
        <f>VLOOKUP(B:B,Courts!B:D,3,FALSE)</f>
        <v>0</v>
      </c>
      <c r="E32" s="15">
        <f>VLOOKUP(B:B,Courts!B:E,4,FALSE)</f>
        <v>1</v>
      </c>
      <c r="F32" s="15">
        <f t="shared" si="0"/>
        <v>4</v>
      </c>
      <c r="G32" s="18">
        <f>Scanners!L31</f>
        <v>4</v>
      </c>
      <c r="H32" s="18">
        <f t="shared" si="1"/>
        <v>4</v>
      </c>
      <c r="I32" s="18">
        <f t="shared" si="2"/>
        <v>0</v>
      </c>
      <c r="J32" s="18">
        <f>DisBo!I31</f>
        <v>3</v>
      </c>
      <c r="K32" s="18">
        <f t="shared" si="3"/>
        <v>4</v>
      </c>
      <c r="L32" s="18">
        <f t="shared" si="4"/>
        <v>-1</v>
      </c>
      <c r="M32" s="18">
        <f>MFP!K31</f>
        <v>4</v>
      </c>
      <c r="N32" s="18">
        <f t="shared" si="5"/>
        <v>4</v>
      </c>
      <c r="O32" s="18">
        <f t="shared" si="6"/>
        <v>0</v>
      </c>
      <c r="P32" s="18">
        <f>DLP!O31</f>
        <v>6</v>
      </c>
      <c r="Q32" s="18">
        <f>DLP!R31</f>
        <v>6</v>
      </c>
      <c r="R32" s="18">
        <f t="shared" si="7"/>
        <v>0</v>
      </c>
      <c r="S32" s="18">
        <f>AIO!P31</f>
        <v>20</v>
      </c>
      <c r="T32" s="18">
        <f t="shared" si="8"/>
        <v>28</v>
      </c>
      <c r="U32" s="18">
        <f t="shared" si="9"/>
        <v>-8</v>
      </c>
      <c r="V32" s="18">
        <f>PAS!J31</f>
        <v>3</v>
      </c>
      <c r="W32" s="18">
        <f t="shared" si="10"/>
        <v>4</v>
      </c>
      <c r="X32" s="18">
        <f t="shared" si="11"/>
        <v>-1</v>
      </c>
    </row>
    <row r="33" spans="1:24" x14ac:dyDescent="0.25">
      <c r="A33" s="15">
        <v>31</v>
      </c>
      <c r="B33" s="19" t="s">
        <v>59</v>
      </c>
      <c r="C33" s="17">
        <f>VLOOKUP(B:B,Courts!B:C,2,FALSE)</f>
        <v>1</v>
      </c>
      <c r="D33" s="17">
        <f>VLOOKUP(B:B,Courts!B:D,3,FALSE)</f>
        <v>0</v>
      </c>
      <c r="E33" s="15">
        <f>VLOOKUP(B:B,Courts!B:E,4,FALSE)</f>
        <v>1</v>
      </c>
      <c r="F33" s="15">
        <f t="shared" si="0"/>
        <v>2</v>
      </c>
      <c r="G33" s="18">
        <f>Scanners!L32</f>
        <v>3</v>
      </c>
      <c r="H33" s="18">
        <f t="shared" si="1"/>
        <v>2</v>
      </c>
      <c r="I33" s="18">
        <f t="shared" si="2"/>
        <v>1</v>
      </c>
      <c r="J33" s="18">
        <f>DisBo!I32</f>
        <v>2</v>
      </c>
      <c r="K33" s="18">
        <f t="shared" si="3"/>
        <v>2</v>
      </c>
      <c r="L33" s="18">
        <f t="shared" si="4"/>
        <v>0</v>
      </c>
      <c r="M33" s="18">
        <f>MFP!K32</f>
        <v>3</v>
      </c>
      <c r="N33" s="18">
        <f t="shared" si="5"/>
        <v>2</v>
      </c>
      <c r="O33" s="18">
        <f t="shared" si="6"/>
        <v>1</v>
      </c>
      <c r="P33" s="18">
        <f>DLP!O32</f>
        <v>4</v>
      </c>
      <c r="Q33" s="18">
        <f>DLP!R32</f>
        <v>2</v>
      </c>
      <c r="R33" s="18">
        <f t="shared" si="7"/>
        <v>2</v>
      </c>
      <c r="S33" s="18">
        <f>AIO!P32</f>
        <v>14</v>
      </c>
      <c r="T33" s="18">
        <f t="shared" si="8"/>
        <v>12</v>
      </c>
      <c r="U33" s="18">
        <f t="shared" si="9"/>
        <v>2</v>
      </c>
      <c r="V33" s="18">
        <f>PAS!J32</f>
        <v>2</v>
      </c>
      <c r="W33" s="18">
        <f t="shared" si="10"/>
        <v>2</v>
      </c>
      <c r="X33" s="18">
        <f t="shared" si="11"/>
        <v>0</v>
      </c>
    </row>
    <row r="34" spans="1:24" x14ac:dyDescent="0.25">
      <c r="A34" s="15">
        <v>32</v>
      </c>
      <c r="B34" s="16" t="s">
        <v>60</v>
      </c>
      <c r="C34" s="17">
        <f>VLOOKUP(B:B,Courts!B:C,2,FALSE)</f>
        <v>73</v>
      </c>
      <c r="D34" s="17">
        <f>VLOOKUP(B:B,Courts!B:D,3,FALSE)</f>
        <v>0</v>
      </c>
      <c r="E34" s="15">
        <f>VLOOKUP(B:B,Courts!B:E,4,FALSE)</f>
        <v>0</v>
      </c>
      <c r="F34" s="15">
        <f t="shared" si="0"/>
        <v>73</v>
      </c>
      <c r="G34" s="18">
        <f>Scanners!L33</f>
        <v>86</v>
      </c>
      <c r="H34" s="18">
        <f t="shared" si="1"/>
        <v>73</v>
      </c>
      <c r="I34" s="18">
        <f t="shared" si="2"/>
        <v>13</v>
      </c>
      <c r="J34" s="18">
        <f>DisBo!I33</f>
        <v>69</v>
      </c>
      <c r="K34" s="18">
        <f t="shared" si="3"/>
        <v>73</v>
      </c>
      <c r="L34" s="18">
        <f t="shared" si="4"/>
        <v>-4</v>
      </c>
      <c r="M34" s="18">
        <f>MFP!K33</f>
        <v>76</v>
      </c>
      <c r="N34" s="18">
        <f t="shared" si="5"/>
        <v>73</v>
      </c>
      <c r="O34" s="18">
        <f t="shared" si="6"/>
        <v>3</v>
      </c>
      <c r="P34" s="18">
        <f>DLP!O33</f>
        <v>150</v>
      </c>
      <c r="Q34" s="18">
        <f>DLP!R33</f>
        <v>146</v>
      </c>
      <c r="R34" s="18">
        <f t="shared" si="7"/>
        <v>4</v>
      </c>
      <c r="S34" s="18">
        <f>AIO!P33</f>
        <v>552</v>
      </c>
      <c r="T34" s="18">
        <f t="shared" si="8"/>
        <v>584</v>
      </c>
      <c r="U34" s="18">
        <f t="shared" si="9"/>
        <v>-32</v>
      </c>
      <c r="V34" s="18">
        <f>PAS!J33</f>
        <v>74</v>
      </c>
      <c r="W34" s="18">
        <f t="shared" si="10"/>
        <v>73</v>
      </c>
      <c r="X34" s="18">
        <f t="shared" si="11"/>
        <v>1</v>
      </c>
    </row>
    <row r="35" spans="1:24" x14ac:dyDescent="0.25">
      <c r="A35" s="15">
        <v>33</v>
      </c>
      <c r="B35" s="19" t="s">
        <v>61</v>
      </c>
      <c r="C35" s="17">
        <f>VLOOKUP(B:B,Courts!B:C,2,FALSE)</f>
        <v>3</v>
      </c>
      <c r="D35" s="17">
        <f>VLOOKUP(B:B,Courts!B:D,3,FALSE)</f>
        <v>0</v>
      </c>
      <c r="E35" s="15">
        <f>VLOOKUP(B:B,Courts!B:E,4,FALSE)</f>
        <v>1</v>
      </c>
      <c r="F35" s="15">
        <f t="shared" si="0"/>
        <v>4</v>
      </c>
      <c r="G35" s="18">
        <f>Scanners!L34</f>
        <v>4</v>
      </c>
      <c r="H35" s="18">
        <f t="shared" si="1"/>
        <v>4</v>
      </c>
      <c r="I35" s="18">
        <f t="shared" si="2"/>
        <v>0</v>
      </c>
      <c r="J35" s="18">
        <f>DisBo!I34</f>
        <v>4</v>
      </c>
      <c r="K35" s="18">
        <f t="shared" si="3"/>
        <v>4</v>
      </c>
      <c r="L35" s="18">
        <f t="shared" si="4"/>
        <v>0</v>
      </c>
      <c r="M35" s="18">
        <f>MFP!K34</f>
        <v>4</v>
      </c>
      <c r="N35" s="18">
        <f t="shared" si="5"/>
        <v>4</v>
      </c>
      <c r="O35" s="18">
        <f t="shared" si="6"/>
        <v>0</v>
      </c>
      <c r="P35" s="18">
        <f>DLP!O34</f>
        <v>8</v>
      </c>
      <c r="Q35" s="18">
        <f>DLP!R34</f>
        <v>6</v>
      </c>
      <c r="R35" s="18">
        <f t="shared" si="7"/>
        <v>2</v>
      </c>
      <c r="S35" s="18">
        <f>AIO!P34</f>
        <v>28</v>
      </c>
      <c r="T35" s="18">
        <f t="shared" si="8"/>
        <v>28</v>
      </c>
      <c r="U35" s="18">
        <f t="shared" si="9"/>
        <v>0</v>
      </c>
      <c r="V35" s="18">
        <f>PAS!J34</f>
        <v>4</v>
      </c>
      <c r="W35" s="18">
        <f t="shared" si="10"/>
        <v>4</v>
      </c>
      <c r="X35" s="18">
        <f t="shared" si="11"/>
        <v>0</v>
      </c>
    </row>
    <row r="36" spans="1:24" x14ac:dyDescent="0.25">
      <c r="A36" s="15">
        <v>34</v>
      </c>
      <c r="B36" s="19" t="s">
        <v>62</v>
      </c>
      <c r="C36" s="17">
        <f>VLOOKUP(B:B,Courts!B:C,2,FALSE)</f>
        <v>4</v>
      </c>
      <c r="D36" s="17">
        <f>VLOOKUP(B:B,Courts!B:D,3,FALSE)</f>
        <v>0</v>
      </c>
      <c r="E36" s="15">
        <f>VLOOKUP(B:B,Courts!B:E,4,FALSE)</f>
        <v>1</v>
      </c>
      <c r="F36" s="15">
        <f t="shared" si="0"/>
        <v>5</v>
      </c>
      <c r="G36" s="18">
        <f>Scanners!L35</f>
        <v>5</v>
      </c>
      <c r="H36" s="18">
        <f t="shared" si="1"/>
        <v>5</v>
      </c>
      <c r="I36" s="18">
        <f t="shared" si="2"/>
        <v>0</v>
      </c>
      <c r="J36" s="18">
        <f>DisBo!I35</f>
        <v>4</v>
      </c>
      <c r="K36" s="18">
        <f t="shared" si="3"/>
        <v>5</v>
      </c>
      <c r="L36" s="18">
        <f t="shared" si="4"/>
        <v>-1</v>
      </c>
      <c r="M36" s="18">
        <f>MFP!K35</f>
        <v>5</v>
      </c>
      <c r="N36" s="18">
        <f t="shared" si="5"/>
        <v>5</v>
      </c>
      <c r="O36" s="18">
        <f t="shared" si="6"/>
        <v>0</v>
      </c>
      <c r="P36" s="18">
        <f>DLP!O35</f>
        <v>9</v>
      </c>
      <c r="Q36" s="18">
        <f>DLP!R35</f>
        <v>8</v>
      </c>
      <c r="R36" s="18">
        <f t="shared" si="7"/>
        <v>1</v>
      </c>
      <c r="S36" s="18">
        <f>AIO!P35</f>
        <v>29</v>
      </c>
      <c r="T36" s="18">
        <f t="shared" si="8"/>
        <v>36</v>
      </c>
      <c r="U36" s="18">
        <f t="shared" si="9"/>
        <v>-7</v>
      </c>
      <c r="V36" s="18">
        <f>PAS!J35</f>
        <v>5</v>
      </c>
      <c r="W36" s="18">
        <f t="shared" si="10"/>
        <v>5</v>
      </c>
      <c r="X36" s="18">
        <f t="shared" si="11"/>
        <v>0</v>
      </c>
    </row>
    <row r="37" spans="1:24" x14ac:dyDescent="0.25">
      <c r="A37" s="15">
        <v>35</v>
      </c>
      <c r="B37" s="19" t="s">
        <v>63</v>
      </c>
      <c r="C37" s="17">
        <f>VLOOKUP(B:B,Courts!B:C,2,FALSE)</f>
        <v>6</v>
      </c>
      <c r="D37" s="17">
        <f>VLOOKUP(B:B,Courts!B:D,3,FALSE)</f>
        <v>0</v>
      </c>
      <c r="E37" s="15">
        <f>VLOOKUP(B:B,Courts!B:E,4,FALSE)</f>
        <v>1</v>
      </c>
      <c r="F37" s="15">
        <f t="shared" si="0"/>
        <v>7</v>
      </c>
      <c r="G37" s="18">
        <f>Scanners!L36</f>
        <v>8</v>
      </c>
      <c r="H37" s="18">
        <f t="shared" si="1"/>
        <v>7</v>
      </c>
      <c r="I37" s="18">
        <f t="shared" si="2"/>
        <v>1</v>
      </c>
      <c r="J37" s="18">
        <f>DisBo!I36</f>
        <v>5</v>
      </c>
      <c r="K37" s="18">
        <f t="shared" si="3"/>
        <v>7</v>
      </c>
      <c r="L37" s="18">
        <f t="shared" si="4"/>
        <v>-2</v>
      </c>
      <c r="M37" s="18">
        <f>MFP!K36</f>
        <v>8</v>
      </c>
      <c r="N37" s="18">
        <f t="shared" si="5"/>
        <v>7</v>
      </c>
      <c r="O37" s="18">
        <f t="shared" si="6"/>
        <v>1</v>
      </c>
      <c r="P37" s="18">
        <f>DLP!O36</f>
        <v>14</v>
      </c>
      <c r="Q37" s="18">
        <f>DLP!R36</f>
        <v>12</v>
      </c>
      <c r="R37" s="18">
        <f t="shared" si="7"/>
        <v>2</v>
      </c>
      <c r="S37" s="18">
        <f>AIO!P36</f>
        <v>36</v>
      </c>
      <c r="T37" s="18">
        <f t="shared" si="8"/>
        <v>52</v>
      </c>
      <c r="U37" s="18">
        <f t="shared" si="9"/>
        <v>-16</v>
      </c>
      <c r="V37" s="18">
        <f>PAS!J36</f>
        <v>6</v>
      </c>
      <c r="W37" s="18">
        <f t="shared" si="10"/>
        <v>7</v>
      </c>
      <c r="X37" s="18">
        <f t="shared" si="11"/>
        <v>-1</v>
      </c>
    </row>
    <row r="38" spans="1:24" x14ac:dyDescent="0.25">
      <c r="A38" s="15">
        <v>36</v>
      </c>
      <c r="B38" s="19" t="s">
        <v>64</v>
      </c>
      <c r="C38" s="17">
        <f>VLOOKUP(B:B,Courts!B:C,2,FALSE)</f>
        <v>3</v>
      </c>
      <c r="D38" s="17">
        <f>VLOOKUP(B:B,Courts!B:D,3,FALSE)</f>
        <v>0</v>
      </c>
      <c r="E38" s="15">
        <f>VLOOKUP(B:B,Courts!B:E,4,FALSE)</f>
        <v>1</v>
      </c>
      <c r="F38" s="15">
        <f t="shared" si="0"/>
        <v>4</v>
      </c>
      <c r="G38" s="18">
        <f>Scanners!L37</f>
        <v>4</v>
      </c>
      <c r="H38" s="18">
        <f t="shared" si="1"/>
        <v>4</v>
      </c>
      <c r="I38" s="18">
        <f t="shared" si="2"/>
        <v>0</v>
      </c>
      <c r="J38" s="18">
        <f>DisBo!I37</f>
        <v>3</v>
      </c>
      <c r="K38" s="18">
        <f t="shared" si="3"/>
        <v>4</v>
      </c>
      <c r="L38" s="18">
        <f t="shared" si="4"/>
        <v>-1</v>
      </c>
      <c r="M38" s="18">
        <f>MFP!K37</f>
        <v>4</v>
      </c>
      <c r="N38" s="18">
        <f t="shared" si="5"/>
        <v>4</v>
      </c>
      <c r="O38" s="18">
        <f t="shared" si="6"/>
        <v>0</v>
      </c>
      <c r="P38" s="18">
        <f>DLP!O37</f>
        <v>9</v>
      </c>
      <c r="Q38" s="18">
        <f>DLP!R37</f>
        <v>6</v>
      </c>
      <c r="R38" s="18">
        <f t="shared" si="7"/>
        <v>3</v>
      </c>
      <c r="S38" s="18">
        <f>AIO!P37</f>
        <v>20</v>
      </c>
      <c r="T38" s="18">
        <f t="shared" si="8"/>
        <v>28</v>
      </c>
      <c r="U38" s="18">
        <f t="shared" si="9"/>
        <v>-8</v>
      </c>
      <c r="V38" s="18">
        <f>PAS!J37</f>
        <v>4</v>
      </c>
      <c r="W38" s="18">
        <f t="shared" si="10"/>
        <v>4</v>
      </c>
      <c r="X38" s="18">
        <f t="shared" si="11"/>
        <v>0</v>
      </c>
    </row>
    <row r="39" spans="1:24" x14ac:dyDescent="0.25">
      <c r="A39" s="15">
        <v>37</v>
      </c>
      <c r="B39" s="16" t="s">
        <v>65</v>
      </c>
      <c r="C39" s="17">
        <f>VLOOKUP(B:B,Courts!B:C,2,FALSE)</f>
        <v>10</v>
      </c>
      <c r="D39" s="17">
        <f>VLOOKUP(B:B,Courts!B:D,3,FALSE)</f>
        <v>0</v>
      </c>
      <c r="E39" s="15">
        <f>VLOOKUP(B:B,Courts!B:E,4,FALSE)</f>
        <v>0</v>
      </c>
      <c r="F39" s="15">
        <f t="shared" si="0"/>
        <v>10</v>
      </c>
      <c r="G39" s="18">
        <f>Scanners!L38</f>
        <v>13</v>
      </c>
      <c r="H39" s="18">
        <f t="shared" si="1"/>
        <v>10</v>
      </c>
      <c r="I39" s="18">
        <f t="shared" si="2"/>
        <v>3</v>
      </c>
      <c r="J39" s="18">
        <f>DisBo!I38</f>
        <v>8</v>
      </c>
      <c r="K39" s="18">
        <f t="shared" si="3"/>
        <v>10</v>
      </c>
      <c r="L39" s="18">
        <f t="shared" si="4"/>
        <v>-2</v>
      </c>
      <c r="M39" s="18">
        <f>MFP!K38</f>
        <v>10</v>
      </c>
      <c r="N39" s="18">
        <f t="shared" si="5"/>
        <v>10</v>
      </c>
      <c r="O39" s="18">
        <f t="shared" si="6"/>
        <v>0</v>
      </c>
      <c r="P39" s="18">
        <f>DLP!O38</f>
        <v>20</v>
      </c>
      <c r="Q39" s="18">
        <f>DLP!R38</f>
        <v>20</v>
      </c>
      <c r="R39" s="18">
        <f t="shared" si="7"/>
        <v>0</v>
      </c>
      <c r="S39" s="18">
        <f>AIO!P38</f>
        <v>64</v>
      </c>
      <c r="T39" s="18">
        <f t="shared" si="8"/>
        <v>80</v>
      </c>
      <c r="U39" s="18">
        <f t="shared" si="9"/>
        <v>-16</v>
      </c>
      <c r="V39" s="18">
        <f>PAS!J38</f>
        <v>9</v>
      </c>
      <c r="W39" s="18">
        <f t="shared" si="10"/>
        <v>10</v>
      </c>
      <c r="X39" s="18">
        <f t="shared" si="11"/>
        <v>-1</v>
      </c>
    </row>
    <row r="40" spans="1:24" x14ac:dyDescent="0.25">
      <c r="A40" s="15">
        <v>38</v>
      </c>
      <c r="B40" s="19" t="s">
        <v>66</v>
      </c>
      <c r="C40" s="17">
        <f>VLOOKUP(B:B,Courts!B:C,2,FALSE)</f>
        <v>2</v>
      </c>
      <c r="D40" s="17">
        <f>VLOOKUP(B:B,Courts!B:D,3,FALSE)</f>
        <v>0</v>
      </c>
      <c r="E40" s="15">
        <f>VLOOKUP(B:B,Courts!B:E,4,FALSE)</f>
        <v>1</v>
      </c>
      <c r="F40" s="15">
        <f t="shared" si="0"/>
        <v>3</v>
      </c>
      <c r="G40" s="18">
        <f>Scanners!L39</f>
        <v>3</v>
      </c>
      <c r="H40" s="18">
        <f t="shared" si="1"/>
        <v>3</v>
      </c>
      <c r="I40" s="18">
        <f t="shared" si="2"/>
        <v>0</v>
      </c>
      <c r="J40" s="18">
        <f>DisBo!I39</f>
        <v>3</v>
      </c>
      <c r="K40" s="18">
        <f t="shared" si="3"/>
        <v>3</v>
      </c>
      <c r="L40" s="18">
        <f t="shared" si="4"/>
        <v>0</v>
      </c>
      <c r="M40" s="18">
        <f>MFP!K39</f>
        <v>3</v>
      </c>
      <c r="N40" s="18">
        <f t="shared" si="5"/>
        <v>3</v>
      </c>
      <c r="O40" s="18">
        <f t="shared" si="6"/>
        <v>0</v>
      </c>
      <c r="P40" s="18">
        <f>DLP!O39</f>
        <v>5</v>
      </c>
      <c r="Q40" s="18">
        <f>DLP!R39</f>
        <v>4</v>
      </c>
      <c r="R40" s="18">
        <f t="shared" si="7"/>
        <v>1</v>
      </c>
      <c r="S40" s="18">
        <f>AIO!P39</f>
        <v>20</v>
      </c>
      <c r="T40" s="18">
        <f t="shared" si="8"/>
        <v>20</v>
      </c>
      <c r="U40" s="18">
        <f t="shared" si="9"/>
        <v>0</v>
      </c>
      <c r="V40" s="18">
        <f>PAS!J39</f>
        <v>3</v>
      </c>
      <c r="W40" s="18">
        <f t="shared" si="10"/>
        <v>3</v>
      </c>
      <c r="X40" s="18">
        <f t="shared" si="11"/>
        <v>0</v>
      </c>
    </row>
    <row r="41" spans="1:24" x14ac:dyDescent="0.25">
      <c r="A41" s="15">
        <v>39</v>
      </c>
      <c r="B41" s="19" t="s">
        <v>67</v>
      </c>
      <c r="C41" s="17">
        <f>VLOOKUP(B:B,Courts!B:C,2,FALSE)</f>
        <v>3</v>
      </c>
      <c r="D41" s="17">
        <f>VLOOKUP(B:B,Courts!B:D,3,FALSE)</f>
        <v>0</v>
      </c>
      <c r="E41" s="15">
        <f>VLOOKUP(B:B,Courts!B:E,4,FALSE)</f>
        <v>1</v>
      </c>
      <c r="F41" s="15">
        <f t="shared" si="0"/>
        <v>4</v>
      </c>
      <c r="G41" s="18">
        <f>Scanners!L40</f>
        <v>5</v>
      </c>
      <c r="H41" s="18">
        <f t="shared" si="1"/>
        <v>4</v>
      </c>
      <c r="I41" s="18">
        <f t="shared" si="2"/>
        <v>1</v>
      </c>
      <c r="J41" s="18">
        <f>DisBo!I40</f>
        <v>3</v>
      </c>
      <c r="K41" s="18">
        <f t="shared" si="3"/>
        <v>4</v>
      </c>
      <c r="L41" s="18">
        <f t="shared" si="4"/>
        <v>-1</v>
      </c>
      <c r="M41" s="18">
        <f>MFP!K40</f>
        <v>5</v>
      </c>
      <c r="N41" s="18">
        <f t="shared" si="5"/>
        <v>4</v>
      </c>
      <c r="O41" s="18">
        <f t="shared" si="6"/>
        <v>1</v>
      </c>
      <c r="P41" s="18">
        <f>DLP!O40</f>
        <v>8</v>
      </c>
      <c r="Q41" s="18">
        <f>DLP!R40</f>
        <v>6</v>
      </c>
      <c r="R41" s="18">
        <f t="shared" si="7"/>
        <v>2</v>
      </c>
      <c r="S41" s="18">
        <f>AIO!P40</f>
        <v>20</v>
      </c>
      <c r="T41" s="18">
        <f t="shared" si="8"/>
        <v>28</v>
      </c>
      <c r="U41" s="18">
        <f t="shared" si="9"/>
        <v>-8</v>
      </c>
      <c r="V41" s="18">
        <f>PAS!J40</f>
        <v>3</v>
      </c>
      <c r="W41" s="18">
        <f t="shared" si="10"/>
        <v>4</v>
      </c>
      <c r="X41" s="18">
        <f t="shared" si="11"/>
        <v>-1</v>
      </c>
    </row>
    <row r="42" spans="1:24" x14ac:dyDescent="0.25">
      <c r="A42" s="15">
        <v>40</v>
      </c>
      <c r="B42" s="16" t="s">
        <v>68</v>
      </c>
      <c r="C42" s="17">
        <f>VLOOKUP(B:B,Courts!B:C,2,FALSE)</f>
        <v>15</v>
      </c>
      <c r="D42" s="17">
        <f>VLOOKUP(B:B,Courts!B:D,3,FALSE)</f>
        <v>0</v>
      </c>
      <c r="E42" s="15">
        <f>VLOOKUP(B:B,Courts!B:E,4,FALSE)</f>
        <v>0</v>
      </c>
      <c r="F42" s="15">
        <f t="shared" si="0"/>
        <v>15</v>
      </c>
      <c r="G42" s="18">
        <f>Scanners!L41</f>
        <v>17</v>
      </c>
      <c r="H42" s="18">
        <f t="shared" si="1"/>
        <v>15</v>
      </c>
      <c r="I42" s="18">
        <f t="shared" si="2"/>
        <v>2</v>
      </c>
      <c r="J42" s="18">
        <f>DisBo!I41</f>
        <v>13</v>
      </c>
      <c r="K42" s="18">
        <f t="shared" si="3"/>
        <v>15</v>
      </c>
      <c r="L42" s="18">
        <f t="shared" si="4"/>
        <v>-2</v>
      </c>
      <c r="M42" s="18">
        <f>MFP!K41</f>
        <v>15</v>
      </c>
      <c r="N42" s="18">
        <f t="shared" si="5"/>
        <v>15</v>
      </c>
      <c r="O42" s="18">
        <f t="shared" si="6"/>
        <v>0</v>
      </c>
      <c r="P42" s="18">
        <f>DLP!O41</f>
        <v>30</v>
      </c>
      <c r="Q42" s="18">
        <f>DLP!R41</f>
        <v>30</v>
      </c>
      <c r="R42" s="18">
        <f t="shared" si="7"/>
        <v>0</v>
      </c>
      <c r="S42" s="18">
        <f>AIO!P41</f>
        <v>96</v>
      </c>
      <c r="T42" s="18">
        <f t="shared" si="8"/>
        <v>120</v>
      </c>
      <c r="U42" s="18">
        <f t="shared" si="9"/>
        <v>-24</v>
      </c>
      <c r="V42" s="18">
        <f>PAS!J41</f>
        <v>13</v>
      </c>
      <c r="W42" s="18">
        <f t="shared" si="10"/>
        <v>15</v>
      </c>
      <c r="X42" s="18">
        <f t="shared" si="11"/>
        <v>-2</v>
      </c>
    </row>
    <row r="43" spans="1:24" ht="30" x14ac:dyDescent="0.25">
      <c r="A43" s="15">
        <v>41</v>
      </c>
      <c r="B43" s="19" t="s">
        <v>69</v>
      </c>
      <c r="C43" s="17">
        <f>VLOOKUP(B:B,Courts!B:C,2,FALSE)</f>
        <v>2</v>
      </c>
      <c r="D43" s="17">
        <f>VLOOKUP(B:B,Courts!B:D,3,FALSE)</f>
        <v>0</v>
      </c>
      <c r="E43" s="15">
        <f>VLOOKUP(B:B,Courts!B:E,4,FALSE)</f>
        <v>1</v>
      </c>
      <c r="F43" s="15">
        <f t="shared" si="0"/>
        <v>3</v>
      </c>
      <c r="G43" s="18">
        <f>Scanners!L42</f>
        <v>3</v>
      </c>
      <c r="H43" s="18">
        <f t="shared" si="1"/>
        <v>3</v>
      </c>
      <c r="I43" s="18">
        <f t="shared" si="2"/>
        <v>0</v>
      </c>
      <c r="J43" s="18">
        <f>DisBo!I42</f>
        <v>2</v>
      </c>
      <c r="K43" s="18">
        <f t="shared" si="3"/>
        <v>3</v>
      </c>
      <c r="L43" s="18">
        <f t="shared" si="4"/>
        <v>-1</v>
      </c>
      <c r="M43" s="18">
        <f>MFP!K42</f>
        <v>3</v>
      </c>
      <c r="N43" s="18">
        <f t="shared" si="5"/>
        <v>3</v>
      </c>
      <c r="O43" s="18">
        <f t="shared" si="6"/>
        <v>0</v>
      </c>
      <c r="P43" s="18">
        <f>DLP!O42</f>
        <v>4</v>
      </c>
      <c r="Q43" s="18">
        <f>DLP!R42</f>
        <v>4</v>
      </c>
      <c r="R43" s="18">
        <f t="shared" si="7"/>
        <v>0</v>
      </c>
      <c r="S43" s="18">
        <f>AIO!P42</f>
        <v>13</v>
      </c>
      <c r="T43" s="18">
        <f t="shared" si="8"/>
        <v>20</v>
      </c>
      <c r="U43" s="18">
        <f t="shared" si="9"/>
        <v>-7</v>
      </c>
      <c r="V43" s="18">
        <f>PAS!J42</f>
        <v>2</v>
      </c>
      <c r="W43" s="18">
        <f t="shared" si="10"/>
        <v>3</v>
      </c>
      <c r="X43" s="18">
        <f t="shared" si="11"/>
        <v>-1</v>
      </c>
    </row>
    <row r="44" spans="1:24" x14ac:dyDescent="0.25">
      <c r="A44" s="15">
        <v>42</v>
      </c>
      <c r="B44" s="19" t="s">
        <v>70</v>
      </c>
      <c r="C44" s="17">
        <f>VLOOKUP(B:B,Courts!B:C,2,FALSE)</f>
        <v>2</v>
      </c>
      <c r="D44" s="17">
        <f>VLOOKUP(B:B,Courts!B:D,3,FALSE)</f>
        <v>0</v>
      </c>
      <c r="E44" s="15">
        <f>VLOOKUP(B:B,Courts!B:E,4,FALSE)</f>
        <v>1</v>
      </c>
      <c r="F44" s="15">
        <f t="shared" si="0"/>
        <v>3</v>
      </c>
      <c r="G44" s="18">
        <f>Scanners!L43</f>
        <v>3</v>
      </c>
      <c r="H44" s="18">
        <f t="shared" si="1"/>
        <v>3</v>
      </c>
      <c r="I44" s="18">
        <f t="shared" si="2"/>
        <v>0</v>
      </c>
      <c r="J44" s="18">
        <f>DisBo!I43</f>
        <v>2</v>
      </c>
      <c r="K44" s="18">
        <f t="shared" si="3"/>
        <v>3</v>
      </c>
      <c r="L44" s="18">
        <f t="shared" si="4"/>
        <v>-1</v>
      </c>
      <c r="M44" s="18">
        <f>MFP!K43</f>
        <v>3</v>
      </c>
      <c r="N44" s="18">
        <f t="shared" si="5"/>
        <v>3</v>
      </c>
      <c r="O44" s="18">
        <f t="shared" si="6"/>
        <v>0</v>
      </c>
      <c r="P44" s="18">
        <f>DLP!O43</f>
        <v>4</v>
      </c>
      <c r="Q44" s="18">
        <f>DLP!R43</f>
        <v>4</v>
      </c>
      <c r="R44" s="18">
        <f t="shared" si="7"/>
        <v>0</v>
      </c>
      <c r="S44" s="18">
        <f>AIO!P43</f>
        <v>20</v>
      </c>
      <c r="T44" s="18">
        <f t="shared" si="8"/>
        <v>20</v>
      </c>
      <c r="U44" s="18">
        <f t="shared" si="9"/>
        <v>0</v>
      </c>
      <c r="V44" s="18">
        <f>PAS!J43</f>
        <v>3</v>
      </c>
      <c r="W44" s="18">
        <f t="shared" si="10"/>
        <v>3</v>
      </c>
      <c r="X44" s="18">
        <f t="shared" si="11"/>
        <v>0</v>
      </c>
    </row>
    <row r="45" spans="1:24" ht="30" x14ac:dyDescent="0.25">
      <c r="A45" s="15">
        <v>43</v>
      </c>
      <c r="B45" s="19" t="s">
        <v>71</v>
      </c>
      <c r="C45" s="17">
        <f>VLOOKUP(B:B,Courts!B:C,2,FALSE)</f>
        <v>0</v>
      </c>
      <c r="D45" s="17">
        <f>VLOOKUP(B:B,Courts!B:D,3,FALSE)</f>
        <v>0</v>
      </c>
      <c r="E45" s="15">
        <f>VLOOKUP(B:B,Courts!B:E,4,FALSE)</f>
        <v>1</v>
      </c>
      <c r="F45" s="15">
        <f t="shared" si="0"/>
        <v>1</v>
      </c>
      <c r="G45" s="18">
        <f>Scanners!L44</f>
        <v>1</v>
      </c>
      <c r="H45" s="18">
        <f t="shared" si="1"/>
        <v>1</v>
      </c>
      <c r="I45" s="18">
        <f t="shared" si="2"/>
        <v>0</v>
      </c>
      <c r="J45" s="18">
        <f>DisBo!I44</f>
        <v>1</v>
      </c>
      <c r="K45" s="18">
        <f t="shared" si="3"/>
        <v>1</v>
      </c>
      <c r="L45" s="18">
        <f t="shared" si="4"/>
        <v>0</v>
      </c>
      <c r="M45" s="18">
        <f>MFP!K44</f>
        <v>1</v>
      </c>
      <c r="N45" s="18">
        <f t="shared" si="5"/>
        <v>1</v>
      </c>
      <c r="O45" s="18">
        <f t="shared" si="6"/>
        <v>0</v>
      </c>
      <c r="P45" s="18">
        <f>DLP!O44</f>
        <v>0</v>
      </c>
      <c r="Q45" s="18">
        <f>DLP!R44</f>
        <v>0</v>
      </c>
      <c r="R45" s="18">
        <f t="shared" si="7"/>
        <v>0</v>
      </c>
      <c r="S45" s="18">
        <f>AIO!P44</f>
        <v>4</v>
      </c>
      <c r="T45" s="18">
        <f t="shared" si="8"/>
        <v>4</v>
      </c>
      <c r="U45" s="18">
        <f t="shared" si="9"/>
        <v>0</v>
      </c>
      <c r="V45" s="18">
        <f>PAS!J44</f>
        <v>1</v>
      </c>
      <c r="W45" s="18">
        <f t="shared" si="10"/>
        <v>1</v>
      </c>
      <c r="X45" s="18">
        <f t="shared" si="11"/>
        <v>0</v>
      </c>
    </row>
    <row r="46" spans="1:24" x14ac:dyDescent="0.25">
      <c r="A46" s="15">
        <v>44</v>
      </c>
      <c r="B46" s="16" t="s">
        <v>72</v>
      </c>
      <c r="C46" s="17">
        <f>VLOOKUP(B:B,Courts!B:C,2,FALSE)</f>
        <v>13</v>
      </c>
      <c r="D46" s="17">
        <f>VLOOKUP(B:B,Courts!B:D,3,FALSE)</f>
        <v>0</v>
      </c>
      <c r="E46" s="15">
        <f>VLOOKUP(B:B,Courts!B:E,4,FALSE)</f>
        <v>0</v>
      </c>
      <c r="F46" s="15">
        <f t="shared" si="0"/>
        <v>13</v>
      </c>
      <c r="G46" s="18">
        <f>Scanners!L45</f>
        <v>16</v>
      </c>
      <c r="H46" s="18">
        <f t="shared" si="1"/>
        <v>13</v>
      </c>
      <c r="I46" s="18">
        <f t="shared" si="2"/>
        <v>3</v>
      </c>
      <c r="J46" s="18">
        <f>DisBo!I45</f>
        <v>9</v>
      </c>
      <c r="K46" s="18">
        <f t="shared" si="3"/>
        <v>13</v>
      </c>
      <c r="L46" s="18">
        <f t="shared" si="4"/>
        <v>-4</v>
      </c>
      <c r="M46" s="18">
        <f>MFP!K45</f>
        <v>13</v>
      </c>
      <c r="N46" s="18">
        <f t="shared" si="5"/>
        <v>13</v>
      </c>
      <c r="O46" s="18">
        <f t="shared" si="6"/>
        <v>0</v>
      </c>
      <c r="P46" s="18">
        <f>DLP!O45</f>
        <v>26</v>
      </c>
      <c r="Q46" s="18">
        <f>DLP!R45</f>
        <v>26</v>
      </c>
      <c r="R46" s="18">
        <f t="shared" si="7"/>
        <v>0</v>
      </c>
      <c r="S46" s="18">
        <f>AIO!P45</f>
        <v>72</v>
      </c>
      <c r="T46" s="18">
        <f t="shared" si="8"/>
        <v>104</v>
      </c>
      <c r="U46" s="18">
        <f t="shared" si="9"/>
        <v>-32</v>
      </c>
      <c r="V46" s="18">
        <f>PAS!J45</f>
        <v>10</v>
      </c>
      <c r="W46" s="18">
        <f t="shared" si="10"/>
        <v>13</v>
      </c>
      <c r="X46" s="18">
        <f t="shared" si="11"/>
        <v>-3</v>
      </c>
    </row>
    <row r="47" spans="1:24" x14ac:dyDescent="0.25">
      <c r="A47" s="15">
        <v>45</v>
      </c>
      <c r="B47" s="16" t="s">
        <v>73</v>
      </c>
      <c r="C47" s="17">
        <f>VLOOKUP(B:B,Courts!B:C,2,FALSE)</f>
        <v>35</v>
      </c>
      <c r="D47" s="17">
        <f>VLOOKUP(B:B,Courts!B:D,3,FALSE)</f>
        <v>0</v>
      </c>
      <c r="E47" s="15">
        <f>VLOOKUP(B:B,Courts!B:E,4,FALSE)</f>
        <v>0</v>
      </c>
      <c r="F47" s="15">
        <f t="shared" si="0"/>
        <v>35</v>
      </c>
      <c r="G47" s="18">
        <f>Scanners!L46</f>
        <v>38</v>
      </c>
      <c r="H47" s="18">
        <f t="shared" si="1"/>
        <v>35</v>
      </c>
      <c r="I47" s="18">
        <f t="shared" si="2"/>
        <v>3</v>
      </c>
      <c r="J47" s="18">
        <f>DisBo!I46</f>
        <v>25</v>
      </c>
      <c r="K47" s="18">
        <f t="shared" si="3"/>
        <v>35</v>
      </c>
      <c r="L47" s="18">
        <f t="shared" si="4"/>
        <v>-10</v>
      </c>
      <c r="M47" s="18">
        <f>MFP!K46</f>
        <v>36</v>
      </c>
      <c r="N47" s="18">
        <f t="shared" si="5"/>
        <v>35</v>
      </c>
      <c r="O47" s="18">
        <f t="shared" si="6"/>
        <v>1</v>
      </c>
      <c r="P47" s="18">
        <f>DLP!O46</f>
        <v>69</v>
      </c>
      <c r="Q47" s="18">
        <f>DLP!R46</f>
        <v>70</v>
      </c>
      <c r="R47" s="18">
        <f t="shared" si="7"/>
        <v>-1</v>
      </c>
      <c r="S47" s="18">
        <f>AIO!P46</f>
        <v>203</v>
      </c>
      <c r="T47" s="18">
        <f t="shared" si="8"/>
        <v>280</v>
      </c>
      <c r="U47" s="18">
        <f t="shared" si="9"/>
        <v>-77</v>
      </c>
      <c r="V47" s="18">
        <f>PAS!J46</f>
        <v>29</v>
      </c>
      <c r="W47" s="18">
        <f t="shared" si="10"/>
        <v>35</v>
      </c>
      <c r="X47" s="18">
        <f t="shared" si="11"/>
        <v>-6</v>
      </c>
    </row>
    <row r="48" spans="1:24" x14ac:dyDescent="0.25">
      <c r="A48" s="15">
        <v>46</v>
      </c>
      <c r="B48" s="19" t="s">
        <v>74</v>
      </c>
      <c r="C48" s="17">
        <f>VLOOKUP(B:B,Courts!B:C,2,FALSE)</f>
        <v>5</v>
      </c>
      <c r="D48" s="17">
        <f>VLOOKUP(B:B,Courts!B:D,3,FALSE)</f>
        <v>0</v>
      </c>
      <c r="E48" s="15">
        <f>VLOOKUP(B:B,Courts!B:E,4,FALSE)</f>
        <v>1</v>
      </c>
      <c r="F48" s="15">
        <f t="shared" si="0"/>
        <v>6</v>
      </c>
      <c r="G48" s="18">
        <f>Scanners!L47</f>
        <v>8</v>
      </c>
      <c r="H48" s="18">
        <f t="shared" si="1"/>
        <v>6</v>
      </c>
      <c r="I48" s="18">
        <f t="shared" si="2"/>
        <v>2</v>
      </c>
      <c r="J48" s="18">
        <f>DisBo!I47</f>
        <v>5</v>
      </c>
      <c r="K48" s="18">
        <f t="shared" si="3"/>
        <v>6</v>
      </c>
      <c r="L48" s="18">
        <f t="shared" si="4"/>
        <v>-1</v>
      </c>
      <c r="M48" s="18">
        <f>MFP!K47</f>
        <v>8</v>
      </c>
      <c r="N48" s="18">
        <f t="shared" si="5"/>
        <v>6</v>
      </c>
      <c r="O48" s="18">
        <f t="shared" si="6"/>
        <v>2</v>
      </c>
      <c r="P48" s="18">
        <f>DLP!O47</f>
        <v>14</v>
      </c>
      <c r="Q48" s="18">
        <f>DLP!R47</f>
        <v>10</v>
      </c>
      <c r="R48" s="18">
        <f t="shared" si="7"/>
        <v>4</v>
      </c>
      <c r="S48" s="18">
        <f>AIO!P47</f>
        <v>36</v>
      </c>
      <c r="T48" s="18">
        <f t="shared" si="8"/>
        <v>44</v>
      </c>
      <c r="U48" s="18">
        <f t="shared" si="9"/>
        <v>-8</v>
      </c>
      <c r="V48" s="18">
        <f>PAS!J47</f>
        <v>5</v>
      </c>
      <c r="W48" s="18">
        <f t="shared" si="10"/>
        <v>6</v>
      </c>
      <c r="X48" s="18">
        <f t="shared" si="11"/>
        <v>-1</v>
      </c>
    </row>
    <row r="49" spans="1:24" x14ac:dyDescent="0.25">
      <c r="A49" s="15">
        <v>47</v>
      </c>
      <c r="B49" s="19" t="s">
        <v>75</v>
      </c>
      <c r="C49" s="17">
        <f>VLOOKUP(B:B,Courts!B:C,2,FALSE)</f>
        <v>6</v>
      </c>
      <c r="D49" s="17">
        <f>VLOOKUP(B:B,Courts!B:D,3,FALSE)</f>
        <v>0</v>
      </c>
      <c r="E49" s="15">
        <f>VLOOKUP(B:B,Courts!B:E,4,FALSE)</f>
        <v>1</v>
      </c>
      <c r="F49" s="15">
        <f t="shared" si="0"/>
        <v>7</v>
      </c>
      <c r="G49" s="18">
        <f>Scanners!L48</f>
        <v>8</v>
      </c>
      <c r="H49" s="18">
        <f t="shared" si="1"/>
        <v>7</v>
      </c>
      <c r="I49" s="18">
        <f t="shared" si="2"/>
        <v>1</v>
      </c>
      <c r="J49" s="18">
        <f>DisBo!I48</f>
        <v>6</v>
      </c>
      <c r="K49" s="18">
        <f t="shared" si="3"/>
        <v>7</v>
      </c>
      <c r="L49" s="18">
        <f t="shared" si="4"/>
        <v>-1</v>
      </c>
      <c r="M49" s="18">
        <f>MFP!K48</f>
        <v>8</v>
      </c>
      <c r="N49" s="18">
        <f t="shared" si="5"/>
        <v>7</v>
      </c>
      <c r="O49" s="18">
        <f t="shared" si="6"/>
        <v>1</v>
      </c>
      <c r="P49" s="18">
        <f>DLP!O48</f>
        <v>14</v>
      </c>
      <c r="Q49" s="18">
        <f>DLP!R48</f>
        <v>12</v>
      </c>
      <c r="R49" s="18">
        <f t="shared" si="7"/>
        <v>2</v>
      </c>
      <c r="S49" s="18">
        <f>AIO!P48</f>
        <v>44</v>
      </c>
      <c r="T49" s="18">
        <f t="shared" si="8"/>
        <v>52</v>
      </c>
      <c r="U49" s="18">
        <f t="shared" si="9"/>
        <v>-8</v>
      </c>
      <c r="V49" s="18">
        <f>PAS!J48</f>
        <v>7</v>
      </c>
      <c r="W49" s="18">
        <f t="shared" si="10"/>
        <v>7</v>
      </c>
      <c r="X49" s="18">
        <f t="shared" si="11"/>
        <v>0</v>
      </c>
    </row>
    <row r="50" spans="1:24" x14ac:dyDescent="0.25">
      <c r="A50" s="15">
        <v>48</v>
      </c>
      <c r="B50" s="19" t="s">
        <v>76</v>
      </c>
      <c r="C50" s="17">
        <f>VLOOKUP(B:B,Courts!B:C,2,FALSE)</f>
        <v>6</v>
      </c>
      <c r="D50" s="17">
        <f>VLOOKUP(B:B,Courts!B:D,3,FALSE)</f>
        <v>0</v>
      </c>
      <c r="E50" s="15">
        <f>VLOOKUP(B:B,Courts!B:E,4,FALSE)</f>
        <v>1</v>
      </c>
      <c r="F50" s="15">
        <f t="shared" si="0"/>
        <v>7</v>
      </c>
      <c r="G50" s="18">
        <f>Scanners!L49</f>
        <v>8</v>
      </c>
      <c r="H50" s="18">
        <f t="shared" si="1"/>
        <v>7</v>
      </c>
      <c r="I50" s="18">
        <f t="shared" si="2"/>
        <v>1</v>
      </c>
      <c r="J50" s="18">
        <f>DisBo!I49</f>
        <v>5</v>
      </c>
      <c r="K50" s="18">
        <f t="shared" si="3"/>
        <v>7</v>
      </c>
      <c r="L50" s="18">
        <f t="shared" si="4"/>
        <v>-2</v>
      </c>
      <c r="M50" s="18">
        <f>MFP!K49</f>
        <v>7</v>
      </c>
      <c r="N50" s="18">
        <f t="shared" si="5"/>
        <v>7</v>
      </c>
      <c r="O50" s="18">
        <f t="shared" si="6"/>
        <v>0</v>
      </c>
      <c r="P50" s="18">
        <f>DLP!O49</f>
        <v>12</v>
      </c>
      <c r="Q50" s="18">
        <f>DLP!R49</f>
        <v>12</v>
      </c>
      <c r="R50" s="18">
        <f t="shared" si="7"/>
        <v>0</v>
      </c>
      <c r="S50" s="18">
        <f>AIO!P49</f>
        <v>36</v>
      </c>
      <c r="T50" s="18">
        <f t="shared" si="8"/>
        <v>52</v>
      </c>
      <c r="U50" s="18">
        <f t="shared" si="9"/>
        <v>-16</v>
      </c>
      <c r="V50" s="18">
        <f>PAS!J49</f>
        <v>5</v>
      </c>
      <c r="W50" s="18">
        <f t="shared" si="10"/>
        <v>7</v>
      </c>
      <c r="X50" s="18">
        <f t="shared" si="11"/>
        <v>-2</v>
      </c>
    </row>
    <row r="51" spans="1:24" x14ac:dyDescent="0.25">
      <c r="A51" s="15">
        <v>49</v>
      </c>
      <c r="B51" s="16" t="s">
        <v>77</v>
      </c>
      <c r="C51" s="17">
        <f>VLOOKUP(B:B,Courts!B:C,2,FALSE)</f>
        <v>14</v>
      </c>
      <c r="D51" s="17">
        <f>VLOOKUP(B:B,Courts!B:D,3,FALSE)</f>
        <v>0</v>
      </c>
      <c r="E51" s="15">
        <f>VLOOKUP(B:B,Courts!B:E,4,FALSE)</f>
        <v>0</v>
      </c>
      <c r="F51" s="15">
        <f t="shared" si="0"/>
        <v>14</v>
      </c>
      <c r="G51" s="18">
        <f>Scanners!L50</f>
        <v>16</v>
      </c>
      <c r="H51" s="18">
        <f t="shared" si="1"/>
        <v>14</v>
      </c>
      <c r="I51" s="18">
        <f t="shared" si="2"/>
        <v>2</v>
      </c>
      <c r="J51" s="18">
        <f>DisBo!I50</f>
        <v>14</v>
      </c>
      <c r="K51" s="18">
        <f t="shared" si="3"/>
        <v>14</v>
      </c>
      <c r="L51" s="18">
        <f t="shared" si="4"/>
        <v>0</v>
      </c>
      <c r="M51" s="18">
        <f>MFP!K50</f>
        <v>15</v>
      </c>
      <c r="N51" s="18">
        <f t="shared" si="5"/>
        <v>14</v>
      </c>
      <c r="O51" s="18">
        <f t="shared" si="6"/>
        <v>1</v>
      </c>
      <c r="P51" s="18">
        <f>DLP!O50</f>
        <v>28</v>
      </c>
      <c r="Q51" s="18">
        <f>DLP!R50</f>
        <v>28</v>
      </c>
      <c r="R51" s="18">
        <f t="shared" si="7"/>
        <v>0</v>
      </c>
      <c r="S51" s="18">
        <f>AIO!P50</f>
        <v>108</v>
      </c>
      <c r="T51" s="18">
        <f t="shared" si="8"/>
        <v>112</v>
      </c>
      <c r="U51" s="18">
        <f t="shared" si="9"/>
        <v>-4</v>
      </c>
      <c r="V51" s="18">
        <f>PAS!J50</f>
        <v>14</v>
      </c>
      <c r="W51" s="18">
        <f t="shared" si="10"/>
        <v>14</v>
      </c>
      <c r="X51" s="18">
        <f t="shared" si="11"/>
        <v>0</v>
      </c>
    </row>
    <row r="52" spans="1:24" ht="30" x14ac:dyDescent="0.25">
      <c r="A52" s="15">
        <v>50</v>
      </c>
      <c r="B52" s="19" t="s">
        <v>78</v>
      </c>
      <c r="C52" s="17">
        <f>VLOOKUP(B:B,Courts!B:C,2,FALSE)</f>
        <v>3</v>
      </c>
      <c r="D52" s="17">
        <f>VLOOKUP(B:B,Courts!B:D,3,FALSE)</f>
        <v>0</v>
      </c>
      <c r="E52" s="15">
        <f>VLOOKUP(B:B,Courts!B:E,4,FALSE)</f>
        <v>1</v>
      </c>
      <c r="F52" s="15">
        <f t="shared" si="0"/>
        <v>4</v>
      </c>
      <c r="G52" s="18">
        <f>Scanners!L51</f>
        <v>5</v>
      </c>
      <c r="H52" s="18">
        <f t="shared" si="1"/>
        <v>4</v>
      </c>
      <c r="I52" s="18">
        <f t="shared" si="2"/>
        <v>1</v>
      </c>
      <c r="J52" s="18">
        <f>DisBo!I51</f>
        <v>4</v>
      </c>
      <c r="K52" s="18">
        <f t="shared" si="3"/>
        <v>4</v>
      </c>
      <c r="L52" s="18">
        <f t="shared" si="4"/>
        <v>0</v>
      </c>
      <c r="M52" s="18">
        <f>MFP!K51</f>
        <v>5</v>
      </c>
      <c r="N52" s="18">
        <f t="shared" si="5"/>
        <v>4</v>
      </c>
      <c r="O52" s="18">
        <f t="shared" si="6"/>
        <v>1</v>
      </c>
      <c r="P52" s="18">
        <f>DLP!O51</f>
        <v>10</v>
      </c>
      <c r="Q52" s="18">
        <f>DLP!R51</f>
        <v>6</v>
      </c>
      <c r="R52" s="18">
        <f t="shared" si="7"/>
        <v>4</v>
      </c>
      <c r="S52" s="18">
        <f>AIO!P51</f>
        <v>28</v>
      </c>
      <c r="T52" s="18">
        <f t="shared" si="8"/>
        <v>28</v>
      </c>
      <c r="U52" s="18">
        <f t="shared" si="9"/>
        <v>0</v>
      </c>
      <c r="V52" s="18">
        <f>PAS!J51</f>
        <v>5</v>
      </c>
      <c r="W52" s="18">
        <f t="shared" si="10"/>
        <v>4</v>
      </c>
      <c r="X52" s="18">
        <f t="shared" si="11"/>
        <v>1</v>
      </c>
    </row>
    <row r="53" spans="1:24" x14ac:dyDescent="0.25">
      <c r="A53" s="15">
        <v>51</v>
      </c>
      <c r="B53" s="19" t="s">
        <v>79</v>
      </c>
      <c r="C53" s="17">
        <f>VLOOKUP(B:B,Courts!B:C,2,FALSE)</f>
        <v>2</v>
      </c>
      <c r="D53" s="17">
        <f>VLOOKUP(B:B,Courts!B:D,3,FALSE)</f>
        <v>0</v>
      </c>
      <c r="E53" s="15">
        <f>VLOOKUP(B:B,Courts!B:E,4,FALSE)</f>
        <v>1</v>
      </c>
      <c r="F53" s="15">
        <f t="shared" si="0"/>
        <v>3</v>
      </c>
      <c r="G53" s="18">
        <f>Scanners!L52</f>
        <v>2</v>
      </c>
      <c r="H53" s="18">
        <f t="shared" si="1"/>
        <v>3</v>
      </c>
      <c r="I53" s="18">
        <f t="shared" si="2"/>
        <v>-1</v>
      </c>
      <c r="J53" s="18">
        <f>DisBo!I52</f>
        <v>2</v>
      </c>
      <c r="K53" s="18">
        <f t="shared" si="3"/>
        <v>3</v>
      </c>
      <c r="L53" s="18">
        <f t="shared" si="4"/>
        <v>-1</v>
      </c>
      <c r="M53" s="18">
        <f>MFP!K52</f>
        <v>3</v>
      </c>
      <c r="N53" s="18">
        <f t="shared" si="5"/>
        <v>3</v>
      </c>
      <c r="O53" s="18">
        <f t="shared" si="6"/>
        <v>0</v>
      </c>
      <c r="P53" s="18">
        <f>DLP!O52</f>
        <v>2</v>
      </c>
      <c r="Q53" s="18">
        <f>DLP!R52</f>
        <v>4</v>
      </c>
      <c r="R53" s="18">
        <f t="shared" si="7"/>
        <v>-2</v>
      </c>
      <c r="S53" s="18">
        <f>AIO!P52</f>
        <v>20</v>
      </c>
      <c r="T53" s="18">
        <f t="shared" si="8"/>
        <v>20</v>
      </c>
      <c r="U53" s="18">
        <f t="shared" si="9"/>
        <v>0</v>
      </c>
      <c r="V53" s="18">
        <f>PAS!J52</f>
        <v>2</v>
      </c>
      <c r="W53" s="18">
        <f t="shared" si="10"/>
        <v>3</v>
      </c>
      <c r="X53" s="18">
        <f t="shared" si="11"/>
        <v>-1</v>
      </c>
    </row>
    <row r="54" spans="1:24" ht="30" x14ac:dyDescent="0.25">
      <c r="A54" s="15">
        <v>52</v>
      </c>
      <c r="B54" s="19" t="s">
        <v>80</v>
      </c>
      <c r="C54" s="17">
        <f>VLOOKUP(B:B,Courts!B:C,2,FALSE)</f>
        <v>0</v>
      </c>
      <c r="D54" s="17">
        <f>VLOOKUP(B:B,Courts!B:D,3,FALSE)</f>
        <v>0</v>
      </c>
      <c r="E54" s="15">
        <f>VLOOKUP(B:B,Courts!B:E,4,FALSE)</f>
        <v>1</v>
      </c>
      <c r="F54" s="15">
        <f t="shared" si="0"/>
        <v>1</v>
      </c>
      <c r="G54" s="18">
        <f>Scanners!L53</f>
        <v>1</v>
      </c>
      <c r="H54" s="18">
        <f t="shared" si="1"/>
        <v>1</v>
      </c>
      <c r="I54" s="18">
        <f t="shared" si="2"/>
        <v>0</v>
      </c>
      <c r="J54" s="18">
        <f>DisBo!I53</f>
        <v>1</v>
      </c>
      <c r="K54" s="18">
        <f t="shared" si="3"/>
        <v>1</v>
      </c>
      <c r="L54" s="18">
        <f t="shared" si="4"/>
        <v>0</v>
      </c>
      <c r="M54" s="18">
        <f>MFP!K53</f>
        <v>1</v>
      </c>
      <c r="N54" s="18">
        <f t="shared" si="5"/>
        <v>1</v>
      </c>
      <c r="O54" s="18">
        <f t="shared" si="6"/>
        <v>0</v>
      </c>
      <c r="P54" s="18">
        <f>DLP!O53</f>
        <v>2</v>
      </c>
      <c r="Q54" s="18">
        <f>DLP!R53</f>
        <v>0</v>
      </c>
      <c r="R54" s="18">
        <f t="shared" si="7"/>
        <v>2</v>
      </c>
      <c r="S54" s="18">
        <f>AIO!P53</f>
        <v>5</v>
      </c>
      <c r="T54" s="18">
        <f t="shared" si="8"/>
        <v>4</v>
      </c>
      <c r="U54" s="18">
        <f t="shared" si="9"/>
        <v>1</v>
      </c>
      <c r="V54" s="18">
        <f>PAS!J53</f>
        <v>2</v>
      </c>
      <c r="W54" s="18">
        <f t="shared" si="10"/>
        <v>1</v>
      </c>
      <c r="X54" s="18">
        <f t="shared" si="11"/>
        <v>1</v>
      </c>
    </row>
    <row r="55" spans="1:24" x14ac:dyDescent="0.25">
      <c r="A55" s="15">
        <v>53</v>
      </c>
      <c r="B55" s="16" t="s">
        <v>81</v>
      </c>
      <c r="C55" s="17">
        <f>VLOOKUP(B:B,Courts!B:C,2,FALSE)</f>
        <v>22</v>
      </c>
      <c r="D55" s="17">
        <f>VLOOKUP(B:B,Courts!B:D,3,FALSE)</f>
        <v>0</v>
      </c>
      <c r="E55" s="15">
        <f>VLOOKUP(B:B,Courts!B:E,4,FALSE)</f>
        <v>0</v>
      </c>
      <c r="F55" s="15">
        <f t="shared" si="0"/>
        <v>22</v>
      </c>
      <c r="G55" s="18">
        <f>Scanners!L54</f>
        <v>25</v>
      </c>
      <c r="H55" s="18">
        <f t="shared" si="1"/>
        <v>22</v>
      </c>
      <c r="I55" s="18">
        <f t="shared" si="2"/>
        <v>3</v>
      </c>
      <c r="J55" s="18">
        <f>DisBo!I54</f>
        <v>19</v>
      </c>
      <c r="K55" s="18">
        <f t="shared" si="3"/>
        <v>22</v>
      </c>
      <c r="L55" s="18">
        <f t="shared" si="4"/>
        <v>-3</v>
      </c>
      <c r="M55" s="18">
        <f>MFP!K54</f>
        <v>22</v>
      </c>
      <c r="N55" s="18">
        <f t="shared" si="5"/>
        <v>22</v>
      </c>
      <c r="O55" s="18">
        <f t="shared" si="6"/>
        <v>0</v>
      </c>
      <c r="P55" s="18">
        <f>DLP!O54</f>
        <v>42</v>
      </c>
      <c r="Q55" s="18">
        <f>DLP!R54</f>
        <v>44</v>
      </c>
      <c r="R55" s="18">
        <f t="shared" si="7"/>
        <v>-2</v>
      </c>
      <c r="S55" s="18">
        <f>AIO!P54</f>
        <v>136</v>
      </c>
      <c r="T55" s="18">
        <f t="shared" si="8"/>
        <v>176</v>
      </c>
      <c r="U55" s="18">
        <f t="shared" si="9"/>
        <v>-40</v>
      </c>
      <c r="V55" s="18">
        <f>PAS!J54</f>
        <v>20</v>
      </c>
      <c r="W55" s="18">
        <f t="shared" si="10"/>
        <v>22</v>
      </c>
      <c r="X55" s="18">
        <f t="shared" si="11"/>
        <v>-2</v>
      </c>
    </row>
    <row r="56" spans="1:24" x14ac:dyDescent="0.25">
      <c r="A56" s="15">
        <v>54</v>
      </c>
      <c r="B56" s="19" t="s">
        <v>82</v>
      </c>
      <c r="C56" s="17">
        <f>VLOOKUP(B:B,Courts!B:C,2,FALSE)</f>
        <v>9</v>
      </c>
      <c r="D56" s="17">
        <f>VLOOKUP(B:B,Courts!B:D,3,FALSE)</f>
        <v>0</v>
      </c>
      <c r="E56" s="15">
        <f>VLOOKUP(B:B,Courts!B:E,4,FALSE)</f>
        <v>1</v>
      </c>
      <c r="F56" s="15">
        <f t="shared" si="0"/>
        <v>10</v>
      </c>
      <c r="G56" s="18">
        <f>Scanners!L55</f>
        <v>10</v>
      </c>
      <c r="H56" s="18">
        <f t="shared" si="1"/>
        <v>10</v>
      </c>
      <c r="I56" s="18">
        <f t="shared" si="2"/>
        <v>0</v>
      </c>
      <c r="J56" s="18">
        <f>DisBo!I55</f>
        <v>3</v>
      </c>
      <c r="K56" s="18">
        <f t="shared" si="3"/>
        <v>10</v>
      </c>
      <c r="L56" s="18">
        <f t="shared" si="4"/>
        <v>-7</v>
      </c>
      <c r="M56" s="18">
        <f>MFP!K55</f>
        <v>10</v>
      </c>
      <c r="N56" s="18">
        <f t="shared" si="5"/>
        <v>10</v>
      </c>
      <c r="O56" s="18">
        <f t="shared" si="6"/>
        <v>0</v>
      </c>
      <c r="P56" s="18">
        <f>DLP!O55</f>
        <v>18</v>
      </c>
      <c r="Q56" s="18">
        <f>DLP!R55</f>
        <v>18</v>
      </c>
      <c r="R56" s="18">
        <f t="shared" si="7"/>
        <v>0</v>
      </c>
      <c r="S56" s="18">
        <f>AIO!P55</f>
        <v>28</v>
      </c>
      <c r="T56" s="18">
        <f t="shared" si="8"/>
        <v>76</v>
      </c>
      <c r="U56" s="18">
        <f t="shared" si="9"/>
        <v>-48</v>
      </c>
      <c r="V56" s="18">
        <f>PAS!J55</f>
        <v>4</v>
      </c>
      <c r="W56" s="18">
        <f t="shared" si="10"/>
        <v>10</v>
      </c>
      <c r="X56" s="18">
        <f t="shared" si="11"/>
        <v>-6</v>
      </c>
    </row>
    <row r="57" spans="1:24" x14ac:dyDescent="0.25">
      <c r="A57" s="15">
        <v>55</v>
      </c>
      <c r="B57" s="19" t="s">
        <v>83</v>
      </c>
      <c r="C57" s="17">
        <f>VLOOKUP(B:B,Courts!B:C,2,FALSE)</f>
        <v>8</v>
      </c>
      <c r="D57" s="17">
        <f>VLOOKUP(B:B,Courts!B:D,3,FALSE)</f>
        <v>0</v>
      </c>
      <c r="E57" s="15">
        <f>VLOOKUP(B:B,Courts!B:E,4,FALSE)</f>
        <v>1</v>
      </c>
      <c r="F57" s="15">
        <f t="shared" si="0"/>
        <v>9</v>
      </c>
      <c r="G57" s="18">
        <f>Scanners!L56</f>
        <v>9</v>
      </c>
      <c r="H57" s="18">
        <f t="shared" si="1"/>
        <v>9</v>
      </c>
      <c r="I57" s="18">
        <f t="shared" si="2"/>
        <v>0</v>
      </c>
      <c r="J57" s="18">
        <f>DisBo!I56</f>
        <v>5</v>
      </c>
      <c r="K57" s="18">
        <f t="shared" si="3"/>
        <v>9</v>
      </c>
      <c r="L57" s="18">
        <f t="shared" si="4"/>
        <v>-4</v>
      </c>
      <c r="M57" s="18">
        <f>MFP!K56</f>
        <v>9</v>
      </c>
      <c r="N57" s="18">
        <f t="shared" si="5"/>
        <v>9</v>
      </c>
      <c r="O57" s="18">
        <f t="shared" si="6"/>
        <v>0</v>
      </c>
      <c r="P57" s="18">
        <f>DLP!O56</f>
        <v>16</v>
      </c>
      <c r="Q57" s="18">
        <f>DLP!R56</f>
        <v>16</v>
      </c>
      <c r="R57" s="18">
        <f t="shared" si="7"/>
        <v>0</v>
      </c>
      <c r="S57" s="18">
        <f>AIO!P56</f>
        <v>44</v>
      </c>
      <c r="T57" s="18">
        <f t="shared" si="8"/>
        <v>68</v>
      </c>
      <c r="U57" s="18">
        <f t="shared" si="9"/>
        <v>-24</v>
      </c>
      <c r="V57" s="18">
        <f>PAS!J56</f>
        <v>5</v>
      </c>
      <c r="W57" s="18">
        <f t="shared" si="10"/>
        <v>9</v>
      </c>
      <c r="X57" s="18">
        <f t="shared" si="11"/>
        <v>-4</v>
      </c>
    </row>
    <row r="58" spans="1:24" x14ac:dyDescent="0.25">
      <c r="A58" s="15">
        <v>56</v>
      </c>
      <c r="B58" s="16" t="s">
        <v>84</v>
      </c>
      <c r="C58" s="17">
        <f>VLOOKUP(B:B,Courts!B:C,2,FALSE)</f>
        <v>17</v>
      </c>
      <c r="D58" s="17">
        <f>VLOOKUP(B:B,Courts!B:D,3,FALSE)</f>
        <v>0</v>
      </c>
      <c r="E58" s="15">
        <f>VLOOKUP(B:B,Courts!B:E,4,FALSE)</f>
        <v>0</v>
      </c>
      <c r="F58" s="15">
        <f t="shared" si="0"/>
        <v>17</v>
      </c>
      <c r="G58" s="18">
        <f>Scanners!L57</f>
        <v>18</v>
      </c>
      <c r="H58" s="18">
        <f t="shared" si="1"/>
        <v>17</v>
      </c>
      <c r="I58" s="18">
        <f t="shared" si="2"/>
        <v>1</v>
      </c>
      <c r="J58" s="18">
        <f>DisBo!I57</f>
        <v>16</v>
      </c>
      <c r="K58" s="18">
        <f t="shared" si="3"/>
        <v>17</v>
      </c>
      <c r="L58" s="18">
        <f t="shared" si="4"/>
        <v>-1</v>
      </c>
      <c r="M58" s="18">
        <f>MFP!K57</f>
        <v>17</v>
      </c>
      <c r="N58" s="18">
        <f t="shared" si="5"/>
        <v>17</v>
      </c>
      <c r="O58" s="18">
        <f t="shared" si="6"/>
        <v>0</v>
      </c>
      <c r="P58" s="18">
        <f>DLP!O57</f>
        <v>40</v>
      </c>
      <c r="Q58" s="18">
        <f>DLP!R57</f>
        <v>34</v>
      </c>
      <c r="R58" s="18">
        <f t="shared" si="7"/>
        <v>6</v>
      </c>
      <c r="S58" s="18">
        <f>AIO!P57</f>
        <v>120</v>
      </c>
      <c r="T58" s="18">
        <f t="shared" si="8"/>
        <v>136</v>
      </c>
      <c r="U58" s="18">
        <f t="shared" si="9"/>
        <v>-16</v>
      </c>
      <c r="V58" s="18">
        <f>PAS!J57</f>
        <v>6</v>
      </c>
      <c r="W58" s="18">
        <f t="shared" si="10"/>
        <v>17</v>
      </c>
      <c r="X58" s="18">
        <f t="shared" si="11"/>
        <v>-11</v>
      </c>
    </row>
    <row r="59" spans="1:24" x14ac:dyDescent="0.25">
      <c r="A59" s="15">
        <v>57</v>
      </c>
      <c r="B59" s="19" t="s">
        <v>85</v>
      </c>
      <c r="C59" s="17">
        <f>VLOOKUP(B:B,Courts!B:C,2,FALSE)</f>
        <v>7</v>
      </c>
      <c r="D59" s="17">
        <f>VLOOKUP(B:B,Courts!B:D,3,FALSE)</f>
        <v>0</v>
      </c>
      <c r="E59" s="15">
        <f>VLOOKUP(B:B,Courts!B:E,4,FALSE)</f>
        <v>1</v>
      </c>
      <c r="F59" s="15">
        <f t="shared" si="0"/>
        <v>8</v>
      </c>
      <c r="G59" s="18">
        <f>Scanners!L58</f>
        <v>7</v>
      </c>
      <c r="H59" s="18">
        <f t="shared" si="1"/>
        <v>8</v>
      </c>
      <c r="I59" s="18">
        <f t="shared" si="2"/>
        <v>-1</v>
      </c>
      <c r="J59" s="18">
        <f>DisBo!I58</f>
        <v>6</v>
      </c>
      <c r="K59" s="18">
        <f t="shared" si="3"/>
        <v>8</v>
      </c>
      <c r="L59" s="18">
        <f t="shared" si="4"/>
        <v>-2</v>
      </c>
      <c r="M59" s="18">
        <f>MFP!K58</f>
        <v>7</v>
      </c>
      <c r="N59" s="18">
        <f t="shared" si="5"/>
        <v>8</v>
      </c>
      <c r="O59" s="18">
        <f t="shared" si="6"/>
        <v>-1</v>
      </c>
      <c r="P59" s="18">
        <f>DLP!O58</f>
        <v>12</v>
      </c>
      <c r="Q59" s="18">
        <f>DLP!R58</f>
        <v>14</v>
      </c>
      <c r="R59" s="18">
        <f t="shared" si="7"/>
        <v>-2</v>
      </c>
      <c r="S59" s="18">
        <f>AIO!P58</f>
        <v>44</v>
      </c>
      <c r="T59" s="18">
        <f t="shared" si="8"/>
        <v>60</v>
      </c>
      <c r="U59" s="18">
        <f t="shared" si="9"/>
        <v>-16</v>
      </c>
      <c r="V59" s="18">
        <f>PAS!J58</f>
        <v>1</v>
      </c>
      <c r="W59" s="18">
        <f t="shared" si="10"/>
        <v>8</v>
      </c>
      <c r="X59" s="18">
        <f t="shared" si="11"/>
        <v>-7</v>
      </c>
    </row>
    <row r="60" spans="1:24" x14ac:dyDescent="0.25">
      <c r="A60" s="15">
        <v>58</v>
      </c>
      <c r="B60" s="19" t="s">
        <v>86</v>
      </c>
      <c r="C60" s="17">
        <f>VLOOKUP(B:B,Courts!B:C,2,FALSE)</f>
        <v>5</v>
      </c>
      <c r="D60" s="17">
        <f>VLOOKUP(B:B,Courts!B:D,3,FALSE)</f>
        <v>0</v>
      </c>
      <c r="E60" s="15">
        <f>VLOOKUP(B:B,Courts!B:E,4,FALSE)</f>
        <v>1</v>
      </c>
      <c r="F60" s="15">
        <f t="shared" si="0"/>
        <v>6</v>
      </c>
      <c r="G60" s="18">
        <f>Scanners!L59</f>
        <v>6</v>
      </c>
      <c r="H60" s="18">
        <f t="shared" si="1"/>
        <v>6</v>
      </c>
      <c r="I60" s="18">
        <f t="shared" si="2"/>
        <v>0</v>
      </c>
      <c r="J60" s="18">
        <f>DisBo!I59</f>
        <v>5</v>
      </c>
      <c r="K60" s="18">
        <f t="shared" si="3"/>
        <v>6</v>
      </c>
      <c r="L60" s="18">
        <f t="shared" si="4"/>
        <v>-1</v>
      </c>
      <c r="M60" s="18">
        <f>MFP!K59</f>
        <v>5</v>
      </c>
      <c r="N60" s="18">
        <f t="shared" si="5"/>
        <v>6</v>
      </c>
      <c r="O60" s="18">
        <f t="shared" si="6"/>
        <v>-1</v>
      </c>
      <c r="P60" s="18">
        <f>DLP!O59</f>
        <v>9</v>
      </c>
      <c r="Q60" s="18">
        <f>DLP!R59</f>
        <v>10</v>
      </c>
      <c r="R60" s="18">
        <f t="shared" si="7"/>
        <v>-1</v>
      </c>
      <c r="S60" s="18">
        <f>AIO!P59</f>
        <v>36</v>
      </c>
      <c r="T60" s="18">
        <f t="shared" si="8"/>
        <v>44</v>
      </c>
      <c r="U60" s="18">
        <f t="shared" si="9"/>
        <v>-8</v>
      </c>
      <c r="V60" s="18">
        <f>PAS!J59</f>
        <v>1</v>
      </c>
      <c r="W60" s="18">
        <f t="shared" si="10"/>
        <v>6</v>
      </c>
      <c r="X60" s="18">
        <f t="shared" si="11"/>
        <v>-5</v>
      </c>
    </row>
    <row r="61" spans="1:24" x14ac:dyDescent="0.25">
      <c r="A61" s="15">
        <v>59</v>
      </c>
      <c r="B61" s="19" t="s">
        <v>87</v>
      </c>
      <c r="C61" s="17">
        <f>VLOOKUP(B:B,Courts!B:C,2,FALSE)</f>
        <v>3</v>
      </c>
      <c r="D61" s="17">
        <f>VLOOKUP(B:B,Courts!B:D,3,FALSE)</f>
        <v>0</v>
      </c>
      <c r="E61" s="15">
        <f>VLOOKUP(B:B,Courts!B:E,4,FALSE)</f>
        <v>1</v>
      </c>
      <c r="F61" s="15">
        <f t="shared" si="0"/>
        <v>4</v>
      </c>
      <c r="G61" s="18">
        <f>Scanners!L60</f>
        <v>4</v>
      </c>
      <c r="H61" s="18">
        <f t="shared" si="1"/>
        <v>4</v>
      </c>
      <c r="I61" s="18">
        <f t="shared" si="2"/>
        <v>0</v>
      </c>
      <c r="J61" s="18">
        <f>DisBo!I60</f>
        <v>3</v>
      </c>
      <c r="K61" s="18">
        <f t="shared" si="3"/>
        <v>4</v>
      </c>
      <c r="L61" s="18">
        <f t="shared" si="4"/>
        <v>-1</v>
      </c>
      <c r="M61" s="18">
        <f>MFP!K60</f>
        <v>4</v>
      </c>
      <c r="N61" s="18">
        <f t="shared" si="5"/>
        <v>4</v>
      </c>
      <c r="O61" s="18">
        <f t="shared" si="6"/>
        <v>0</v>
      </c>
      <c r="P61" s="18">
        <f>DLP!O60</f>
        <v>7</v>
      </c>
      <c r="Q61" s="18">
        <f>DLP!R60</f>
        <v>6</v>
      </c>
      <c r="R61" s="18">
        <f t="shared" si="7"/>
        <v>1</v>
      </c>
      <c r="S61" s="18">
        <f>AIO!P60</f>
        <v>21</v>
      </c>
      <c r="T61" s="18">
        <f t="shared" si="8"/>
        <v>28</v>
      </c>
      <c r="U61" s="18">
        <f t="shared" si="9"/>
        <v>-7</v>
      </c>
      <c r="V61" s="18">
        <f>PAS!J60</f>
        <v>1</v>
      </c>
      <c r="W61" s="18">
        <f t="shared" si="10"/>
        <v>4</v>
      </c>
      <c r="X61" s="18">
        <f t="shared" si="11"/>
        <v>-3</v>
      </c>
    </row>
    <row r="62" spans="1:24" x14ac:dyDescent="0.25">
      <c r="A62" s="15">
        <v>60</v>
      </c>
      <c r="B62" s="19" t="s">
        <v>88</v>
      </c>
      <c r="C62" s="17">
        <f>VLOOKUP(B:B,Courts!B:C,2,FALSE)</f>
        <v>5</v>
      </c>
      <c r="D62" s="17">
        <f>VLOOKUP(B:B,Courts!B:D,3,FALSE)</f>
        <v>0</v>
      </c>
      <c r="E62" s="15">
        <f>VLOOKUP(B:B,Courts!B:E,4,FALSE)</f>
        <v>1</v>
      </c>
      <c r="F62" s="15">
        <f t="shared" si="0"/>
        <v>6</v>
      </c>
      <c r="G62" s="18">
        <f>Scanners!L61</f>
        <v>7</v>
      </c>
      <c r="H62" s="18">
        <f t="shared" si="1"/>
        <v>6</v>
      </c>
      <c r="I62" s="18">
        <f t="shared" si="2"/>
        <v>1</v>
      </c>
      <c r="J62" s="18">
        <f>DisBo!I61</f>
        <v>3</v>
      </c>
      <c r="K62" s="18">
        <f t="shared" si="3"/>
        <v>6</v>
      </c>
      <c r="L62" s="18">
        <f t="shared" si="4"/>
        <v>-3</v>
      </c>
      <c r="M62" s="18">
        <f>MFP!K61</f>
        <v>7</v>
      </c>
      <c r="N62" s="18">
        <f t="shared" si="5"/>
        <v>6</v>
      </c>
      <c r="O62" s="18">
        <f t="shared" si="6"/>
        <v>1</v>
      </c>
      <c r="P62" s="18">
        <f>DLP!O61</f>
        <v>12</v>
      </c>
      <c r="Q62" s="18">
        <f>DLP!R61</f>
        <v>10</v>
      </c>
      <c r="R62" s="18">
        <f t="shared" si="7"/>
        <v>2</v>
      </c>
      <c r="S62" s="18">
        <f>AIO!P61</f>
        <v>20</v>
      </c>
      <c r="T62" s="18">
        <f t="shared" si="8"/>
        <v>44</v>
      </c>
      <c r="U62" s="18">
        <f t="shared" si="9"/>
        <v>-24</v>
      </c>
      <c r="V62" s="18">
        <f>PAS!J61</f>
        <v>1</v>
      </c>
      <c r="W62" s="18">
        <f t="shared" si="10"/>
        <v>6</v>
      </c>
      <c r="X62" s="18">
        <f t="shared" si="11"/>
        <v>-5</v>
      </c>
    </row>
    <row r="63" spans="1:24" ht="25.5" x14ac:dyDescent="0.25">
      <c r="A63" s="15">
        <v>61</v>
      </c>
      <c r="B63" s="16" t="s">
        <v>89</v>
      </c>
      <c r="C63" s="17">
        <f>VLOOKUP(B:B,Courts!B:C,2,FALSE)</f>
        <v>9</v>
      </c>
      <c r="D63" s="17">
        <f>VLOOKUP(B:B,Courts!B:D,3,FALSE)</f>
        <v>0</v>
      </c>
      <c r="E63" s="15">
        <f>VLOOKUP(B:B,Courts!B:E,4,FALSE)</f>
        <v>0</v>
      </c>
      <c r="F63" s="15">
        <f t="shared" si="0"/>
        <v>9</v>
      </c>
      <c r="G63" s="18">
        <f>Scanners!L62</f>
        <v>10</v>
      </c>
      <c r="H63" s="18">
        <f t="shared" si="1"/>
        <v>9</v>
      </c>
      <c r="I63" s="18">
        <f t="shared" si="2"/>
        <v>1</v>
      </c>
      <c r="J63" s="18">
        <f>DisBo!I62</f>
        <v>7</v>
      </c>
      <c r="K63" s="18">
        <f t="shared" si="3"/>
        <v>9</v>
      </c>
      <c r="L63" s="18">
        <f t="shared" si="4"/>
        <v>-2</v>
      </c>
      <c r="M63" s="18">
        <f>MFP!K62</f>
        <v>9</v>
      </c>
      <c r="N63" s="18">
        <f t="shared" si="5"/>
        <v>9</v>
      </c>
      <c r="O63" s="18">
        <f t="shared" si="6"/>
        <v>0</v>
      </c>
      <c r="P63" s="18">
        <f>DLP!O62</f>
        <v>18</v>
      </c>
      <c r="Q63" s="18">
        <f>DLP!R62</f>
        <v>18</v>
      </c>
      <c r="R63" s="18">
        <f t="shared" si="7"/>
        <v>0</v>
      </c>
      <c r="S63" s="18">
        <f>AIO!P62</f>
        <v>56</v>
      </c>
      <c r="T63" s="18">
        <f t="shared" si="8"/>
        <v>72</v>
      </c>
      <c r="U63" s="18">
        <f t="shared" si="9"/>
        <v>-16</v>
      </c>
      <c r="V63" s="18">
        <f>PAS!J62</f>
        <v>8</v>
      </c>
      <c r="W63" s="18">
        <f t="shared" si="10"/>
        <v>9</v>
      </c>
      <c r="X63" s="18">
        <f t="shared" si="11"/>
        <v>-1</v>
      </c>
    </row>
    <row r="64" spans="1:24" x14ac:dyDescent="0.25">
      <c r="A64" s="15">
        <v>62</v>
      </c>
      <c r="B64" s="19" t="s">
        <v>90</v>
      </c>
      <c r="C64" s="17">
        <f>VLOOKUP(B:B,Courts!B:C,2,FALSE)</f>
        <v>3</v>
      </c>
      <c r="D64" s="17">
        <f>VLOOKUP(B:B,Courts!B:D,3,FALSE)</f>
        <v>0</v>
      </c>
      <c r="E64" s="15">
        <f>VLOOKUP(B:B,Courts!B:E,4,FALSE)</f>
        <v>1</v>
      </c>
      <c r="F64" s="15">
        <f t="shared" si="0"/>
        <v>4</v>
      </c>
      <c r="G64" s="18">
        <f>Scanners!L63</f>
        <v>5</v>
      </c>
      <c r="H64" s="18">
        <f t="shared" si="1"/>
        <v>4</v>
      </c>
      <c r="I64" s="18">
        <f t="shared" si="2"/>
        <v>1</v>
      </c>
      <c r="J64" s="18">
        <f>DisBo!I63</f>
        <v>3</v>
      </c>
      <c r="K64" s="18">
        <f t="shared" si="3"/>
        <v>4</v>
      </c>
      <c r="L64" s="18">
        <f t="shared" si="4"/>
        <v>-1</v>
      </c>
      <c r="M64" s="18">
        <f>MFP!K63</f>
        <v>5</v>
      </c>
      <c r="N64" s="18">
        <f t="shared" si="5"/>
        <v>4</v>
      </c>
      <c r="O64" s="18">
        <f t="shared" si="6"/>
        <v>1</v>
      </c>
      <c r="P64" s="18">
        <f>DLP!O63</f>
        <v>8</v>
      </c>
      <c r="Q64" s="18">
        <f>DLP!R63</f>
        <v>6</v>
      </c>
      <c r="R64" s="18">
        <f t="shared" si="7"/>
        <v>2</v>
      </c>
      <c r="S64" s="18">
        <f>AIO!P63</f>
        <v>20</v>
      </c>
      <c r="T64" s="18">
        <f t="shared" si="8"/>
        <v>28</v>
      </c>
      <c r="U64" s="18">
        <f t="shared" si="9"/>
        <v>-8</v>
      </c>
      <c r="V64" s="18">
        <f>PAS!J63</f>
        <v>3</v>
      </c>
      <c r="W64" s="18">
        <f t="shared" si="10"/>
        <v>4</v>
      </c>
      <c r="X64" s="18">
        <f t="shared" si="11"/>
        <v>-1</v>
      </c>
    </row>
    <row r="65" spans="1:24" x14ac:dyDescent="0.25">
      <c r="A65" s="15">
        <v>63</v>
      </c>
      <c r="B65" s="19" t="s">
        <v>91</v>
      </c>
      <c r="C65" s="17">
        <f>VLOOKUP(B:B,Courts!B:C,2,FALSE)</f>
        <v>6</v>
      </c>
      <c r="D65" s="17">
        <f>VLOOKUP(B:B,Courts!B:D,3,FALSE)</f>
        <v>0</v>
      </c>
      <c r="E65" s="15">
        <f>VLOOKUP(B:B,Courts!B:E,4,FALSE)</f>
        <v>1</v>
      </c>
      <c r="F65" s="15">
        <f t="shared" si="0"/>
        <v>7</v>
      </c>
      <c r="G65" s="18">
        <f>Scanners!L64</f>
        <v>7</v>
      </c>
      <c r="H65" s="18">
        <f t="shared" si="1"/>
        <v>7</v>
      </c>
      <c r="I65" s="18">
        <f t="shared" si="2"/>
        <v>0</v>
      </c>
      <c r="J65" s="18">
        <f>DisBo!I64</f>
        <v>4</v>
      </c>
      <c r="K65" s="18">
        <f t="shared" si="3"/>
        <v>7</v>
      </c>
      <c r="L65" s="18">
        <f t="shared" si="4"/>
        <v>-3</v>
      </c>
      <c r="M65" s="18">
        <f>MFP!K64</f>
        <v>7</v>
      </c>
      <c r="N65" s="18">
        <f t="shared" si="5"/>
        <v>7</v>
      </c>
      <c r="O65" s="18">
        <f t="shared" si="6"/>
        <v>0</v>
      </c>
      <c r="P65" s="18">
        <f>DLP!O64</f>
        <v>12</v>
      </c>
      <c r="Q65" s="18">
        <f>DLP!R64</f>
        <v>12</v>
      </c>
      <c r="R65" s="18">
        <f t="shared" si="7"/>
        <v>0</v>
      </c>
      <c r="S65" s="18">
        <f>AIO!P64</f>
        <v>28</v>
      </c>
      <c r="T65" s="18">
        <f t="shared" si="8"/>
        <v>52</v>
      </c>
      <c r="U65" s="18">
        <f t="shared" si="9"/>
        <v>-24</v>
      </c>
      <c r="V65" s="18">
        <f>PAS!J64</f>
        <v>4</v>
      </c>
      <c r="W65" s="18">
        <f t="shared" si="10"/>
        <v>7</v>
      </c>
      <c r="X65" s="18">
        <f t="shared" si="11"/>
        <v>-3</v>
      </c>
    </row>
    <row r="66" spans="1:24" x14ac:dyDescent="0.25">
      <c r="A66" s="15">
        <v>64</v>
      </c>
      <c r="B66" s="16" t="s">
        <v>92</v>
      </c>
      <c r="C66" s="17">
        <f>VLOOKUP(B:B,Courts!B:C,2,FALSE)</f>
        <v>13</v>
      </c>
      <c r="D66" s="17">
        <f>VLOOKUP(B:B,Courts!B:D,3,FALSE)</f>
        <v>0</v>
      </c>
      <c r="E66" s="15">
        <f>VLOOKUP(B:B,Courts!B:E,4,FALSE)</f>
        <v>0</v>
      </c>
      <c r="F66" s="15">
        <f t="shared" si="0"/>
        <v>13</v>
      </c>
      <c r="G66" s="18">
        <f>Scanners!L65</f>
        <v>15</v>
      </c>
      <c r="H66" s="18">
        <f t="shared" si="1"/>
        <v>13</v>
      </c>
      <c r="I66" s="18">
        <f t="shared" si="2"/>
        <v>2</v>
      </c>
      <c r="J66" s="18">
        <f>DisBo!I65</f>
        <v>9</v>
      </c>
      <c r="K66" s="18">
        <f t="shared" si="3"/>
        <v>13</v>
      </c>
      <c r="L66" s="18">
        <f t="shared" si="4"/>
        <v>-4</v>
      </c>
      <c r="M66" s="18">
        <f>MFP!K65</f>
        <v>13</v>
      </c>
      <c r="N66" s="18">
        <f t="shared" si="5"/>
        <v>13</v>
      </c>
      <c r="O66" s="18">
        <f t="shared" si="6"/>
        <v>0</v>
      </c>
      <c r="P66" s="18">
        <f>DLP!O65</f>
        <v>26</v>
      </c>
      <c r="Q66" s="18">
        <f>DLP!R65</f>
        <v>26</v>
      </c>
      <c r="R66" s="18">
        <f t="shared" si="7"/>
        <v>0</v>
      </c>
      <c r="S66" s="18">
        <f>AIO!P65</f>
        <v>67</v>
      </c>
      <c r="T66" s="18">
        <f t="shared" si="8"/>
        <v>104</v>
      </c>
      <c r="U66" s="18">
        <f t="shared" si="9"/>
        <v>-37</v>
      </c>
      <c r="V66" s="18">
        <f>PAS!J65</f>
        <v>12</v>
      </c>
      <c r="W66" s="18">
        <f t="shared" si="10"/>
        <v>13</v>
      </c>
      <c r="X66" s="18">
        <f t="shared" si="11"/>
        <v>-1</v>
      </c>
    </row>
    <row r="67" spans="1:24" x14ac:dyDescent="0.25">
      <c r="A67" s="15">
        <v>65</v>
      </c>
      <c r="B67" s="19" t="s">
        <v>93</v>
      </c>
      <c r="C67" s="17">
        <f>VLOOKUP(B:B,Courts!B:C,2,FALSE)</f>
        <v>2</v>
      </c>
      <c r="D67" s="17">
        <f>VLOOKUP(B:B,Courts!B:D,3,FALSE)</f>
        <v>0</v>
      </c>
      <c r="E67" s="15">
        <f>VLOOKUP(B:B,Courts!B:E,4,FALSE)</f>
        <v>1</v>
      </c>
      <c r="F67" s="15">
        <f t="shared" si="0"/>
        <v>3</v>
      </c>
      <c r="G67" s="18">
        <f>Scanners!L66</f>
        <v>3</v>
      </c>
      <c r="H67" s="18">
        <f t="shared" si="1"/>
        <v>3</v>
      </c>
      <c r="I67" s="18">
        <f t="shared" si="2"/>
        <v>0</v>
      </c>
      <c r="J67" s="18">
        <f>DisBo!I66</f>
        <v>2</v>
      </c>
      <c r="K67" s="18">
        <f t="shared" si="3"/>
        <v>3</v>
      </c>
      <c r="L67" s="18">
        <f t="shared" si="4"/>
        <v>-1</v>
      </c>
      <c r="M67" s="18">
        <f>MFP!K66</f>
        <v>3</v>
      </c>
      <c r="N67" s="18">
        <f t="shared" si="5"/>
        <v>3</v>
      </c>
      <c r="O67" s="18">
        <f t="shared" si="6"/>
        <v>0</v>
      </c>
      <c r="P67" s="18">
        <f>DLP!O66</f>
        <v>7</v>
      </c>
      <c r="Q67" s="18">
        <f>DLP!R66</f>
        <v>4</v>
      </c>
      <c r="R67" s="18">
        <f t="shared" si="7"/>
        <v>3</v>
      </c>
      <c r="S67" s="18">
        <f>AIO!P66</f>
        <v>22</v>
      </c>
      <c r="T67" s="18">
        <f t="shared" si="8"/>
        <v>20</v>
      </c>
      <c r="U67" s="18">
        <f t="shared" si="9"/>
        <v>2</v>
      </c>
      <c r="V67" s="18">
        <f>PAS!J66</f>
        <v>4</v>
      </c>
      <c r="W67" s="18">
        <f t="shared" si="10"/>
        <v>3</v>
      </c>
      <c r="X67" s="18">
        <f t="shared" si="11"/>
        <v>1</v>
      </c>
    </row>
    <row r="68" spans="1:24" x14ac:dyDescent="0.25">
      <c r="A68" s="15">
        <v>66</v>
      </c>
      <c r="B68" s="16" t="s">
        <v>94</v>
      </c>
      <c r="C68" s="17">
        <f>VLOOKUP(B:B,Courts!B:C,2,FALSE)</f>
        <v>10</v>
      </c>
      <c r="D68" s="17">
        <f>VLOOKUP(B:B,Courts!B:D,3,FALSE)</f>
        <v>0</v>
      </c>
      <c r="E68" s="15">
        <f>VLOOKUP(B:B,Courts!B:E,4,FALSE)</f>
        <v>0</v>
      </c>
      <c r="F68" s="15">
        <f t="shared" ref="F68:F131" si="12">SUM(C68:E68)</f>
        <v>10</v>
      </c>
      <c r="G68" s="18">
        <f>Scanners!L67</f>
        <v>14</v>
      </c>
      <c r="H68" s="18">
        <f t="shared" ref="H68:H132" si="13">SUM(C68:E68)*1</f>
        <v>10</v>
      </c>
      <c r="I68" s="18">
        <f t="shared" ref="I68:I132" si="14">G68-H68</f>
        <v>4</v>
      </c>
      <c r="J68" s="18">
        <f>DisBo!I67</f>
        <v>11</v>
      </c>
      <c r="K68" s="18">
        <f t="shared" ref="K68:K132" si="15">SUM(C68:E68)*1</f>
        <v>10</v>
      </c>
      <c r="L68" s="18">
        <f t="shared" ref="L68:L132" si="16">J68-K68</f>
        <v>1</v>
      </c>
      <c r="M68" s="18">
        <f>MFP!K67</f>
        <v>11</v>
      </c>
      <c r="N68" s="18">
        <f t="shared" ref="N68:N132" si="17">SUM(C68:E68)*1</f>
        <v>10</v>
      </c>
      <c r="O68" s="18">
        <f t="shared" ref="O68:O132" si="18">M68-N68</f>
        <v>1</v>
      </c>
      <c r="P68" s="18">
        <f>DLP!O67</f>
        <v>26</v>
      </c>
      <c r="Q68" s="18">
        <f>DLP!R67</f>
        <v>20</v>
      </c>
      <c r="R68" s="18">
        <f t="shared" ref="R68:R132" si="19">P68-Q68</f>
        <v>6</v>
      </c>
      <c r="S68" s="18">
        <f>AIO!P67</f>
        <v>88</v>
      </c>
      <c r="T68" s="18">
        <f t="shared" ref="T68:T132" si="20">SUM(C68:D68)*8+E68*4</f>
        <v>80</v>
      </c>
      <c r="U68" s="18">
        <f t="shared" ref="U68:U132" si="21">S68-T68</f>
        <v>8</v>
      </c>
      <c r="V68" s="18">
        <f>PAS!J67</f>
        <v>12</v>
      </c>
      <c r="W68" s="18">
        <f t="shared" ref="W68:W132" si="22">SUM(C68:E68)*1</f>
        <v>10</v>
      </c>
      <c r="X68" s="18">
        <f t="shared" ref="X68:X132" si="23">V68-W68</f>
        <v>2</v>
      </c>
    </row>
    <row r="69" spans="1:24" x14ac:dyDescent="0.25">
      <c r="A69" s="15">
        <v>67</v>
      </c>
      <c r="B69" s="19" t="s">
        <v>95</v>
      </c>
      <c r="C69" s="17">
        <f>VLOOKUP(B:B,Courts!B:C,2,FALSE)</f>
        <v>6</v>
      </c>
      <c r="D69" s="17">
        <f>VLOOKUP(B:B,Courts!B:D,3,FALSE)</f>
        <v>0</v>
      </c>
      <c r="E69" s="15">
        <f>VLOOKUP(B:B,Courts!B:E,4,FALSE)</f>
        <v>1</v>
      </c>
      <c r="F69" s="15">
        <f t="shared" si="12"/>
        <v>7</v>
      </c>
      <c r="G69" s="18">
        <f>Scanners!L68</f>
        <v>7</v>
      </c>
      <c r="H69" s="18">
        <f t="shared" si="13"/>
        <v>7</v>
      </c>
      <c r="I69" s="18">
        <f t="shared" si="14"/>
        <v>0</v>
      </c>
      <c r="J69" s="18">
        <f>DisBo!I68</f>
        <v>4</v>
      </c>
      <c r="K69" s="18">
        <f t="shared" si="15"/>
        <v>7</v>
      </c>
      <c r="L69" s="18">
        <f t="shared" si="16"/>
        <v>-3</v>
      </c>
      <c r="M69" s="18">
        <f>MFP!K68</f>
        <v>7</v>
      </c>
      <c r="N69" s="18">
        <f t="shared" si="17"/>
        <v>7</v>
      </c>
      <c r="O69" s="18">
        <f t="shared" si="18"/>
        <v>0</v>
      </c>
      <c r="P69" s="18">
        <f>DLP!O68</f>
        <v>12</v>
      </c>
      <c r="Q69" s="18">
        <f>DLP!R68</f>
        <v>12</v>
      </c>
      <c r="R69" s="18">
        <f t="shared" si="19"/>
        <v>0</v>
      </c>
      <c r="S69" s="18">
        <f>AIO!P68</f>
        <v>28</v>
      </c>
      <c r="T69" s="18">
        <f t="shared" si="20"/>
        <v>52</v>
      </c>
      <c r="U69" s="18">
        <f t="shared" si="21"/>
        <v>-24</v>
      </c>
      <c r="V69" s="18">
        <f>PAS!J68</f>
        <v>4</v>
      </c>
      <c r="W69" s="18">
        <f t="shared" si="22"/>
        <v>7</v>
      </c>
      <c r="X69" s="18">
        <f t="shared" si="23"/>
        <v>-3</v>
      </c>
    </row>
    <row r="70" spans="1:24" x14ac:dyDescent="0.25">
      <c r="A70" s="15">
        <v>68</v>
      </c>
      <c r="B70" s="19" t="s">
        <v>96</v>
      </c>
      <c r="C70" s="17">
        <f>VLOOKUP(B:B,Courts!B:C,2,FALSE)</f>
        <v>2</v>
      </c>
      <c r="D70" s="17">
        <f>VLOOKUP(B:B,Courts!B:D,3,FALSE)</f>
        <v>0</v>
      </c>
      <c r="E70" s="15">
        <f>VLOOKUP(B:B,Courts!B:E,4,FALSE)</f>
        <v>1</v>
      </c>
      <c r="F70" s="15">
        <f t="shared" si="12"/>
        <v>3</v>
      </c>
      <c r="G70" s="18">
        <f>Scanners!L69</f>
        <v>3</v>
      </c>
      <c r="H70" s="18">
        <f t="shared" si="13"/>
        <v>3</v>
      </c>
      <c r="I70" s="18">
        <f t="shared" si="14"/>
        <v>0</v>
      </c>
      <c r="J70" s="18">
        <f>DisBo!I69</f>
        <v>2</v>
      </c>
      <c r="K70" s="18">
        <f t="shared" si="15"/>
        <v>3</v>
      </c>
      <c r="L70" s="18">
        <f t="shared" si="16"/>
        <v>-1</v>
      </c>
      <c r="M70" s="18">
        <f>MFP!K69</f>
        <v>3</v>
      </c>
      <c r="N70" s="18">
        <f t="shared" si="17"/>
        <v>3</v>
      </c>
      <c r="O70" s="18">
        <f t="shared" si="18"/>
        <v>0</v>
      </c>
      <c r="P70" s="18">
        <f>DLP!O69</f>
        <v>4</v>
      </c>
      <c r="Q70" s="18">
        <f>DLP!R69</f>
        <v>4</v>
      </c>
      <c r="R70" s="18">
        <f t="shared" si="19"/>
        <v>0</v>
      </c>
      <c r="S70" s="18">
        <f>AIO!P69</f>
        <v>14</v>
      </c>
      <c r="T70" s="18">
        <f t="shared" si="20"/>
        <v>20</v>
      </c>
      <c r="U70" s="18">
        <f t="shared" si="21"/>
        <v>-6</v>
      </c>
      <c r="V70" s="18">
        <f>PAS!J69</f>
        <v>2</v>
      </c>
      <c r="W70" s="18">
        <f t="shared" si="22"/>
        <v>3</v>
      </c>
      <c r="X70" s="18">
        <f t="shared" si="23"/>
        <v>-1</v>
      </c>
    </row>
    <row r="71" spans="1:24" x14ac:dyDescent="0.25">
      <c r="A71" s="15">
        <v>69</v>
      </c>
      <c r="B71" s="16" t="s">
        <v>97</v>
      </c>
      <c r="C71" s="17">
        <f>VLOOKUP(B:B,Courts!B:C,2,FALSE)</f>
        <v>28</v>
      </c>
      <c r="D71" s="17">
        <f>VLOOKUP(B:B,Courts!B:D,3,FALSE)</f>
        <v>0</v>
      </c>
      <c r="E71" s="15">
        <f>VLOOKUP(B:B,Courts!B:E,4,FALSE)</f>
        <v>0</v>
      </c>
      <c r="F71" s="15">
        <f t="shared" si="12"/>
        <v>28</v>
      </c>
      <c r="G71" s="18">
        <f>Scanners!L70</f>
        <v>36</v>
      </c>
      <c r="H71" s="18">
        <f t="shared" si="13"/>
        <v>28</v>
      </c>
      <c r="I71" s="18">
        <f t="shared" si="14"/>
        <v>8</v>
      </c>
      <c r="J71" s="18">
        <f>DisBo!I70</f>
        <v>31</v>
      </c>
      <c r="K71" s="18">
        <f t="shared" si="15"/>
        <v>28</v>
      </c>
      <c r="L71" s="18">
        <f t="shared" si="16"/>
        <v>3</v>
      </c>
      <c r="M71" s="18">
        <f>MFP!K70</f>
        <v>31</v>
      </c>
      <c r="N71" s="18">
        <f t="shared" si="17"/>
        <v>28</v>
      </c>
      <c r="O71" s="18">
        <f t="shared" si="18"/>
        <v>3</v>
      </c>
      <c r="P71" s="18">
        <f>DLP!O70</f>
        <v>65</v>
      </c>
      <c r="Q71" s="18">
        <f>DLP!R70</f>
        <v>56</v>
      </c>
      <c r="R71" s="18">
        <f t="shared" si="19"/>
        <v>9</v>
      </c>
      <c r="S71" s="18">
        <f>AIO!P70</f>
        <v>240</v>
      </c>
      <c r="T71" s="18">
        <f t="shared" si="20"/>
        <v>224</v>
      </c>
      <c r="U71" s="18">
        <f t="shared" si="21"/>
        <v>16</v>
      </c>
      <c r="V71" s="18">
        <f>PAS!J70</f>
        <v>31</v>
      </c>
      <c r="W71" s="18">
        <f t="shared" si="22"/>
        <v>28</v>
      </c>
      <c r="X71" s="18">
        <f t="shared" si="23"/>
        <v>3</v>
      </c>
    </row>
    <row r="72" spans="1:24" x14ac:dyDescent="0.25">
      <c r="A72" s="15">
        <v>70</v>
      </c>
      <c r="B72" s="16" t="s">
        <v>98</v>
      </c>
      <c r="C72" s="17">
        <f>VLOOKUP(B:B,Courts!B:C,2,FALSE)</f>
        <v>22</v>
      </c>
      <c r="D72" s="17">
        <f>VLOOKUP(B:B,Courts!B:D,3,FALSE)</f>
        <v>5</v>
      </c>
      <c r="E72" s="15">
        <f>VLOOKUP(B:B,Courts!B:E,4,FALSE)</f>
        <v>0</v>
      </c>
      <c r="F72" s="15">
        <f t="shared" si="12"/>
        <v>27</v>
      </c>
      <c r="G72" s="18">
        <f>Scanners!L71</f>
        <v>26</v>
      </c>
      <c r="H72" s="18">
        <f t="shared" si="13"/>
        <v>27</v>
      </c>
      <c r="I72" s="18">
        <f t="shared" si="14"/>
        <v>-1</v>
      </c>
      <c r="J72" s="18">
        <f>DisBo!I71</f>
        <v>18</v>
      </c>
      <c r="K72" s="18">
        <f t="shared" si="15"/>
        <v>27</v>
      </c>
      <c r="L72" s="18">
        <f t="shared" si="16"/>
        <v>-9</v>
      </c>
      <c r="M72" s="18">
        <f>MFP!K71</f>
        <v>24</v>
      </c>
      <c r="N72" s="18">
        <f t="shared" si="17"/>
        <v>27</v>
      </c>
      <c r="O72" s="18">
        <f t="shared" si="18"/>
        <v>-3</v>
      </c>
      <c r="P72" s="18">
        <f>DLP!O71</f>
        <v>41</v>
      </c>
      <c r="Q72" s="18">
        <f>DLP!R71</f>
        <v>54</v>
      </c>
      <c r="R72" s="18">
        <f t="shared" si="19"/>
        <v>-13</v>
      </c>
      <c r="S72" s="18">
        <f>AIO!P71</f>
        <v>184</v>
      </c>
      <c r="T72" s="18">
        <f t="shared" si="20"/>
        <v>216</v>
      </c>
      <c r="U72" s="18">
        <f t="shared" si="21"/>
        <v>-32</v>
      </c>
      <c r="V72" s="18">
        <f>PAS!J71</f>
        <v>26</v>
      </c>
      <c r="W72" s="18">
        <f t="shared" si="22"/>
        <v>27</v>
      </c>
      <c r="X72" s="18">
        <f t="shared" si="23"/>
        <v>-1</v>
      </c>
    </row>
    <row r="73" spans="1:24" x14ac:dyDescent="0.25">
      <c r="A73" s="15">
        <v>71</v>
      </c>
      <c r="B73" s="19" t="s">
        <v>99</v>
      </c>
      <c r="C73" s="17">
        <f>VLOOKUP(B:B,Courts!B:C,2,FALSE)</f>
        <v>2</v>
      </c>
      <c r="D73" s="17">
        <f>VLOOKUP(B:B,Courts!B:D,3,FALSE)</f>
        <v>1</v>
      </c>
      <c r="E73" s="15">
        <f>VLOOKUP(B:B,Courts!B:E,4,FALSE)</f>
        <v>1</v>
      </c>
      <c r="F73" s="15">
        <f t="shared" si="12"/>
        <v>4</v>
      </c>
      <c r="G73" s="18">
        <f>Scanners!L72</f>
        <v>3</v>
      </c>
      <c r="H73" s="18">
        <f t="shared" si="13"/>
        <v>4</v>
      </c>
      <c r="I73" s="18">
        <f t="shared" si="14"/>
        <v>-1</v>
      </c>
      <c r="J73" s="18">
        <f>DisBo!I72</f>
        <v>3</v>
      </c>
      <c r="K73" s="18">
        <f t="shared" si="15"/>
        <v>4</v>
      </c>
      <c r="L73" s="18">
        <f t="shared" si="16"/>
        <v>-1</v>
      </c>
      <c r="M73" s="18">
        <f>MFP!K72</f>
        <v>3</v>
      </c>
      <c r="N73" s="18">
        <f t="shared" si="17"/>
        <v>4</v>
      </c>
      <c r="O73" s="18">
        <f t="shared" si="18"/>
        <v>-1</v>
      </c>
      <c r="P73" s="18">
        <f>DLP!O72</f>
        <v>8</v>
      </c>
      <c r="Q73" s="18">
        <f>DLP!R72</f>
        <v>6</v>
      </c>
      <c r="R73" s="18">
        <f t="shared" si="19"/>
        <v>2</v>
      </c>
      <c r="S73" s="18">
        <f>AIO!P72</f>
        <v>25</v>
      </c>
      <c r="T73" s="18">
        <f t="shared" si="20"/>
        <v>28</v>
      </c>
      <c r="U73" s="18">
        <f t="shared" si="21"/>
        <v>-3</v>
      </c>
      <c r="V73" s="18">
        <f>PAS!J72</f>
        <v>3</v>
      </c>
      <c r="W73" s="18">
        <f t="shared" si="22"/>
        <v>4</v>
      </c>
      <c r="X73" s="18">
        <f t="shared" si="23"/>
        <v>-1</v>
      </c>
    </row>
    <row r="74" spans="1:24" x14ac:dyDescent="0.25">
      <c r="A74" s="15">
        <v>72</v>
      </c>
      <c r="B74" s="16" t="s">
        <v>100</v>
      </c>
      <c r="C74" s="17">
        <f>VLOOKUP(B:B,Courts!B:C,2,FALSE)</f>
        <v>15</v>
      </c>
      <c r="D74" s="17">
        <f>VLOOKUP(B:B,Courts!B:D,3,FALSE)</f>
        <v>3</v>
      </c>
      <c r="E74" s="15">
        <f>VLOOKUP(B:B,Courts!B:E,4,FALSE)</f>
        <v>0</v>
      </c>
      <c r="F74" s="15">
        <f t="shared" si="12"/>
        <v>18</v>
      </c>
      <c r="G74" s="18">
        <f>Scanners!L73</f>
        <v>18</v>
      </c>
      <c r="H74" s="18">
        <f t="shared" si="13"/>
        <v>18</v>
      </c>
      <c r="I74" s="18">
        <f t="shared" si="14"/>
        <v>0</v>
      </c>
      <c r="J74" s="18">
        <f>DisBo!I73</f>
        <v>16</v>
      </c>
      <c r="K74" s="18">
        <f t="shared" si="15"/>
        <v>18</v>
      </c>
      <c r="L74" s="18">
        <f t="shared" si="16"/>
        <v>-2</v>
      </c>
      <c r="M74" s="18">
        <f>MFP!K73</f>
        <v>17</v>
      </c>
      <c r="N74" s="18">
        <f t="shared" si="17"/>
        <v>18</v>
      </c>
      <c r="O74" s="18">
        <f t="shared" si="18"/>
        <v>-1</v>
      </c>
      <c r="P74" s="18">
        <f>DLP!O73</f>
        <v>32</v>
      </c>
      <c r="Q74" s="18">
        <f>DLP!R73</f>
        <v>36</v>
      </c>
      <c r="R74" s="18">
        <f t="shared" si="19"/>
        <v>-4</v>
      </c>
      <c r="S74" s="18">
        <f>AIO!P73</f>
        <v>120</v>
      </c>
      <c r="T74" s="18">
        <f t="shared" si="20"/>
        <v>144</v>
      </c>
      <c r="U74" s="18">
        <f t="shared" si="21"/>
        <v>-24</v>
      </c>
      <c r="V74" s="18">
        <f>PAS!J73</f>
        <v>17</v>
      </c>
      <c r="W74" s="18">
        <f t="shared" si="22"/>
        <v>18</v>
      </c>
      <c r="X74" s="18">
        <f t="shared" si="23"/>
        <v>-1</v>
      </c>
    </row>
    <row r="75" spans="1:24" x14ac:dyDescent="0.25">
      <c r="A75" s="15">
        <v>73</v>
      </c>
      <c r="B75" s="19" t="s">
        <v>101</v>
      </c>
      <c r="C75" s="17">
        <f>VLOOKUP(B:B,Courts!B:C,2,FALSE)</f>
        <v>2</v>
      </c>
      <c r="D75" s="17">
        <f>VLOOKUP(B:B,Courts!B:D,3,FALSE)</f>
        <v>0</v>
      </c>
      <c r="E75" s="15">
        <f>VLOOKUP(B:B,Courts!B:E,4,FALSE)</f>
        <v>1</v>
      </c>
      <c r="F75" s="15">
        <f t="shared" si="12"/>
        <v>3</v>
      </c>
      <c r="G75" s="18">
        <f>Scanners!L74</f>
        <v>3</v>
      </c>
      <c r="H75" s="18">
        <f t="shared" si="13"/>
        <v>3</v>
      </c>
      <c r="I75" s="18">
        <f t="shared" si="14"/>
        <v>0</v>
      </c>
      <c r="J75" s="18">
        <f>DisBo!I74</f>
        <v>1</v>
      </c>
      <c r="K75" s="18">
        <f t="shared" si="15"/>
        <v>3</v>
      </c>
      <c r="L75" s="18">
        <f t="shared" si="16"/>
        <v>-2</v>
      </c>
      <c r="M75" s="18">
        <f>MFP!K74</f>
        <v>3</v>
      </c>
      <c r="N75" s="18">
        <f t="shared" si="17"/>
        <v>3</v>
      </c>
      <c r="O75" s="18">
        <f t="shared" si="18"/>
        <v>0</v>
      </c>
      <c r="P75" s="18">
        <f>DLP!O74</f>
        <v>4</v>
      </c>
      <c r="Q75" s="18">
        <f>DLP!R74</f>
        <v>4</v>
      </c>
      <c r="R75" s="18">
        <f t="shared" si="19"/>
        <v>0</v>
      </c>
      <c r="S75" s="18">
        <f>AIO!P74</f>
        <v>23</v>
      </c>
      <c r="T75" s="18">
        <f t="shared" si="20"/>
        <v>20</v>
      </c>
      <c r="U75" s="18">
        <f t="shared" si="21"/>
        <v>3</v>
      </c>
      <c r="V75" s="18">
        <f>PAS!J74</f>
        <v>3</v>
      </c>
      <c r="W75" s="18">
        <f t="shared" si="22"/>
        <v>3</v>
      </c>
      <c r="X75" s="18">
        <f t="shared" si="23"/>
        <v>0</v>
      </c>
    </row>
    <row r="76" spans="1:24" x14ac:dyDescent="0.25">
      <c r="A76" s="15">
        <v>74</v>
      </c>
      <c r="B76" s="19" t="s">
        <v>102</v>
      </c>
      <c r="C76" s="17">
        <f>VLOOKUP(B:B,Courts!B:C,2,FALSE)</f>
        <v>1</v>
      </c>
      <c r="D76" s="17">
        <f>VLOOKUP(B:B,Courts!B:D,3,FALSE)</f>
        <v>0</v>
      </c>
      <c r="E76" s="15">
        <f>VLOOKUP(B:B,Courts!B:E,4,FALSE)</f>
        <v>1</v>
      </c>
      <c r="F76" s="15">
        <f t="shared" si="12"/>
        <v>2</v>
      </c>
      <c r="G76" s="18">
        <f>Scanners!L75</f>
        <v>2</v>
      </c>
      <c r="H76" s="18">
        <f t="shared" si="13"/>
        <v>2</v>
      </c>
      <c r="I76" s="18">
        <f t="shared" si="14"/>
        <v>0</v>
      </c>
      <c r="J76" s="18">
        <f>DisBo!I75</f>
        <v>1</v>
      </c>
      <c r="K76" s="18">
        <f t="shared" si="15"/>
        <v>2</v>
      </c>
      <c r="L76" s="18">
        <f t="shared" si="16"/>
        <v>-1</v>
      </c>
      <c r="M76" s="18">
        <f>MFP!K75</f>
        <v>2</v>
      </c>
      <c r="N76" s="18">
        <f t="shared" si="17"/>
        <v>2</v>
      </c>
      <c r="O76" s="18">
        <f t="shared" si="18"/>
        <v>0</v>
      </c>
      <c r="P76" s="18">
        <f>DLP!O75</f>
        <v>2</v>
      </c>
      <c r="Q76" s="18">
        <f>DLP!R75</f>
        <v>2</v>
      </c>
      <c r="R76" s="18">
        <f t="shared" si="19"/>
        <v>0</v>
      </c>
      <c r="S76" s="18">
        <f>AIO!P75</f>
        <v>8</v>
      </c>
      <c r="T76" s="18">
        <f t="shared" si="20"/>
        <v>12</v>
      </c>
      <c r="U76" s="18">
        <f t="shared" si="21"/>
        <v>-4</v>
      </c>
      <c r="V76" s="18">
        <f>PAS!J75</f>
        <v>1</v>
      </c>
      <c r="W76" s="18">
        <f t="shared" si="22"/>
        <v>2</v>
      </c>
      <c r="X76" s="18">
        <f t="shared" si="23"/>
        <v>-1</v>
      </c>
    </row>
    <row r="77" spans="1:24" x14ac:dyDescent="0.25">
      <c r="A77" s="15">
        <v>75</v>
      </c>
      <c r="B77" s="19" t="s">
        <v>103</v>
      </c>
      <c r="C77" s="17">
        <f>VLOOKUP(B:B,Courts!B:C,2,FALSE)</f>
        <v>1</v>
      </c>
      <c r="D77" s="17">
        <f>VLOOKUP(B:B,Courts!B:D,3,FALSE)</f>
        <v>0</v>
      </c>
      <c r="E77" s="15">
        <f>VLOOKUP(B:B,Courts!B:E,4,FALSE)</f>
        <v>1</v>
      </c>
      <c r="F77" s="15">
        <f t="shared" si="12"/>
        <v>2</v>
      </c>
      <c r="G77" s="18">
        <f>Scanners!L76</f>
        <v>3</v>
      </c>
      <c r="H77" s="18">
        <f t="shared" si="13"/>
        <v>2</v>
      </c>
      <c r="I77" s="18">
        <f t="shared" si="14"/>
        <v>1</v>
      </c>
      <c r="J77" s="18">
        <f>DisBo!I76</f>
        <v>1</v>
      </c>
      <c r="K77" s="18">
        <f t="shared" si="15"/>
        <v>2</v>
      </c>
      <c r="L77" s="18">
        <f t="shared" si="16"/>
        <v>-1</v>
      </c>
      <c r="M77" s="18">
        <f>MFP!K76</f>
        <v>3</v>
      </c>
      <c r="N77" s="18">
        <f t="shared" si="17"/>
        <v>2</v>
      </c>
      <c r="O77" s="18">
        <f t="shared" si="18"/>
        <v>1</v>
      </c>
      <c r="P77" s="18">
        <f>DLP!O76</f>
        <v>4</v>
      </c>
      <c r="Q77" s="18">
        <f>DLP!R76</f>
        <v>2</v>
      </c>
      <c r="R77" s="18">
        <f t="shared" si="19"/>
        <v>2</v>
      </c>
      <c r="S77" s="18">
        <f>AIO!P76</f>
        <v>20</v>
      </c>
      <c r="T77" s="18">
        <f t="shared" si="20"/>
        <v>12</v>
      </c>
      <c r="U77" s="18">
        <f t="shared" si="21"/>
        <v>8</v>
      </c>
      <c r="V77" s="18">
        <f>PAS!J76</f>
        <v>3</v>
      </c>
      <c r="W77" s="18">
        <f t="shared" si="22"/>
        <v>2</v>
      </c>
      <c r="X77" s="18">
        <f t="shared" si="23"/>
        <v>1</v>
      </c>
    </row>
    <row r="78" spans="1:24" x14ac:dyDescent="0.25">
      <c r="A78" s="15">
        <v>76</v>
      </c>
      <c r="B78" s="16" t="s">
        <v>104</v>
      </c>
      <c r="C78" s="17">
        <f>VLOOKUP(B:B,Courts!B:C,2,FALSE)</f>
        <v>8</v>
      </c>
      <c r="D78" s="17">
        <f>VLOOKUP(B:B,Courts!B:D,3,FALSE)</f>
        <v>1</v>
      </c>
      <c r="E78" s="15">
        <f>VLOOKUP(B:B,Courts!B:E,4,FALSE)</f>
        <v>0</v>
      </c>
      <c r="F78" s="15">
        <f t="shared" si="12"/>
        <v>9</v>
      </c>
      <c r="G78" s="18">
        <f>Scanners!L77</f>
        <v>10</v>
      </c>
      <c r="H78" s="18">
        <f t="shared" si="13"/>
        <v>9</v>
      </c>
      <c r="I78" s="18">
        <f t="shared" si="14"/>
        <v>1</v>
      </c>
      <c r="J78" s="18">
        <f>DisBo!I77</f>
        <v>6</v>
      </c>
      <c r="K78" s="18">
        <f t="shared" si="15"/>
        <v>9</v>
      </c>
      <c r="L78" s="18">
        <f t="shared" si="16"/>
        <v>-3</v>
      </c>
      <c r="M78" s="18">
        <f>MFP!K77</f>
        <v>9</v>
      </c>
      <c r="N78" s="18">
        <f t="shared" si="17"/>
        <v>9</v>
      </c>
      <c r="O78" s="18">
        <f t="shared" si="18"/>
        <v>0</v>
      </c>
      <c r="P78" s="18">
        <f>DLP!O77</f>
        <v>18</v>
      </c>
      <c r="Q78" s="18">
        <f>DLP!R77</f>
        <v>18</v>
      </c>
      <c r="R78" s="18">
        <f t="shared" si="19"/>
        <v>0</v>
      </c>
      <c r="S78" s="18">
        <f>AIO!P77</f>
        <v>72</v>
      </c>
      <c r="T78" s="18">
        <f t="shared" si="20"/>
        <v>72</v>
      </c>
      <c r="U78" s="18">
        <f t="shared" si="21"/>
        <v>0</v>
      </c>
      <c r="V78" s="18">
        <f>PAS!J77</f>
        <v>9</v>
      </c>
      <c r="W78" s="18">
        <f t="shared" si="22"/>
        <v>9</v>
      </c>
      <c r="X78" s="18">
        <f t="shared" si="23"/>
        <v>0</v>
      </c>
    </row>
    <row r="79" spans="1:24" x14ac:dyDescent="0.25">
      <c r="A79" s="15">
        <v>77</v>
      </c>
      <c r="B79" s="16" t="s">
        <v>105</v>
      </c>
      <c r="C79" s="17">
        <f>VLOOKUP(B:B,Courts!B:C,2,FALSE)</f>
        <v>39</v>
      </c>
      <c r="D79" s="17">
        <f>VLOOKUP(B:B,Courts!B:D,3,FALSE)</f>
        <v>10</v>
      </c>
      <c r="E79" s="15">
        <f>VLOOKUP(B:B,Courts!B:E,4,FALSE)</f>
        <v>0</v>
      </c>
      <c r="F79" s="15">
        <f t="shared" si="12"/>
        <v>49</v>
      </c>
      <c r="G79" s="18">
        <f>Scanners!L78</f>
        <v>43</v>
      </c>
      <c r="H79" s="18">
        <f t="shared" si="13"/>
        <v>49</v>
      </c>
      <c r="I79" s="18">
        <f t="shared" si="14"/>
        <v>-6</v>
      </c>
      <c r="J79" s="18">
        <f>DisBo!I78</f>
        <v>34</v>
      </c>
      <c r="K79" s="18">
        <f t="shared" si="15"/>
        <v>49</v>
      </c>
      <c r="L79" s="18">
        <f t="shared" si="16"/>
        <v>-15</v>
      </c>
      <c r="M79" s="18">
        <f>MFP!K78</f>
        <v>38</v>
      </c>
      <c r="N79" s="18">
        <f t="shared" si="17"/>
        <v>49</v>
      </c>
      <c r="O79" s="18">
        <f t="shared" si="18"/>
        <v>-11</v>
      </c>
      <c r="P79" s="18">
        <f>DLP!O78</f>
        <v>74</v>
      </c>
      <c r="Q79" s="18">
        <f>DLP!R78</f>
        <v>98</v>
      </c>
      <c r="R79" s="18">
        <f t="shared" si="19"/>
        <v>-24</v>
      </c>
      <c r="S79" s="18">
        <f>AIO!P78</f>
        <v>312</v>
      </c>
      <c r="T79" s="18">
        <f t="shared" si="20"/>
        <v>392</v>
      </c>
      <c r="U79" s="18">
        <f t="shared" si="21"/>
        <v>-80</v>
      </c>
      <c r="V79" s="18">
        <f>PAS!J78</f>
        <v>47</v>
      </c>
      <c r="W79" s="18">
        <f t="shared" si="22"/>
        <v>49</v>
      </c>
      <c r="X79" s="18">
        <f t="shared" si="23"/>
        <v>-2</v>
      </c>
    </row>
    <row r="80" spans="1:24" x14ac:dyDescent="0.25">
      <c r="A80" s="15">
        <v>78</v>
      </c>
      <c r="B80" s="16" t="s">
        <v>106</v>
      </c>
      <c r="C80" s="17">
        <f>VLOOKUP(B:B,Courts!B:C,2,FALSE)</f>
        <v>11</v>
      </c>
      <c r="D80" s="17">
        <f>VLOOKUP(B:B,Courts!B:D,3,FALSE)</f>
        <v>1</v>
      </c>
      <c r="E80" s="15">
        <f>VLOOKUP(B:B,Courts!B:E,4,FALSE)</f>
        <v>0</v>
      </c>
      <c r="F80" s="15">
        <f t="shared" si="12"/>
        <v>12</v>
      </c>
      <c r="G80" s="18">
        <f>Scanners!L79</f>
        <v>13</v>
      </c>
      <c r="H80" s="18">
        <f t="shared" si="13"/>
        <v>12</v>
      </c>
      <c r="I80" s="18">
        <f t="shared" si="14"/>
        <v>1</v>
      </c>
      <c r="J80" s="18">
        <f>DisBo!I79</f>
        <v>9</v>
      </c>
      <c r="K80" s="18">
        <f t="shared" si="15"/>
        <v>12</v>
      </c>
      <c r="L80" s="18">
        <f t="shared" si="16"/>
        <v>-3</v>
      </c>
      <c r="M80" s="18">
        <f>MFP!K79</f>
        <v>12</v>
      </c>
      <c r="N80" s="18">
        <f t="shared" si="17"/>
        <v>12</v>
      </c>
      <c r="O80" s="18">
        <f t="shared" si="18"/>
        <v>0</v>
      </c>
      <c r="P80" s="18">
        <f>DLP!O79</f>
        <v>24</v>
      </c>
      <c r="Q80" s="18">
        <f>DLP!R79</f>
        <v>24</v>
      </c>
      <c r="R80" s="18">
        <f t="shared" si="19"/>
        <v>0</v>
      </c>
      <c r="S80" s="18">
        <f>AIO!P79</f>
        <v>72</v>
      </c>
      <c r="T80" s="18">
        <f t="shared" si="20"/>
        <v>96</v>
      </c>
      <c r="U80" s="18">
        <f t="shared" si="21"/>
        <v>-24</v>
      </c>
      <c r="V80" s="18">
        <f>PAS!J79</f>
        <v>10</v>
      </c>
      <c r="W80" s="18">
        <f t="shared" si="22"/>
        <v>12</v>
      </c>
      <c r="X80" s="18">
        <f t="shared" si="23"/>
        <v>-2</v>
      </c>
    </row>
    <row r="81" spans="1:24" x14ac:dyDescent="0.25">
      <c r="A81" s="15">
        <v>79</v>
      </c>
      <c r="B81" s="19" t="s">
        <v>107</v>
      </c>
      <c r="C81" s="17">
        <f>VLOOKUP(B:B,Courts!B:C,2,FALSE)</f>
        <v>2</v>
      </c>
      <c r="D81" s="17">
        <f>VLOOKUP(B:B,Courts!B:D,3,FALSE)</f>
        <v>0</v>
      </c>
      <c r="E81" s="15">
        <f>VLOOKUP(B:B,Courts!B:E,4,FALSE)</f>
        <v>1</v>
      </c>
      <c r="F81" s="15">
        <f t="shared" si="12"/>
        <v>3</v>
      </c>
      <c r="G81" s="18">
        <f>Scanners!L80</f>
        <v>4</v>
      </c>
      <c r="H81" s="18">
        <f t="shared" si="13"/>
        <v>3</v>
      </c>
      <c r="I81" s="18">
        <f t="shared" si="14"/>
        <v>1</v>
      </c>
      <c r="J81" s="18">
        <f>DisBo!I80</f>
        <v>4</v>
      </c>
      <c r="K81" s="18">
        <f t="shared" si="15"/>
        <v>3</v>
      </c>
      <c r="L81" s="18">
        <f t="shared" si="16"/>
        <v>1</v>
      </c>
      <c r="M81" s="18">
        <f>MFP!K80</f>
        <v>4</v>
      </c>
      <c r="N81" s="18">
        <f t="shared" si="17"/>
        <v>3</v>
      </c>
      <c r="O81" s="18">
        <f t="shared" si="18"/>
        <v>1</v>
      </c>
      <c r="P81" s="18">
        <f>DLP!O80</f>
        <v>8</v>
      </c>
      <c r="Q81" s="18">
        <f>DLP!R80</f>
        <v>4</v>
      </c>
      <c r="R81" s="18">
        <f t="shared" si="19"/>
        <v>4</v>
      </c>
      <c r="S81" s="18">
        <f>AIO!P80</f>
        <v>28</v>
      </c>
      <c r="T81" s="18">
        <f t="shared" si="20"/>
        <v>20</v>
      </c>
      <c r="U81" s="18">
        <f t="shared" si="21"/>
        <v>8</v>
      </c>
      <c r="V81" s="18">
        <f>PAS!J80</f>
        <v>4</v>
      </c>
      <c r="W81" s="18">
        <f t="shared" si="22"/>
        <v>3</v>
      </c>
      <c r="X81" s="18">
        <f t="shared" si="23"/>
        <v>1</v>
      </c>
    </row>
    <row r="82" spans="1:24" x14ac:dyDescent="0.25">
      <c r="A82" s="15">
        <v>80</v>
      </c>
      <c r="B82" s="19" t="s">
        <v>108</v>
      </c>
      <c r="C82" s="17">
        <f>VLOOKUP(B:B,Courts!B:C,2,FALSE)</f>
        <v>2</v>
      </c>
      <c r="D82" s="17">
        <f>VLOOKUP(B:B,Courts!B:D,3,FALSE)</f>
        <v>1</v>
      </c>
      <c r="E82" s="15">
        <f>VLOOKUP(B:B,Courts!B:E,4,FALSE)</f>
        <v>1</v>
      </c>
      <c r="F82" s="15">
        <f t="shared" si="12"/>
        <v>4</v>
      </c>
      <c r="G82" s="18">
        <f>Scanners!L81</f>
        <v>3</v>
      </c>
      <c r="H82" s="18">
        <f t="shared" si="13"/>
        <v>4</v>
      </c>
      <c r="I82" s="18">
        <f t="shared" si="14"/>
        <v>-1</v>
      </c>
      <c r="J82" s="18">
        <f>DisBo!I81</f>
        <v>3</v>
      </c>
      <c r="K82" s="18">
        <f t="shared" si="15"/>
        <v>4</v>
      </c>
      <c r="L82" s="18">
        <f t="shared" si="16"/>
        <v>-1</v>
      </c>
      <c r="M82" s="18">
        <f>MFP!K81</f>
        <v>3</v>
      </c>
      <c r="N82" s="18">
        <f t="shared" si="17"/>
        <v>4</v>
      </c>
      <c r="O82" s="18">
        <f t="shared" si="18"/>
        <v>-1</v>
      </c>
      <c r="P82" s="18">
        <f>DLP!O81</f>
        <v>4</v>
      </c>
      <c r="Q82" s="18">
        <f>DLP!R81</f>
        <v>6</v>
      </c>
      <c r="R82" s="18">
        <f t="shared" si="19"/>
        <v>-2</v>
      </c>
      <c r="S82" s="18">
        <f>AIO!P81</f>
        <v>20</v>
      </c>
      <c r="T82" s="18">
        <f t="shared" si="20"/>
        <v>28</v>
      </c>
      <c r="U82" s="18">
        <f t="shared" si="21"/>
        <v>-8</v>
      </c>
      <c r="V82" s="18">
        <f>PAS!J81</f>
        <v>3</v>
      </c>
      <c r="W82" s="18">
        <f t="shared" si="22"/>
        <v>4</v>
      </c>
      <c r="X82" s="18">
        <f t="shared" si="23"/>
        <v>-1</v>
      </c>
    </row>
    <row r="83" spans="1:24" x14ac:dyDescent="0.25">
      <c r="A83" s="15">
        <v>81</v>
      </c>
      <c r="B83" s="16" t="s">
        <v>109</v>
      </c>
      <c r="C83" s="17">
        <f>VLOOKUP(B:B,Courts!B:C,2,FALSE)</f>
        <v>48</v>
      </c>
      <c r="D83" s="17">
        <f>VLOOKUP(B:B,Courts!B:D,3,FALSE)</f>
        <v>14</v>
      </c>
      <c r="E83" s="15">
        <f>VLOOKUP(B:B,Courts!B:E,4,FALSE)</f>
        <v>0</v>
      </c>
      <c r="F83" s="15">
        <f t="shared" si="12"/>
        <v>62</v>
      </c>
      <c r="G83" s="18">
        <f>Scanners!L82</f>
        <v>56</v>
      </c>
      <c r="H83" s="18">
        <f t="shared" si="13"/>
        <v>62</v>
      </c>
      <c r="I83" s="18">
        <f t="shared" si="14"/>
        <v>-6</v>
      </c>
      <c r="J83" s="18">
        <f>DisBo!I82</f>
        <v>38</v>
      </c>
      <c r="K83" s="18">
        <f t="shared" si="15"/>
        <v>62</v>
      </c>
      <c r="L83" s="18">
        <f t="shared" si="16"/>
        <v>-24</v>
      </c>
      <c r="M83" s="18">
        <f>MFP!K82</f>
        <v>49</v>
      </c>
      <c r="N83" s="18">
        <f t="shared" si="17"/>
        <v>62</v>
      </c>
      <c r="O83" s="18">
        <f t="shared" si="18"/>
        <v>-13</v>
      </c>
      <c r="P83" s="18">
        <f>DLP!O82</f>
        <v>96</v>
      </c>
      <c r="Q83" s="18">
        <f>DLP!R82</f>
        <v>124</v>
      </c>
      <c r="R83" s="18">
        <f t="shared" si="19"/>
        <v>-28</v>
      </c>
      <c r="S83" s="18">
        <f>AIO!P82</f>
        <v>400</v>
      </c>
      <c r="T83" s="18">
        <f t="shared" si="20"/>
        <v>496</v>
      </c>
      <c r="U83" s="18">
        <f t="shared" si="21"/>
        <v>-96</v>
      </c>
      <c r="V83" s="18">
        <f>PAS!J82</f>
        <v>54</v>
      </c>
      <c r="W83" s="18">
        <f t="shared" si="22"/>
        <v>62</v>
      </c>
      <c r="X83" s="18">
        <f t="shared" si="23"/>
        <v>-8</v>
      </c>
    </row>
    <row r="84" spans="1:24" x14ac:dyDescent="0.25">
      <c r="A84" s="15">
        <v>82</v>
      </c>
      <c r="B84" s="19" t="s">
        <v>110</v>
      </c>
      <c r="C84" s="17">
        <f>VLOOKUP(B:B,Courts!B:C,2,FALSE)</f>
        <v>3</v>
      </c>
      <c r="D84" s="17">
        <f>VLOOKUP(B:B,Courts!B:D,3,FALSE)</f>
        <v>1</v>
      </c>
      <c r="E84" s="15">
        <f>VLOOKUP(B:B,Courts!B:E,4,FALSE)</f>
        <v>1</v>
      </c>
      <c r="F84" s="15">
        <f t="shared" si="12"/>
        <v>5</v>
      </c>
      <c r="G84" s="18">
        <f>Scanners!L83</f>
        <v>4</v>
      </c>
      <c r="H84" s="18">
        <f t="shared" si="13"/>
        <v>5</v>
      </c>
      <c r="I84" s="18">
        <f t="shared" si="14"/>
        <v>-1</v>
      </c>
      <c r="J84" s="18">
        <f>DisBo!I83</f>
        <v>3</v>
      </c>
      <c r="K84" s="18">
        <f t="shared" si="15"/>
        <v>5</v>
      </c>
      <c r="L84" s="18">
        <f t="shared" si="16"/>
        <v>-2</v>
      </c>
      <c r="M84" s="18">
        <f>MFP!K83</f>
        <v>4</v>
      </c>
      <c r="N84" s="18">
        <f t="shared" si="17"/>
        <v>5</v>
      </c>
      <c r="O84" s="18">
        <f t="shared" si="18"/>
        <v>-1</v>
      </c>
      <c r="P84" s="18">
        <f>DLP!O83</f>
        <v>9</v>
      </c>
      <c r="Q84" s="18">
        <f>DLP!R83</f>
        <v>8</v>
      </c>
      <c r="R84" s="18">
        <f t="shared" si="19"/>
        <v>1</v>
      </c>
      <c r="S84" s="18">
        <f>AIO!P83</f>
        <v>29</v>
      </c>
      <c r="T84" s="18">
        <f t="shared" si="20"/>
        <v>36</v>
      </c>
      <c r="U84" s="18">
        <f t="shared" si="21"/>
        <v>-7</v>
      </c>
      <c r="V84" s="18">
        <f>PAS!J83</f>
        <v>4</v>
      </c>
      <c r="W84" s="18">
        <f t="shared" si="22"/>
        <v>5</v>
      </c>
      <c r="X84" s="18">
        <f t="shared" si="23"/>
        <v>-1</v>
      </c>
    </row>
    <row r="85" spans="1:24" x14ac:dyDescent="0.25">
      <c r="A85" s="15">
        <v>83</v>
      </c>
      <c r="B85" s="19" t="s">
        <v>111</v>
      </c>
      <c r="C85" s="17">
        <f>VLOOKUP(B:B,Courts!B:C,2,FALSE)</f>
        <v>3</v>
      </c>
      <c r="D85" s="17">
        <f>VLOOKUP(B:B,Courts!B:D,3,FALSE)</f>
        <v>1</v>
      </c>
      <c r="E85" s="15">
        <f>VLOOKUP(B:B,Courts!B:E,4,FALSE)</f>
        <v>1</v>
      </c>
      <c r="F85" s="15">
        <f t="shared" si="12"/>
        <v>5</v>
      </c>
      <c r="G85" s="18">
        <f>Scanners!L84</f>
        <v>4</v>
      </c>
      <c r="H85" s="18">
        <f t="shared" si="13"/>
        <v>5</v>
      </c>
      <c r="I85" s="18">
        <f t="shared" si="14"/>
        <v>-1</v>
      </c>
      <c r="J85" s="18">
        <f>DisBo!I84</f>
        <v>4</v>
      </c>
      <c r="K85" s="18">
        <f t="shared" si="15"/>
        <v>5</v>
      </c>
      <c r="L85" s="18">
        <f t="shared" si="16"/>
        <v>-1</v>
      </c>
      <c r="M85" s="18">
        <f>MFP!K84</f>
        <v>4</v>
      </c>
      <c r="N85" s="18">
        <f t="shared" si="17"/>
        <v>5</v>
      </c>
      <c r="O85" s="18">
        <f t="shared" si="18"/>
        <v>-1</v>
      </c>
      <c r="P85" s="18">
        <f>DLP!O84</f>
        <v>9</v>
      </c>
      <c r="Q85" s="18">
        <f>DLP!R84</f>
        <v>8</v>
      </c>
      <c r="R85" s="18">
        <f t="shared" si="19"/>
        <v>1</v>
      </c>
      <c r="S85" s="18">
        <f>AIO!P84</f>
        <v>29</v>
      </c>
      <c r="T85" s="18">
        <f t="shared" si="20"/>
        <v>36</v>
      </c>
      <c r="U85" s="18">
        <f t="shared" si="21"/>
        <v>-7</v>
      </c>
      <c r="V85" s="18">
        <f>PAS!J84</f>
        <v>4</v>
      </c>
      <c r="W85" s="18">
        <f t="shared" si="22"/>
        <v>5</v>
      </c>
      <c r="X85" s="18">
        <f t="shared" si="23"/>
        <v>-1</v>
      </c>
    </row>
    <row r="86" spans="1:24" x14ac:dyDescent="0.25">
      <c r="A86" s="15">
        <v>84</v>
      </c>
      <c r="B86" s="16" t="s">
        <v>112</v>
      </c>
      <c r="C86" s="17">
        <f>VLOOKUP(B:B,Courts!B:C,2,FALSE)</f>
        <v>23</v>
      </c>
      <c r="D86" s="17">
        <f>VLOOKUP(B:B,Courts!B:D,3,FALSE)</f>
        <v>9</v>
      </c>
      <c r="E86" s="15">
        <f>VLOOKUP(B:B,Courts!B:E,4,FALSE)</f>
        <v>0</v>
      </c>
      <c r="F86" s="15">
        <f t="shared" si="12"/>
        <v>32</v>
      </c>
      <c r="G86" s="18">
        <f>Scanners!L85</f>
        <v>26</v>
      </c>
      <c r="H86" s="18">
        <f t="shared" si="13"/>
        <v>32</v>
      </c>
      <c r="I86" s="18">
        <f t="shared" si="14"/>
        <v>-6</v>
      </c>
      <c r="J86" s="18">
        <f>DisBo!I85</f>
        <v>21</v>
      </c>
      <c r="K86" s="18">
        <f t="shared" si="15"/>
        <v>32</v>
      </c>
      <c r="L86" s="18">
        <f t="shared" si="16"/>
        <v>-11</v>
      </c>
      <c r="M86" s="18">
        <f>MFP!K85</f>
        <v>22</v>
      </c>
      <c r="N86" s="18">
        <f t="shared" si="17"/>
        <v>32</v>
      </c>
      <c r="O86" s="18">
        <f t="shared" si="18"/>
        <v>-10</v>
      </c>
      <c r="P86" s="18">
        <f>DLP!O85</f>
        <v>44</v>
      </c>
      <c r="Q86" s="18">
        <f>DLP!R85</f>
        <v>64</v>
      </c>
      <c r="R86" s="18">
        <f t="shared" si="19"/>
        <v>-20</v>
      </c>
      <c r="S86" s="18">
        <f>AIO!P85</f>
        <v>180</v>
      </c>
      <c r="T86" s="18">
        <f t="shared" si="20"/>
        <v>256</v>
      </c>
      <c r="U86" s="18">
        <f t="shared" si="21"/>
        <v>-76</v>
      </c>
      <c r="V86" s="18">
        <f>PAS!J85</f>
        <v>24</v>
      </c>
      <c r="W86" s="18">
        <f t="shared" si="22"/>
        <v>32</v>
      </c>
      <c r="X86" s="18">
        <f t="shared" si="23"/>
        <v>-8</v>
      </c>
    </row>
    <row r="87" spans="1:24" x14ac:dyDescent="0.25">
      <c r="A87" s="15">
        <v>85</v>
      </c>
      <c r="B87" s="19" t="s">
        <v>113</v>
      </c>
      <c r="C87" s="17">
        <f>VLOOKUP(B:B,Courts!B:C,2,FALSE)</f>
        <v>3</v>
      </c>
      <c r="D87" s="17">
        <f>VLOOKUP(B:B,Courts!B:D,3,FALSE)</f>
        <v>1</v>
      </c>
      <c r="E87" s="15">
        <f>VLOOKUP(B:B,Courts!B:E,4,FALSE)</f>
        <v>1</v>
      </c>
      <c r="F87" s="15">
        <f t="shared" si="12"/>
        <v>5</v>
      </c>
      <c r="G87" s="18">
        <f>Scanners!L86</f>
        <v>5</v>
      </c>
      <c r="H87" s="18">
        <f t="shared" si="13"/>
        <v>5</v>
      </c>
      <c r="I87" s="18">
        <f t="shared" si="14"/>
        <v>0</v>
      </c>
      <c r="J87" s="18">
        <f>DisBo!I86</f>
        <v>4</v>
      </c>
      <c r="K87" s="18">
        <f t="shared" si="15"/>
        <v>5</v>
      </c>
      <c r="L87" s="18">
        <f t="shared" si="16"/>
        <v>-1</v>
      </c>
      <c r="M87" s="18">
        <f>MFP!K86</f>
        <v>5</v>
      </c>
      <c r="N87" s="18">
        <f t="shared" si="17"/>
        <v>5</v>
      </c>
      <c r="O87" s="18">
        <f t="shared" si="18"/>
        <v>0</v>
      </c>
      <c r="P87" s="18">
        <f>DLP!O86</f>
        <v>9</v>
      </c>
      <c r="Q87" s="18">
        <f>DLP!R86</f>
        <v>8</v>
      </c>
      <c r="R87" s="18">
        <f t="shared" si="19"/>
        <v>1</v>
      </c>
      <c r="S87" s="18">
        <f>AIO!P86</f>
        <v>39</v>
      </c>
      <c r="T87" s="18">
        <f t="shared" si="20"/>
        <v>36</v>
      </c>
      <c r="U87" s="18">
        <f t="shared" si="21"/>
        <v>3</v>
      </c>
      <c r="V87" s="18">
        <f>PAS!J86</f>
        <v>5</v>
      </c>
      <c r="W87" s="18">
        <f t="shared" si="22"/>
        <v>5</v>
      </c>
      <c r="X87" s="18">
        <f t="shared" si="23"/>
        <v>0</v>
      </c>
    </row>
    <row r="88" spans="1:24" x14ac:dyDescent="0.25">
      <c r="A88" s="15">
        <v>86</v>
      </c>
      <c r="B88" s="19" t="s">
        <v>221</v>
      </c>
      <c r="C88" s="17">
        <f>VLOOKUP(B:B,Courts!B:C,2,FALSE)</f>
        <v>1</v>
      </c>
      <c r="D88" s="17">
        <f>VLOOKUP(B:B,Courts!B:D,3,FALSE)</f>
        <v>0</v>
      </c>
      <c r="E88" s="15">
        <f>VLOOKUP(B:B,Courts!B:E,4,FALSE)</f>
        <v>1</v>
      </c>
      <c r="F88" s="15">
        <f t="shared" si="12"/>
        <v>2</v>
      </c>
      <c r="G88" s="18">
        <f>Scanners!L87</f>
        <v>0</v>
      </c>
      <c r="H88" s="18">
        <f t="shared" si="13"/>
        <v>2</v>
      </c>
      <c r="I88" s="18">
        <f t="shared" si="14"/>
        <v>-2</v>
      </c>
      <c r="J88" s="18">
        <f>DisBo!I87</f>
        <v>0</v>
      </c>
      <c r="K88" s="18">
        <f t="shared" si="15"/>
        <v>2</v>
      </c>
      <c r="L88" s="18">
        <f t="shared" si="16"/>
        <v>-2</v>
      </c>
      <c r="M88" s="18">
        <f>MFP!K87</f>
        <v>0</v>
      </c>
      <c r="N88" s="18">
        <f t="shared" si="17"/>
        <v>2</v>
      </c>
      <c r="O88" s="18">
        <f t="shared" si="18"/>
        <v>-2</v>
      </c>
      <c r="P88" s="18">
        <f>DLP!O87</f>
        <v>0</v>
      </c>
      <c r="Q88" s="18">
        <f>DLP!R87</f>
        <v>2</v>
      </c>
      <c r="R88" s="18">
        <f t="shared" si="19"/>
        <v>-2</v>
      </c>
      <c r="S88" s="18">
        <f>AIO!P87</f>
        <v>0</v>
      </c>
      <c r="T88" s="18">
        <f t="shared" si="20"/>
        <v>12</v>
      </c>
      <c r="U88" s="18">
        <f t="shared" si="21"/>
        <v>-12</v>
      </c>
      <c r="V88" s="18">
        <f>PAS!J87</f>
        <v>0</v>
      </c>
      <c r="W88" s="18">
        <f t="shared" si="22"/>
        <v>2</v>
      </c>
      <c r="X88" s="18">
        <f t="shared" si="23"/>
        <v>-2</v>
      </c>
    </row>
    <row r="89" spans="1:24" x14ac:dyDescent="0.25">
      <c r="A89" s="15">
        <v>87</v>
      </c>
      <c r="B89" s="19" t="s">
        <v>222</v>
      </c>
      <c r="C89" s="17">
        <f>VLOOKUP(B:B,Courts!B:C,2,FALSE)</f>
        <v>2</v>
      </c>
      <c r="D89" s="17">
        <f>VLOOKUP(B:B,Courts!B:D,3,FALSE)</f>
        <v>0</v>
      </c>
      <c r="E89" s="15">
        <f>VLOOKUP(B:B,Courts!B:E,4,FALSE)</f>
        <v>1</v>
      </c>
      <c r="F89" s="15">
        <f t="shared" si="12"/>
        <v>3</v>
      </c>
      <c r="G89" s="18">
        <f>Scanners!L88</f>
        <v>0</v>
      </c>
      <c r="H89" s="18">
        <f t="shared" si="13"/>
        <v>3</v>
      </c>
      <c r="I89" s="18">
        <f t="shared" si="14"/>
        <v>-3</v>
      </c>
      <c r="J89" s="18">
        <f>DisBo!I88</f>
        <v>0</v>
      </c>
      <c r="K89" s="18">
        <f t="shared" si="15"/>
        <v>3</v>
      </c>
      <c r="L89" s="18">
        <f t="shared" si="16"/>
        <v>-3</v>
      </c>
      <c r="M89" s="18">
        <f>MFP!K88</f>
        <v>0</v>
      </c>
      <c r="N89" s="18">
        <f t="shared" si="17"/>
        <v>3</v>
      </c>
      <c r="O89" s="18">
        <f t="shared" si="18"/>
        <v>-3</v>
      </c>
      <c r="P89" s="18">
        <f>DLP!O88</f>
        <v>0</v>
      </c>
      <c r="Q89" s="18">
        <f>DLP!R88</f>
        <v>4</v>
      </c>
      <c r="R89" s="18">
        <f t="shared" si="19"/>
        <v>-4</v>
      </c>
      <c r="S89" s="18">
        <f>AIO!P88</f>
        <v>0</v>
      </c>
      <c r="T89" s="18">
        <f t="shared" si="20"/>
        <v>20</v>
      </c>
      <c r="U89" s="18">
        <f t="shared" si="21"/>
        <v>-20</v>
      </c>
      <c r="V89" s="18">
        <f>PAS!J88</f>
        <v>0</v>
      </c>
      <c r="W89" s="18">
        <f t="shared" si="22"/>
        <v>3</v>
      </c>
      <c r="X89" s="18">
        <f t="shared" si="23"/>
        <v>-3</v>
      </c>
    </row>
    <row r="90" spans="1:24" x14ac:dyDescent="0.25">
      <c r="A90" s="15">
        <v>88</v>
      </c>
      <c r="B90" s="16" t="s">
        <v>114</v>
      </c>
      <c r="C90" s="17">
        <f>VLOOKUP(B:B,Courts!B:C,2,FALSE)</f>
        <v>11</v>
      </c>
      <c r="D90" s="17">
        <f>VLOOKUP(B:B,Courts!B:D,3,FALSE)</f>
        <v>2</v>
      </c>
      <c r="E90" s="15">
        <f>VLOOKUP(B:B,Courts!B:E,4,FALSE)</f>
        <v>0</v>
      </c>
      <c r="F90" s="15">
        <f t="shared" si="12"/>
        <v>13</v>
      </c>
      <c r="G90" s="18">
        <f>Scanners!L89</f>
        <v>15</v>
      </c>
      <c r="H90" s="18">
        <f t="shared" si="13"/>
        <v>13</v>
      </c>
      <c r="I90" s="18">
        <f t="shared" si="14"/>
        <v>2</v>
      </c>
      <c r="J90" s="18">
        <f>DisBo!I89</f>
        <v>11</v>
      </c>
      <c r="K90" s="18">
        <f t="shared" si="15"/>
        <v>13</v>
      </c>
      <c r="L90" s="18">
        <f t="shared" si="16"/>
        <v>-2</v>
      </c>
      <c r="M90" s="18">
        <f>MFP!K89</f>
        <v>14</v>
      </c>
      <c r="N90" s="18">
        <f t="shared" si="17"/>
        <v>13</v>
      </c>
      <c r="O90" s="18">
        <f t="shared" si="18"/>
        <v>1</v>
      </c>
      <c r="P90" s="18">
        <f>DLP!O89</f>
        <v>33</v>
      </c>
      <c r="Q90" s="18">
        <f>DLP!R89</f>
        <v>26</v>
      </c>
      <c r="R90" s="18">
        <f t="shared" si="19"/>
        <v>7</v>
      </c>
      <c r="S90" s="18">
        <f>AIO!P89</f>
        <v>102</v>
      </c>
      <c r="T90" s="18">
        <f t="shared" si="20"/>
        <v>104</v>
      </c>
      <c r="U90" s="18">
        <f t="shared" si="21"/>
        <v>-2</v>
      </c>
      <c r="V90" s="18">
        <f>PAS!J89</f>
        <v>15</v>
      </c>
      <c r="W90" s="18">
        <f t="shared" si="22"/>
        <v>13</v>
      </c>
      <c r="X90" s="18">
        <f t="shared" si="23"/>
        <v>2</v>
      </c>
    </row>
    <row r="91" spans="1:24" x14ac:dyDescent="0.25">
      <c r="A91" s="15">
        <v>89</v>
      </c>
      <c r="B91" s="19" t="s">
        <v>115</v>
      </c>
      <c r="C91" s="17">
        <f>VLOOKUP(B:B,Courts!B:C,2,FALSE)</f>
        <v>4</v>
      </c>
      <c r="D91" s="17">
        <f>VLOOKUP(B:B,Courts!B:D,3,FALSE)</f>
        <v>2</v>
      </c>
      <c r="E91" s="15">
        <f>VLOOKUP(B:B,Courts!B:E,4,FALSE)</f>
        <v>1</v>
      </c>
      <c r="F91" s="15">
        <f t="shared" si="12"/>
        <v>7</v>
      </c>
      <c r="G91" s="18">
        <f>Scanners!L90</f>
        <v>7</v>
      </c>
      <c r="H91" s="18">
        <f t="shared" si="13"/>
        <v>7</v>
      </c>
      <c r="I91" s="18">
        <f t="shared" si="14"/>
        <v>0</v>
      </c>
      <c r="J91" s="18">
        <f>DisBo!I90</f>
        <v>5</v>
      </c>
      <c r="K91" s="18">
        <f t="shared" si="15"/>
        <v>7</v>
      </c>
      <c r="L91" s="18">
        <f t="shared" si="16"/>
        <v>-2</v>
      </c>
      <c r="M91" s="18">
        <f>MFP!K90</f>
        <v>6</v>
      </c>
      <c r="N91" s="18">
        <f t="shared" si="17"/>
        <v>7</v>
      </c>
      <c r="O91" s="18">
        <f t="shared" si="18"/>
        <v>-1</v>
      </c>
      <c r="P91" s="18">
        <f>DLP!O90</f>
        <v>14</v>
      </c>
      <c r="Q91" s="18">
        <f>DLP!R90</f>
        <v>12</v>
      </c>
      <c r="R91" s="18">
        <f t="shared" si="19"/>
        <v>2</v>
      </c>
      <c r="S91" s="18">
        <f>AIO!P90</f>
        <v>52</v>
      </c>
      <c r="T91" s="18">
        <f t="shared" si="20"/>
        <v>52</v>
      </c>
      <c r="U91" s="18">
        <f t="shared" si="21"/>
        <v>0</v>
      </c>
      <c r="V91" s="18">
        <f>PAS!J90</f>
        <v>7</v>
      </c>
      <c r="W91" s="18">
        <f t="shared" si="22"/>
        <v>7</v>
      </c>
      <c r="X91" s="18">
        <f t="shared" si="23"/>
        <v>0</v>
      </c>
    </row>
    <row r="92" spans="1:24" x14ac:dyDescent="0.25">
      <c r="A92" s="15">
        <v>90</v>
      </c>
      <c r="B92" s="16" t="s">
        <v>116</v>
      </c>
      <c r="C92" s="17">
        <f>VLOOKUP(B:B,Courts!B:C,2,FALSE)</f>
        <v>10</v>
      </c>
      <c r="D92" s="17">
        <f>VLOOKUP(B:B,Courts!B:D,3,FALSE)</f>
        <v>3</v>
      </c>
      <c r="E92" s="15">
        <f>VLOOKUP(B:B,Courts!B:E,4,FALSE)</f>
        <v>0</v>
      </c>
      <c r="F92" s="15">
        <f t="shared" si="12"/>
        <v>13</v>
      </c>
      <c r="G92" s="18">
        <f>Scanners!L91</f>
        <v>14</v>
      </c>
      <c r="H92" s="18">
        <f t="shared" si="13"/>
        <v>13</v>
      </c>
      <c r="I92" s="18">
        <f t="shared" si="14"/>
        <v>1</v>
      </c>
      <c r="J92" s="18">
        <f>DisBo!I91</f>
        <v>11</v>
      </c>
      <c r="K92" s="18">
        <f t="shared" si="15"/>
        <v>13</v>
      </c>
      <c r="L92" s="18">
        <f t="shared" si="16"/>
        <v>-2</v>
      </c>
      <c r="M92" s="18">
        <f>MFP!K91</f>
        <v>12</v>
      </c>
      <c r="N92" s="18">
        <f t="shared" si="17"/>
        <v>13</v>
      </c>
      <c r="O92" s="18">
        <f t="shared" si="18"/>
        <v>-1</v>
      </c>
      <c r="P92" s="18">
        <f>DLP!O91</f>
        <v>30</v>
      </c>
      <c r="Q92" s="18">
        <f>DLP!R91</f>
        <v>26</v>
      </c>
      <c r="R92" s="18">
        <f t="shared" si="19"/>
        <v>4</v>
      </c>
      <c r="S92" s="18">
        <f>AIO!P91</f>
        <v>96</v>
      </c>
      <c r="T92" s="18">
        <f t="shared" si="20"/>
        <v>104</v>
      </c>
      <c r="U92" s="18">
        <f t="shared" si="21"/>
        <v>-8</v>
      </c>
      <c r="V92" s="18">
        <f>PAS!J91</f>
        <v>12</v>
      </c>
      <c r="W92" s="18">
        <f t="shared" si="22"/>
        <v>13</v>
      </c>
      <c r="X92" s="18">
        <f t="shared" si="23"/>
        <v>-1</v>
      </c>
    </row>
    <row r="93" spans="1:24" x14ac:dyDescent="0.25">
      <c r="A93" s="15">
        <v>91</v>
      </c>
      <c r="B93" s="19" t="s">
        <v>117</v>
      </c>
      <c r="C93" s="17">
        <f>VLOOKUP(B:B,Courts!B:C,2,FALSE)</f>
        <v>2</v>
      </c>
      <c r="D93" s="17">
        <f>VLOOKUP(B:B,Courts!B:D,3,FALSE)</f>
        <v>1</v>
      </c>
      <c r="E93" s="15">
        <f>VLOOKUP(B:B,Courts!B:E,4,FALSE)</f>
        <v>1</v>
      </c>
      <c r="F93" s="15">
        <f t="shared" si="12"/>
        <v>4</v>
      </c>
      <c r="G93" s="18">
        <f>Scanners!L92</f>
        <v>4</v>
      </c>
      <c r="H93" s="18">
        <f t="shared" si="13"/>
        <v>4</v>
      </c>
      <c r="I93" s="18">
        <f t="shared" si="14"/>
        <v>0</v>
      </c>
      <c r="J93" s="18">
        <f>DisBo!I92</f>
        <v>3</v>
      </c>
      <c r="K93" s="18">
        <f t="shared" si="15"/>
        <v>4</v>
      </c>
      <c r="L93" s="18">
        <f t="shared" si="16"/>
        <v>-1</v>
      </c>
      <c r="M93" s="18">
        <f>MFP!K92</f>
        <v>4</v>
      </c>
      <c r="N93" s="18">
        <f t="shared" si="17"/>
        <v>4</v>
      </c>
      <c r="O93" s="18">
        <f t="shared" si="18"/>
        <v>0</v>
      </c>
      <c r="P93" s="18">
        <f>DLP!O92</f>
        <v>9</v>
      </c>
      <c r="Q93" s="18">
        <f>DLP!R92</f>
        <v>6</v>
      </c>
      <c r="R93" s="18">
        <f t="shared" si="19"/>
        <v>3</v>
      </c>
      <c r="S93" s="18">
        <f>AIO!P92</f>
        <v>28</v>
      </c>
      <c r="T93" s="18">
        <f t="shared" si="20"/>
        <v>28</v>
      </c>
      <c r="U93" s="18">
        <f t="shared" si="21"/>
        <v>0</v>
      </c>
      <c r="V93" s="18">
        <f>PAS!J92</f>
        <v>4</v>
      </c>
      <c r="W93" s="18">
        <f t="shared" si="22"/>
        <v>4</v>
      </c>
      <c r="X93" s="18">
        <f t="shared" si="23"/>
        <v>0</v>
      </c>
    </row>
    <row r="94" spans="1:24" x14ac:dyDescent="0.25">
      <c r="A94" s="15">
        <v>92</v>
      </c>
      <c r="B94" s="19" t="s">
        <v>118</v>
      </c>
      <c r="C94" s="17">
        <f>VLOOKUP(B:B,Courts!B:C,2,FALSE)</f>
        <v>2</v>
      </c>
      <c r="D94" s="17">
        <f>VLOOKUP(B:B,Courts!B:D,3,FALSE)</f>
        <v>1</v>
      </c>
      <c r="E94" s="15">
        <f>VLOOKUP(B:B,Courts!B:E,4,FALSE)</f>
        <v>1</v>
      </c>
      <c r="F94" s="15">
        <f t="shared" si="12"/>
        <v>4</v>
      </c>
      <c r="G94" s="18">
        <f>Scanners!L93</f>
        <v>2</v>
      </c>
      <c r="H94" s="18">
        <f t="shared" si="13"/>
        <v>4</v>
      </c>
      <c r="I94" s="18">
        <f t="shared" si="14"/>
        <v>-2</v>
      </c>
      <c r="J94" s="18">
        <f>DisBo!I93</f>
        <v>2</v>
      </c>
      <c r="K94" s="18">
        <f t="shared" si="15"/>
        <v>4</v>
      </c>
      <c r="L94" s="18">
        <f t="shared" si="16"/>
        <v>-2</v>
      </c>
      <c r="M94" s="18">
        <f>MFP!K93</f>
        <v>3</v>
      </c>
      <c r="N94" s="18">
        <f t="shared" si="17"/>
        <v>4</v>
      </c>
      <c r="O94" s="18">
        <f t="shared" si="18"/>
        <v>-1</v>
      </c>
      <c r="P94" s="18">
        <f>DLP!O93</f>
        <v>7</v>
      </c>
      <c r="Q94" s="18">
        <f>DLP!R93</f>
        <v>6</v>
      </c>
      <c r="R94" s="18">
        <f t="shared" si="19"/>
        <v>1</v>
      </c>
      <c r="S94" s="18">
        <f>AIO!P93</f>
        <v>20</v>
      </c>
      <c r="T94" s="18">
        <f t="shared" si="20"/>
        <v>28</v>
      </c>
      <c r="U94" s="18">
        <f t="shared" si="21"/>
        <v>-8</v>
      </c>
      <c r="V94" s="18">
        <f>PAS!J93</f>
        <v>4</v>
      </c>
      <c r="W94" s="18">
        <f t="shared" si="22"/>
        <v>4</v>
      </c>
      <c r="X94" s="18">
        <f t="shared" si="23"/>
        <v>0</v>
      </c>
    </row>
    <row r="95" spans="1:24" x14ac:dyDescent="0.25">
      <c r="A95" s="15">
        <v>93</v>
      </c>
      <c r="B95" s="16" t="s">
        <v>119</v>
      </c>
      <c r="C95" s="17">
        <f>VLOOKUP(B:B,Courts!B:C,2,FALSE)</f>
        <v>15</v>
      </c>
      <c r="D95" s="17">
        <f>VLOOKUP(B:B,Courts!B:D,3,FALSE)</f>
        <v>4</v>
      </c>
      <c r="E95" s="15">
        <f>VLOOKUP(B:B,Courts!B:E,4,FALSE)</f>
        <v>0</v>
      </c>
      <c r="F95" s="15">
        <f t="shared" si="12"/>
        <v>19</v>
      </c>
      <c r="G95" s="18">
        <f>Scanners!L94</f>
        <v>20</v>
      </c>
      <c r="H95" s="18">
        <f t="shared" si="13"/>
        <v>19</v>
      </c>
      <c r="I95" s="18">
        <f t="shared" si="14"/>
        <v>1</v>
      </c>
      <c r="J95" s="18">
        <f>DisBo!I94</f>
        <v>13</v>
      </c>
      <c r="K95" s="18">
        <f t="shared" si="15"/>
        <v>19</v>
      </c>
      <c r="L95" s="18">
        <f t="shared" si="16"/>
        <v>-6</v>
      </c>
      <c r="M95" s="18">
        <f>MFP!K94</f>
        <v>16</v>
      </c>
      <c r="N95" s="18">
        <f t="shared" si="17"/>
        <v>19</v>
      </c>
      <c r="O95" s="18">
        <f t="shared" si="18"/>
        <v>-3</v>
      </c>
      <c r="P95" s="18">
        <f>DLP!O94</f>
        <v>34</v>
      </c>
      <c r="Q95" s="18">
        <f>DLP!R94</f>
        <v>38</v>
      </c>
      <c r="R95" s="18">
        <f t="shared" si="19"/>
        <v>-4</v>
      </c>
      <c r="S95" s="18">
        <f>AIO!P94</f>
        <v>128</v>
      </c>
      <c r="T95" s="18">
        <f t="shared" si="20"/>
        <v>152</v>
      </c>
      <c r="U95" s="18">
        <f t="shared" si="21"/>
        <v>-24</v>
      </c>
      <c r="V95" s="18">
        <f>PAS!J94</f>
        <v>17</v>
      </c>
      <c r="W95" s="18">
        <f t="shared" si="22"/>
        <v>19</v>
      </c>
      <c r="X95" s="18">
        <f t="shared" si="23"/>
        <v>-2</v>
      </c>
    </row>
    <row r="96" spans="1:24" x14ac:dyDescent="0.25">
      <c r="A96" s="15">
        <v>94</v>
      </c>
      <c r="B96" s="19" t="s">
        <v>120</v>
      </c>
      <c r="C96" s="17">
        <f>VLOOKUP(B:B,Courts!B:C,2,FALSE)</f>
        <v>2</v>
      </c>
      <c r="D96" s="17">
        <f>VLOOKUP(B:B,Courts!B:D,3,FALSE)</f>
        <v>0</v>
      </c>
      <c r="E96" s="15">
        <f>VLOOKUP(B:B,Courts!B:E,4,FALSE)</f>
        <v>1</v>
      </c>
      <c r="F96" s="15">
        <f t="shared" si="12"/>
        <v>3</v>
      </c>
      <c r="G96" s="18">
        <f>Scanners!L95</f>
        <v>3</v>
      </c>
      <c r="H96" s="18">
        <f t="shared" si="13"/>
        <v>3</v>
      </c>
      <c r="I96" s="18">
        <f t="shared" si="14"/>
        <v>0</v>
      </c>
      <c r="J96" s="18">
        <f>DisBo!I95</f>
        <v>3</v>
      </c>
      <c r="K96" s="18">
        <f t="shared" si="15"/>
        <v>3</v>
      </c>
      <c r="L96" s="18">
        <f t="shared" si="16"/>
        <v>0</v>
      </c>
      <c r="M96" s="18">
        <f>MFP!K95</f>
        <v>3</v>
      </c>
      <c r="N96" s="18">
        <f t="shared" si="17"/>
        <v>3</v>
      </c>
      <c r="O96" s="18">
        <f t="shared" si="18"/>
        <v>0</v>
      </c>
      <c r="P96" s="18">
        <f>DLP!O95</f>
        <v>4</v>
      </c>
      <c r="Q96" s="18">
        <f>DLP!R95</f>
        <v>4</v>
      </c>
      <c r="R96" s="18">
        <f t="shared" si="19"/>
        <v>0</v>
      </c>
      <c r="S96" s="18">
        <f>AIO!P95</f>
        <v>20</v>
      </c>
      <c r="T96" s="18">
        <f t="shared" si="20"/>
        <v>20</v>
      </c>
      <c r="U96" s="18">
        <f t="shared" si="21"/>
        <v>0</v>
      </c>
      <c r="V96" s="18">
        <f>PAS!J95</f>
        <v>2</v>
      </c>
      <c r="W96" s="18">
        <f t="shared" si="22"/>
        <v>3</v>
      </c>
      <c r="X96" s="18">
        <f t="shared" si="23"/>
        <v>-1</v>
      </c>
    </row>
    <row r="97" spans="1:24" x14ac:dyDescent="0.25">
      <c r="A97" s="15">
        <v>95</v>
      </c>
      <c r="B97" s="16" t="s">
        <v>121</v>
      </c>
      <c r="C97" s="17">
        <f>VLOOKUP(B:B,Courts!B:C,2,FALSE)</f>
        <v>26</v>
      </c>
      <c r="D97" s="17">
        <f>VLOOKUP(B:B,Courts!B:D,3,FALSE)</f>
        <v>7</v>
      </c>
      <c r="E97" s="15">
        <f>VLOOKUP(B:B,Courts!B:E,4,FALSE)</f>
        <v>0</v>
      </c>
      <c r="F97" s="15">
        <f t="shared" si="12"/>
        <v>33</v>
      </c>
      <c r="G97" s="18">
        <f>Scanners!L96</f>
        <v>33</v>
      </c>
      <c r="H97" s="18">
        <f t="shared" si="13"/>
        <v>33</v>
      </c>
      <c r="I97" s="18">
        <f t="shared" si="14"/>
        <v>0</v>
      </c>
      <c r="J97" s="18">
        <f>DisBo!I96</f>
        <v>22</v>
      </c>
      <c r="K97" s="18">
        <f t="shared" si="15"/>
        <v>33</v>
      </c>
      <c r="L97" s="18">
        <f t="shared" si="16"/>
        <v>-11</v>
      </c>
      <c r="M97" s="18">
        <f>MFP!K96</f>
        <v>28</v>
      </c>
      <c r="N97" s="18">
        <f t="shared" si="17"/>
        <v>33</v>
      </c>
      <c r="O97" s="18">
        <f t="shared" si="18"/>
        <v>-5</v>
      </c>
      <c r="P97" s="18">
        <f>DLP!O96</f>
        <v>54</v>
      </c>
      <c r="Q97" s="18">
        <f>DLP!R96</f>
        <v>66</v>
      </c>
      <c r="R97" s="18">
        <f t="shared" si="19"/>
        <v>-12</v>
      </c>
      <c r="S97" s="18">
        <f>AIO!P96</f>
        <v>232</v>
      </c>
      <c r="T97" s="18">
        <f t="shared" si="20"/>
        <v>264</v>
      </c>
      <c r="U97" s="18">
        <f t="shared" si="21"/>
        <v>-32</v>
      </c>
      <c r="V97" s="18">
        <f>PAS!J96</f>
        <v>28</v>
      </c>
      <c r="W97" s="18">
        <f t="shared" si="22"/>
        <v>33</v>
      </c>
      <c r="X97" s="18">
        <f t="shared" si="23"/>
        <v>-5</v>
      </c>
    </row>
    <row r="98" spans="1:24" x14ac:dyDescent="0.25">
      <c r="A98" s="15">
        <v>96</v>
      </c>
      <c r="B98" s="19" t="s">
        <v>122</v>
      </c>
      <c r="C98" s="17">
        <f>VLOOKUP(B:B,Courts!B:C,2,FALSE)</f>
        <v>2</v>
      </c>
      <c r="D98" s="17">
        <f>VLOOKUP(B:B,Courts!B:D,3,FALSE)</f>
        <v>0</v>
      </c>
      <c r="E98" s="15">
        <f>VLOOKUP(B:B,Courts!B:E,4,FALSE)</f>
        <v>1</v>
      </c>
      <c r="F98" s="15">
        <f t="shared" si="12"/>
        <v>3</v>
      </c>
      <c r="G98" s="18">
        <f>Scanners!L97</f>
        <v>4</v>
      </c>
      <c r="H98" s="18">
        <f t="shared" si="13"/>
        <v>3</v>
      </c>
      <c r="I98" s="18">
        <f t="shared" si="14"/>
        <v>1</v>
      </c>
      <c r="J98" s="18">
        <f>DisBo!I97</f>
        <v>2</v>
      </c>
      <c r="K98" s="18">
        <f t="shared" si="15"/>
        <v>3</v>
      </c>
      <c r="L98" s="18">
        <f t="shared" si="16"/>
        <v>-1</v>
      </c>
      <c r="M98" s="18">
        <f>MFP!K97</f>
        <v>4</v>
      </c>
      <c r="N98" s="18">
        <f t="shared" si="17"/>
        <v>3</v>
      </c>
      <c r="O98" s="18">
        <f t="shared" si="18"/>
        <v>1</v>
      </c>
      <c r="P98" s="18">
        <f>DLP!O97</f>
        <v>7</v>
      </c>
      <c r="Q98" s="18">
        <f>DLP!R97</f>
        <v>4</v>
      </c>
      <c r="R98" s="18">
        <f t="shared" si="19"/>
        <v>3</v>
      </c>
      <c r="S98" s="18">
        <f>AIO!P97</f>
        <v>28</v>
      </c>
      <c r="T98" s="18">
        <f t="shared" si="20"/>
        <v>20</v>
      </c>
      <c r="U98" s="18">
        <f t="shared" si="21"/>
        <v>8</v>
      </c>
      <c r="V98" s="18">
        <f>PAS!J97</f>
        <v>4</v>
      </c>
      <c r="W98" s="18">
        <f t="shared" si="22"/>
        <v>3</v>
      </c>
      <c r="X98" s="18">
        <f t="shared" si="23"/>
        <v>1</v>
      </c>
    </row>
    <row r="99" spans="1:24" x14ac:dyDescent="0.25">
      <c r="A99" s="15">
        <v>97</v>
      </c>
      <c r="B99" s="19" t="s">
        <v>123</v>
      </c>
      <c r="C99" s="17">
        <f>VLOOKUP(B:B,Courts!B:C,2,FALSE)</f>
        <v>1</v>
      </c>
      <c r="D99" s="17">
        <f>VLOOKUP(B:B,Courts!B:D,3,FALSE)</f>
        <v>0</v>
      </c>
      <c r="E99" s="15">
        <f>VLOOKUP(B:B,Courts!B:E,4,FALSE)</f>
        <v>0</v>
      </c>
      <c r="F99" s="15">
        <f t="shared" si="12"/>
        <v>1</v>
      </c>
      <c r="G99" s="18">
        <f>Scanners!L98</f>
        <v>0</v>
      </c>
      <c r="H99" s="18">
        <f t="shared" si="13"/>
        <v>1</v>
      </c>
      <c r="I99" s="18">
        <f t="shared" si="14"/>
        <v>-1</v>
      </c>
      <c r="J99" s="18">
        <f>DisBo!I98</f>
        <v>0</v>
      </c>
      <c r="K99" s="18">
        <f t="shared" si="15"/>
        <v>1</v>
      </c>
      <c r="L99" s="18">
        <f t="shared" si="16"/>
        <v>-1</v>
      </c>
      <c r="M99" s="18">
        <f>MFP!K98</f>
        <v>0</v>
      </c>
      <c r="N99" s="18">
        <f t="shared" si="17"/>
        <v>1</v>
      </c>
      <c r="O99" s="18">
        <f t="shared" si="18"/>
        <v>-1</v>
      </c>
      <c r="P99" s="18">
        <f>DLP!O98</f>
        <v>0</v>
      </c>
      <c r="Q99" s="18">
        <f>DLP!R98</f>
        <v>2</v>
      </c>
      <c r="R99" s="18">
        <f t="shared" si="19"/>
        <v>-2</v>
      </c>
      <c r="S99" s="18">
        <f>AIO!P98</f>
        <v>0</v>
      </c>
      <c r="T99" s="18">
        <f t="shared" si="20"/>
        <v>8</v>
      </c>
      <c r="U99" s="18">
        <f t="shared" si="21"/>
        <v>-8</v>
      </c>
      <c r="V99" s="18">
        <f>PAS!J98</f>
        <v>0</v>
      </c>
      <c r="W99" s="18">
        <f t="shared" si="22"/>
        <v>1</v>
      </c>
      <c r="X99" s="18">
        <f t="shared" si="23"/>
        <v>-1</v>
      </c>
    </row>
    <row r="100" spans="1:24" x14ac:dyDescent="0.25">
      <c r="A100" s="15">
        <v>98</v>
      </c>
      <c r="B100" s="19" t="s">
        <v>124</v>
      </c>
      <c r="C100" s="17">
        <f>VLOOKUP(B:B,Courts!B:C,2,FALSE)</f>
        <v>1</v>
      </c>
      <c r="D100" s="17">
        <f>VLOOKUP(B:B,Courts!B:D,3,FALSE)</f>
        <v>0</v>
      </c>
      <c r="E100" s="15">
        <f>VLOOKUP(B:B,Courts!B:E,4,FALSE)</f>
        <v>1</v>
      </c>
      <c r="F100" s="15">
        <f t="shared" si="12"/>
        <v>2</v>
      </c>
      <c r="G100" s="18">
        <f>Scanners!L99</f>
        <v>3</v>
      </c>
      <c r="H100" s="18">
        <f t="shared" si="13"/>
        <v>2</v>
      </c>
      <c r="I100" s="18">
        <f t="shared" si="14"/>
        <v>1</v>
      </c>
      <c r="J100" s="18">
        <f>DisBo!I99</f>
        <v>2</v>
      </c>
      <c r="K100" s="18">
        <f t="shared" si="15"/>
        <v>2</v>
      </c>
      <c r="L100" s="18">
        <f t="shared" si="16"/>
        <v>0</v>
      </c>
      <c r="M100" s="18">
        <f>MFP!K99</f>
        <v>3</v>
      </c>
      <c r="N100" s="18">
        <f t="shared" si="17"/>
        <v>2</v>
      </c>
      <c r="O100" s="18">
        <f t="shared" si="18"/>
        <v>1</v>
      </c>
      <c r="P100" s="18">
        <f>DLP!O99</f>
        <v>5</v>
      </c>
      <c r="Q100" s="18">
        <f>DLP!R99</f>
        <v>2</v>
      </c>
      <c r="R100" s="18">
        <f t="shared" si="19"/>
        <v>3</v>
      </c>
      <c r="S100" s="18">
        <f>AIO!P99</f>
        <v>16</v>
      </c>
      <c r="T100" s="18">
        <f t="shared" si="20"/>
        <v>12</v>
      </c>
      <c r="U100" s="18">
        <f t="shared" si="21"/>
        <v>4</v>
      </c>
      <c r="V100" s="18">
        <f>PAS!J99</f>
        <v>3</v>
      </c>
      <c r="W100" s="18">
        <f t="shared" si="22"/>
        <v>2</v>
      </c>
      <c r="X100" s="18">
        <f t="shared" si="23"/>
        <v>1</v>
      </c>
    </row>
    <row r="101" spans="1:24" x14ac:dyDescent="0.25">
      <c r="A101" s="15">
        <v>99</v>
      </c>
      <c r="B101" s="16" t="s">
        <v>125</v>
      </c>
      <c r="C101" s="17">
        <f>VLOOKUP(B:B,Courts!B:C,2,FALSE)</f>
        <v>15</v>
      </c>
      <c r="D101" s="17">
        <f>VLOOKUP(B:B,Courts!B:D,3,FALSE)</f>
        <v>1</v>
      </c>
      <c r="E101" s="15">
        <f>VLOOKUP(B:B,Courts!B:E,4,FALSE)</f>
        <v>0</v>
      </c>
      <c r="F101" s="15">
        <f t="shared" si="12"/>
        <v>16</v>
      </c>
      <c r="G101" s="18">
        <f>Scanners!L100</f>
        <v>20</v>
      </c>
      <c r="H101" s="18">
        <f t="shared" si="13"/>
        <v>16</v>
      </c>
      <c r="I101" s="18">
        <f t="shared" si="14"/>
        <v>4</v>
      </c>
      <c r="J101" s="18">
        <f>DisBo!I100</f>
        <v>15</v>
      </c>
      <c r="K101" s="18">
        <f t="shared" si="15"/>
        <v>16</v>
      </c>
      <c r="L101" s="18">
        <f t="shared" si="16"/>
        <v>-1</v>
      </c>
      <c r="M101" s="18">
        <f>MFP!K100</f>
        <v>19</v>
      </c>
      <c r="N101" s="18">
        <f t="shared" si="17"/>
        <v>16</v>
      </c>
      <c r="O101" s="18">
        <f t="shared" si="18"/>
        <v>3</v>
      </c>
      <c r="P101" s="18">
        <f>DLP!O100</f>
        <v>36</v>
      </c>
      <c r="Q101" s="18">
        <f>DLP!R100</f>
        <v>32</v>
      </c>
      <c r="R101" s="18">
        <f t="shared" si="19"/>
        <v>4</v>
      </c>
      <c r="S101" s="18">
        <f>AIO!P100</f>
        <v>144</v>
      </c>
      <c r="T101" s="18">
        <f t="shared" si="20"/>
        <v>128</v>
      </c>
      <c r="U101" s="18">
        <f t="shared" si="21"/>
        <v>16</v>
      </c>
      <c r="V101" s="18">
        <f>PAS!J100</f>
        <v>21</v>
      </c>
      <c r="W101" s="18">
        <f t="shared" si="22"/>
        <v>16</v>
      </c>
      <c r="X101" s="18">
        <f t="shared" si="23"/>
        <v>5</v>
      </c>
    </row>
    <row r="102" spans="1:24" x14ac:dyDescent="0.25">
      <c r="A102" s="15">
        <v>100</v>
      </c>
      <c r="B102" s="19" t="s">
        <v>126</v>
      </c>
      <c r="C102" s="17">
        <f>VLOOKUP(B:B,Courts!B:C,2,FALSE)</f>
        <v>2</v>
      </c>
      <c r="D102" s="17">
        <f>VLOOKUP(B:B,Courts!B:D,3,FALSE)</f>
        <v>1</v>
      </c>
      <c r="E102" s="15">
        <f>VLOOKUP(B:B,Courts!B:E,4,FALSE)</f>
        <v>1</v>
      </c>
      <c r="F102" s="15">
        <f t="shared" si="12"/>
        <v>4</v>
      </c>
      <c r="G102" s="18">
        <f>Scanners!L101</f>
        <v>3</v>
      </c>
      <c r="H102" s="18">
        <f t="shared" si="13"/>
        <v>4</v>
      </c>
      <c r="I102" s="18">
        <f t="shared" si="14"/>
        <v>-1</v>
      </c>
      <c r="J102" s="18">
        <f>DisBo!I101</f>
        <v>3</v>
      </c>
      <c r="K102" s="18">
        <f t="shared" si="15"/>
        <v>4</v>
      </c>
      <c r="L102" s="18">
        <f t="shared" si="16"/>
        <v>-1</v>
      </c>
      <c r="M102" s="18">
        <f>MFP!K101</f>
        <v>4</v>
      </c>
      <c r="N102" s="18">
        <f t="shared" si="17"/>
        <v>4</v>
      </c>
      <c r="O102" s="18">
        <f t="shared" si="18"/>
        <v>0</v>
      </c>
      <c r="P102" s="18">
        <f>DLP!O101</f>
        <v>9</v>
      </c>
      <c r="Q102" s="18">
        <f>DLP!R101</f>
        <v>6</v>
      </c>
      <c r="R102" s="18">
        <f t="shared" si="19"/>
        <v>3</v>
      </c>
      <c r="S102" s="18">
        <f>AIO!P101</f>
        <v>26</v>
      </c>
      <c r="T102" s="18">
        <f t="shared" si="20"/>
        <v>28</v>
      </c>
      <c r="U102" s="18">
        <f t="shared" si="21"/>
        <v>-2</v>
      </c>
      <c r="V102" s="18">
        <f>PAS!J101</f>
        <v>4</v>
      </c>
      <c r="W102" s="18">
        <f t="shared" si="22"/>
        <v>4</v>
      </c>
      <c r="X102" s="18">
        <f t="shared" si="23"/>
        <v>0</v>
      </c>
    </row>
    <row r="103" spans="1:24" x14ac:dyDescent="0.25">
      <c r="A103" s="15">
        <v>101</v>
      </c>
      <c r="B103" s="19" t="s">
        <v>127</v>
      </c>
      <c r="C103" s="17">
        <f>VLOOKUP(B:B,Courts!B:C,2,FALSE)</f>
        <v>2</v>
      </c>
      <c r="D103" s="17">
        <f>VLOOKUP(B:B,Courts!B:D,3,FALSE)</f>
        <v>0</v>
      </c>
      <c r="E103" s="15">
        <f>VLOOKUP(B:B,Courts!B:E,4,FALSE)</f>
        <v>1</v>
      </c>
      <c r="F103" s="15">
        <f t="shared" si="12"/>
        <v>3</v>
      </c>
      <c r="G103" s="18">
        <f>Scanners!L102</f>
        <v>3</v>
      </c>
      <c r="H103" s="18">
        <f t="shared" si="13"/>
        <v>3</v>
      </c>
      <c r="I103" s="18">
        <f t="shared" si="14"/>
        <v>0</v>
      </c>
      <c r="J103" s="18">
        <f>DisBo!I102</f>
        <v>2</v>
      </c>
      <c r="K103" s="18">
        <f t="shared" si="15"/>
        <v>3</v>
      </c>
      <c r="L103" s="18">
        <f t="shared" si="16"/>
        <v>-1</v>
      </c>
      <c r="M103" s="18">
        <f>MFP!K102</f>
        <v>3</v>
      </c>
      <c r="N103" s="18">
        <f t="shared" si="17"/>
        <v>3</v>
      </c>
      <c r="O103" s="18">
        <f t="shared" si="18"/>
        <v>0</v>
      </c>
      <c r="P103" s="18">
        <f>DLP!O102</f>
        <v>5</v>
      </c>
      <c r="Q103" s="18">
        <f>DLP!R102</f>
        <v>4</v>
      </c>
      <c r="R103" s="18">
        <f t="shared" si="19"/>
        <v>1</v>
      </c>
      <c r="S103" s="18">
        <f>AIO!P102</f>
        <v>20</v>
      </c>
      <c r="T103" s="18">
        <f t="shared" si="20"/>
        <v>20</v>
      </c>
      <c r="U103" s="18">
        <f t="shared" si="21"/>
        <v>0</v>
      </c>
      <c r="V103" s="18">
        <f>PAS!J102</f>
        <v>3</v>
      </c>
      <c r="W103" s="18">
        <f t="shared" si="22"/>
        <v>3</v>
      </c>
      <c r="X103" s="18">
        <f t="shared" si="23"/>
        <v>0</v>
      </c>
    </row>
    <row r="104" spans="1:24" ht="30" x14ac:dyDescent="0.25">
      <c r="A104" s="15">
        <v>102</v>
      </c>
      <c r="B104" s="19" t="s">
        <v>128</v>
      </c>
      <c r="C104" s="17">
        <f>VLOOKUP(B:B,Courts!B:C,2,FALSE)</f>
        <v>0</v>
      </c>
      <c r="D104" s="17">
        <f>VLOOKUP(B:B,Courts!B:D,3,FALSE)</f>
        <v>0</v>
      </c>
      <c r="E104" s="15">
        <f>VLOOKUP(B:B,Courts!B:E,4,FALSE)</f>
        <v>1</v>
      </c>
      <c r="F104" s="15">
        <f t="shared" si="12"/>
        <v>1</v>
      </c>
      <c r="G104" s="18">
        <f>Scanners!L103</f>
        <v>1</v>
      </c>
      <c r="H104" s="18">
        <f t="shared" si="13"/>
        <v>1</v>
      </c>
      <c r="I104" s="18">
        <f t="shared" si="14"/>
        <v>0</v>
      </c>
      <c r="J104" s="18">
        <f>DisBo!I103</f>
        <v>1</v>
      </c>
      <c r="K104" s="18">
        <f t="shared" si="15"/>
        <v>1</v>
      </c>
      <c r="L104" s="18">
        <f t="shared" si="16"/>
        <v>0</v>
      </c>
      <c r="M104" s="18">
        <f>MFP!K103</f>
        <v>1</v>
      </c>
      <c r="N104" s="18">
        <f t="shared" si="17"/>
        <v>1</v>
      </c>
      <c r="O104" s="18">
        <f t="shared" si="18"/>
        <v>0</v>
      </c>
      <c r="P104" s="18">
        <f>DLP!O103</f>
        <v>0</v>
      </c>
      <c r="Q104" s="18">
        <f>DLP!R103</f>
        <v>0</v>
      </c>
      <c r="R104" s="18">
        <f t="shared" si="19"/>
        <v>0</v>
      </c>
      <c r="S104" s="18">
        <f>AIO!P103</f>
        <v>4</v>
      </c>
      <c r="T104" s="18">
        <f t="shared" si="20"/>
        <v>4</v>
      </c>
      <c r="U104" s="18">
        <f t="shared" si="21"/>
        <v>0</v>
      </c>
      <c r="V104" s="18">
        <f>PAS!J103</f>
        <v>1</v>
      </c>
      <c r="W104" s="18">
        <f t="shared" si="22"/>
        <v>1</v>
      </c>
      <c r="X104" s="18">
        <f t="shared" si="23"/>
        <v>0</v>
      </c>
    </row>
    <row r="105" spans="1:24" x14ac:dyDescent="0.25">
      <c r="A105" s="15">
        <v>103</v>
      </c>
      <c r="B105" s="16" t="s">
        <v>129</v>
      </c>
      <c r="C105" s="17">
        <f>VLOOKUP(B:B,Courts!B:C,2,FALSE)</f>
        <v>12</v>
      </c>
      <c r="D105" s="17">
        <f>VLOOKUP(B:B,Courts!B:D,3,FALSE)</f>
        <v>3</v>
      </c>
      <c r="E105" s="15">
        <f>VLOOKUP(B:B,Courts!B:E,4,FALSE)</f>
        <v>0</v>
      </c>
      <c r="F105" s="15">
        <f t="shared" si="12"/>
        <v>15</v>
      </c>
      <c r="G105" s="18">
        <f>Scanners!L104</f>
        <v>15</v>
      </c>
      <c r="H105" s="18">
        <f t="shared" si="13"/>
        <v>15</v>
      </c>
      <c r="I105" s="18">
        <f t="shared" si="14"/>
        <v>0</v>
      </c>
      <c r="J105" s="18">
        <f>DisBo!I104</f>
        <v>12</v>
      </c>
      <c r="K105" s="18">
        <f t="shared" si="15"/>
        <v>15</v>
      </c>
      <c r="L105" s="18">
        <f t="shared" si="16"/>
        <v>-3</v>
      </c>
      <c r="M105" s="18">
        <f>MFP!K104</f>
        <v>14</v>
      </c>
      <c r="N105" s="18">
        <f t="shared" si="17"/>
        <v>15</v>
      </c>
      <c r="O105" s="18">
        <f t="shared" si="18"/>
        <v>-1</v>
      </c>
      <c r="P105" s="18">
        <f>DLP!O104</f>
        <v>30</v>
      </c>
      <c r="Q105" s="18">
        <f>DLP!R104</f>
        <v>30</v>
      </c>
      <c r="R105" s="18">
        <f t="shared" si="19"/>
        <v>0</v>
      </c>
      <c r="S105" s="18">
        <f>AIO!P104</f>
        <v>100</v>
      </c>
      <c r="T105" s="18">
        <f t="shared" si="20"/>
        <v>120</v>
      </c>
      <c r="U105" s="18">
        <f t="shared" si="21"/>
        <v>-20</v>
      </c>
      <c r="V105" s="18">
        <f>PAS!J104</f>
        <v>13</v>
      </c>
      <c r="W105" s="18">
        <f t="shared" si="22"/>
        <v>15</v>
      </c>
      <c r="X105" s="18">
        <f t="shared" si="23"/>
        <v>-2</v>
      </c>
    </row>
    <row r="106" spans="1:24" x14ac:dyDescent="0.25">
      <c r="A106" s="15">
        <v>104</v>
      </c>
      <c r="B106" s="19" t="s">
        <v>130</v>
      </c>
      <c r="C106" s="17">
        <f>VLOOKUP(B:B,Courts!B:C,2,FALSE)</f>
        <v>3</v>
      </c>
      <c r="D106" s="17">
        <f>VLOOKUP(B:B,Courts!B:D,3,FALSE)</f>
        <v>1</v>
      </c>
      <c r="E106" s="15">
        <f>VLOOKUP(B:B,Courts!B:E,4,FALSE)</f>
        <v>1</v>
      </c>
      <c r="F106" s="15">
        <f t="shared" si="12"/>
        <v>5</v>
      </c>
      <c r="G106" s="18">
        <f>Scanners!L105</f>
        <v>4</v>
      </c>
      <c r="H106" s="18">
        <f t="shared" si="13"/>
        <v>5</v>
      </c>
      <c r="I106" s="18">
        <f t="shared" si="14"/>
        <v>-1</v>
      </c>
      <c r="J106" s="18">
        <f>DisBo!I105</f>
        <v>4</v>
      </c>
      <c r="K106" s="18">
        <f t="shared" si="15"/>
        <v>5</v>
      </c>
      <c r="L106" s="18">
        <f t="shared" si="16"/>
        <v>-1</v>
      </c>
      <c r="M106" s="18">
        <f>MFP!K105</f>
        <v>4</v>
      </c>
      <c r="N106" s="18">
        <f t="shared" si="17"/>
        <v>5</v>
      </c>
      <c r="O106" s="18">
        <f t="shared" si="18"/>
        <v>-1</v>
      </c>
      <c r="P106" s="18">
        <f>DLP!O105</f>
        <v>11</v>
      </c>
      <c r="Q106" s="18">
        <f>DLP!R105</f>
        <v>8</v>
      </c>
      <c r="R106" s="18">
        <f t="shared" si="19"/>
        <v>3</v>
      </c>
      <c r="S106" s="18">
        <f>AIO!P105</f>
        <v>31</v>
      </c>
      <c r="T106" s="18">
        <f t="shared" si="20"/>
        <v>36</v>
      </c>
      <c r="U106" s="18">
        <f t="shared" si="21"/>
        <v>-5</v>
      </c>
      <c r="V106" s="18">
        <f>PAS!J105</f>
        <v>4</v>
      </c>
      <c r="W106" s="18">
        <f t="shared" si="22"/>
        <v>5</v>
      </c>
      <c r="X106" s="18">
        <f t="shared" si="23"/>
        <v>-1</v>
      </c>
    </row>
    <row r="107" spans="1:24" x14ac:dyDescent="0.25">
      <c r="A107" s="15">
        <v>105</v>
      </c>
      <c r="B107" s="19" t="s">
        <v>131</v>
      </c>
      <c r="C107" s="17">
        <f>VLOOKUP(B:B,Courts!B:C,2,FALSE)</f>
        <v>2</v>
      </c>
      <c r="D107" s="17">
        <f>VLOOKUP(B:B,Courts!B:D,3,FALSE)</f>
        <v>1</v>
      </c>
      <c r="E107" s="15">
        <f>VLOOKUP(B:B,Courts!B:E,4,FALSE)</f>
        <v>1</v>
      </c>
      <c r="F107" s="15">
        <f t="shared" si="12"/>
        <v>4</v>
      </c>
      <c r="G107" s="18">
        <f>Scanners!L106</f>
        <v>3</v>
      </c>
      <c r="H107" s="18">
        <f t="shared" si="13"/>
        <v>4</v>
      </c>
      <c r="I107" s="18">
        <f t="shared" si="14"/>
        <v>-1</v>
      </c>
      <c r="J107" s="18">
        <f>DisBo!I106</f>
        <v>1</v>
      </c>
      <c r="K107" s="18">
        <f t="shared" si="15"/>
        <v>4</v>
      </c>
      <c r="L107" s="18">
        <f t="shared" si="16"/>
        <v>-3</v>
      </c>
      <c r="M107" s="18">
        <f>MFP!K106</f>
        <v>3</v>
      </c>
      <c r="N107" s="18">
        <f t="shared" si="17"/>
        <v>4</v>
      </c>
      <c r="O107" s="18">
        <f t="shared" si="18"/>
        <v>-1</v>
      </c>
      <c r="P107" s="18">
        <f>DLP!O106</f>
        <v>5</v>
      </c>
      <c r="Q107" s="18">
        <f>DLP!R106</f>
        <v>6</v>
      </c>
      <c r="R107" s="18">
        <f t="shared" si="19"/>
        <v>-1</v>
      </c>
      <c r="S107" s="18">
        <f>AIO!P106</f>
        <v>15</v>
      </c>
      <c r="T107" s="18">
        <f t="shared" si="20"/>
        <v>28</v>
      </c>
      <c r="U107" s="18">
        <f t="shared" si="21"/>
        <v>-13</v>
      </c>
      <c r="V107" s="18">
        <f>PAS!J106</f>
        <v>3</v>
      </c>
      <c r="W107" s="18">
        <f t="shared" si="22"/>
        <v>4</v>
      </c>
      <c r="X107" s="18">
        <f t="shared" si="23"/>
        <v>-1</v>
      </c>
    </row>
    <row r="108" spans="1:24" x14ac:dyDescent="0.25">
      <c r="A108" s="15">
        <v>106</v>
      </c>
      <c r="B108" s="16" t="s">
        <v>132</v>
      </c>
      <c r="C108" s="17">
        <f>VLOOKUP(B:B,Courts!B:C,2,FALSE)</f>
        <v>13</v>
      </c>
      <c r="D108" s="17">
        <f>VLOOKUP(B:B,Courts!B:D,3,FALSE)</f>
        <v>1</v>
      </c>
      <c r="E108" s="15">
        <f>VLOOKUP(B:B,Courts!B:E,4,FALSE)</f>
        <v>0</v>
      </c>
      <c r="F108" s="15">
        <f t="shared" si="12"/>
        <v>14</v>
      </c>
      <c r="G108" s="18">
        <f>Scanners!L107</f>
        <v>18</v>
      </c>
      <c r="H108" s="18">
        <f t="shared" si="13"/>
        <v>14</v>
      </c>
      <c r="I108" s="18">
        <f t="shared" si="14"/>
        <v>4</v>
      </c>
      <c r="J108" s="18">
        <f>DisBo!I107</f>
        <v>10</v>
      </c>
      <c r="K108" s="18">
        <f t="shared" si="15"/>
        <v>14</v>
      </c>
      <c r="L108" s="18">
        <f t="shared" si="16"/>
        <v>-4</v>
      </c>
      <c r="M108" s="18">
        <f>MFP!K107</f>
        <v>14</v>
      </c>
      <c r="N108" s="18">
        <f t="shared" si="17"/>
        <v>14</v>
      </c>
      <c r="O108" s="18">
        <f t="shared" si="18"/>
        <v>0</v>
      </c>
      <c r="P108" s="18">
        <f>DLP!O107</f>
        <v>28</v>
      </c>
      <c r="Q108" s="18">
        <f>DLP!R107</f>
        <v>28</v>
      </c>
      <c r="R108" s="18">
        <f t="shared" si="19"/>
        <v>0</v>
      </c>
      <c r="S108" s="18">
        <f>AIO!P107</f>
        <v>112</v>
      </c>
      <c r="T108" s="18">
        <f t="shared" si="20"/>
        <v>112</v>
      </c>
      <c r="U108" s="18">
        <f t="shared" si="21"/>
        <v>0</v>
      </c>
      <c r="V108" s="18">
        <f>PAS!J107</f>
        <v>15</v>
      </c>
      <c r="W108" s="18">
        <f t="shared" si="22"/>
        <v>14</v>
      </c>
      <c r="X108" s="18">
        <f t="shared" si="23"/>
        <v>1</v>
      </c>
    </row>
    <row r="109" spans="1:24" ht="30" x14ac:dyDescent="0.25">
      <c r="A109" s="15">
        <v>107</v>
      </c>
      <c r="B109" s="19" t="s">
        <v>133</v>
      </c>
      <c r="C109" s="17">
        <f>VLOOKUP(B:B,Courts!B:C,2,FALSE)</f>
        <v>2</v>
      </c>
      <c r="D109" s="17">
        <f>VLOOKUP(B:B,Courts!B:D,3,FALSE)</f>
        <v>0</v>
      </c>
      <c r="E109" s="15">
        <f>VLOOKUP(B:B,Courts!B:E,4,FALSE)</f>
        <v>1</v>
      </c>
      <c r="F109" s="15">
        <f t="shared" si="12"/>
        <v>3</v>
      </c>
      <c r="G109" s="18">
        <f>Scanners!L108</f>
        <v>4</v>
      </c>
      <c r="H109" s="18">
        <f t="shared" si="13"/>
        <v>3</v>
      </c>
      <c r="I109" s="18">
        <f t="shared" si="14"/>
        <v>1</v>
      </c>
      <c r="J109" s="18">
        <f>DisBo!I108</f>
        <v>4</v>
      </c>
      <c r="K109" s="18">
        <f t="shared" si="15"/>
        <v>3</v>
      </c>
      <c r="L109" s="18">
        <f t="shared" si="16"/>
        <v>1</v>
      </c>
      <c r="M109" s="18">
        <f>MFP!K108</f>
        <v>5</v>
      </c>
      <c r="N109" s="18">
        <f t="shared" si="17"/>
        <v>3</v>
      </c>
      <c r="O109" s="18">
        <f t="shared" si="18"/>
        <v>2</v>
      </c>
      <c r="P109" s="18">
        <f>DLP!O108</f>
        <v>8</v>
      </c>
      <c r="Q109" s="18">
        <f>DLP!R108</f>
        <v>4</v>
      </c>
      <c r="R109" s="18">
        <f t="shared" si="19"/>
        <v>4</v>
      </c>
      <c r="S109" s="18">
        <f>AIO!P108</f>
        <v>35</v>
      </c>
      <c r="T109" s="18">
        <f t="shared" si="20"/>
        <v>20</v>
      </c>
      <c r="U109" s="18">
        <f t="shared" si="21"/>
        <v>15</v>
      </c>
      <c r="V109" s="18">
        <f>PAS!J108</f>
        <v>5</v>
      </c>
      <c r="W109" s="18">
        <f t="shared" si="22"/>
        <v>3</v>
      </c>
      <c r="X109" s="18">
        <f t="shared" si="23"/>
        <v>2</v>
      </c>
    </row>
    <row r="110" spans="1:24" x14ac:dyDescent="0.25">
      <c r="A110" s="15">
        <v>108</v>
      </c>
      <c r="B110" s="19" t="s">
        <v>134</v>
      </c>
      <c r="C110" s="17">
        <f>VLOOKUP(B:B,Courts!B:C,2,FALSE)</f>
        <v>3</v>
      </c>
      <c r="D110" s="17">
        <f>VLOOKUP(B:B,Courts!B:D,3,FALSE)</f>
        <v>2</v>
      </c>
      <c r="E110" s="15">
        <f>VLOOKUP(B:B,Courts!B:E,4,FALSE)</f>
        <v>0</v>
      </c>
      <c r="F110" s="15">
        <f t="shared" si="12"/>
        <v>5</v>
      </c>
      <c r="G110" s="18">
        <f>Scanners!L109</f>
        <v>2</v>
      </c>
      <c r="H110" s="18">
        <f t="shared" si="13"/>
        <v>5</v>
      </c>
      <c r="I110" s="18">
        <f t="shared" si="14"/>
        <v>-3</v>
      </c>
      <c r="J110" s="18">
        <f>DisBo!I109</f>
        <v>1</v>
      </c>
      <c r="K110" s="18">
        <f t="shared" si="15"/>
        <v>5</v>
      </c>
      <c r="L110" s="18">
        <f t="shared" si="16"/>
        <v>-4</v>
      </c>
      <c r="M110" s="18">
        <f>MFP!K109</f>
        <v>2</v>
      </c>
      <c r="N110" s="18">
        <f t="shared" si="17"/>
        <v>5</v>
      </c>
      <c r="O110" s="18">
        <f t="shared" si="18"/>
        <v>-3</v>
      </c>
      <c r="P110" s="18">
        <f>DLP!O109</f>
        <v>4</v>
      </c>
      <c r="Q110" s="18">
        <f>DLP!R109</f>
        <v>10</v>
      </c>
      <c r="R110" s="18">
        <f t="shared" si="19"/>
        <v>-6</v>
      </c>
      <c r="S110" s="18">
        <f>AIO!P109</f>
        <v>8</v>
      </c>
      <c r="T110" s="18">
        <f t="shared" si="20"/>
        <v>40</v>
      </c>
      <c r="U110" s="18">
        <f t="shared" si="21"/>
        <v>-32</v>
      </c>
      <c r="V110" s="18">
        <f>PAS!J109</f>
        <v>1</v>
      </c>
      <c r="W110" s="18">
        <f t="shared" si="22"/>
        <v>5</v>
      </c>
      <c r="X110" s="18">
        <f t="shared" si="23"/>
        <v>-4</v>
      </c>
    </row>
    <row r="111" spans="1:24" x14ac:dyDescent="0.25">
      <c r="A111" s="15">
        <v>109</v>
      </c>
      <c r="B111" s="16" t="s">
        <v>135</v>
      </c>
      <c r="C111" s="17">
        <f>VLOOKUP(B:B,Courts!B:C,2,FALSE)</f>
        <v>13</v>
      </c>
      <c r="D111" s="17">
        <f>VLOOKUP(B:B,Courts!B:D,3,FALSE)</f>
        <v>4</v>
      </c>
      <c r="E111" s="15">
        <f>VLOOKUP(B:B,Courts!B:E,4,FALSE)</f>
        <v>0</v>
      </c>
      <c r="F111" s="15">
        <f t="shared" si="12"/>
        <v>17</v>
      </c>
      <c r="G111" s="18">
        <f>Scanners!L110</f>
        <v>18</v>
      </c>
      <c r="H111" s="18">
        <f t="shared" si="13"/>
        <v>17</v>
      </c>
      <c r="I111" s="18">
        <f t="shared" si="14"/>
        <v>1</v>
      </c>
      <c r="J111" s="18">
        <f>DisBo!I110</f>
        <v>15</v>
      </c>
      <c r="K111" s="18">
        <f t="shared" si="15"/>
        <v>17</v>
      </c>
      <c r="L111" s="18">
        <f t="shared" si="16"/>
        <v>-2</v>
      </c>
      <c r="M111" s="18">
        <f>MFP!K110</f>
        <v>13</v>
      </c>
      <c r="N111" s="18">
        <f t="shared" si="17"/>
        <v>17</v>
      </c>
      <c r="O111" s="18">
        <f t="shared" si="18"/>
        <v>-4</v>
      </c>
      <c r="P111" s="18">
        <f>DLP!O110</f>
        <v>31</v>
      </c>
      <c r="Q111" s="18">
        <f>DLP!R110</f>
        <v>34</v>
      </c>
      <c r="R111" s="18">
        <f t="shared" si="19"/>
        <v>-3</v>
      </c>
      <c r="S111" s="18">
        <f>AIO!P110</f>
        <v>132</v>
      </c>
      <c r="T111" s="18">
        <f t="shared" si="20"/>
        <v>136</v>
      </c>
      <c r="U111" s="18">
        <f t="shared" si="21"/>
        <v>-4</v>
      </c>
      <c r="V111" s="18">
        <f>PAS!J110</f>
        <v>14</v>
      </c>
      <c r="W111" s="18">
        <f t="shared" si="22"/>
        <v>17</v>
      </c>
      <c r="X111" s="18">
        <f t="shared" si="23"/>
        <v>-3</v>
      </c>
    </row>
    <row r="112" spans="1:24" x14ac:dyDescent="0.25">
      <c r="A112" s="15">
        <v>110</v>
      </c>
      <c r="B112" s="19" t="s">
        <v>136</v>
      </c>
      <c r="C112" s="17">
        <f>VLOOKUP(B:B,Courts!B:C,2,FALSE)</f>
        <v>2</v>
      </c>
      <c r="D112" s="17">
        <f>VLOOKUP(B:B,Courts!B:D,3,FALSE)</f>
        <v>1</v>
      </c>
      <c r="E112" s="15">
        <f>VLOOKUP(B:B,Courts!B:E,4,FALSE)</f>
        <v>1</v>
      </c>
      <c r="F112" s="15">
        <f t="shared" si="12"/>
        <v>4</v>
      </c>
      <c r="G112" s="18">
        <f>Scanners!L111</f>
        <v>5</v>
      </c>
      <c r="H112" s="18">
        <f t="shared" si="13"/>
        <v>4</v>
      </c>
      <c r="I112" s="18">
        <f t="shared" si="14"/>
        <v>1</v>
      </c>
      <c r="J112" s="18">
        <f>DisBo!I111</f>
        <v>4</v>
      </c>
      <c r="K112" s="18">
        <f t="shared" si="15"/>
        <v>4</v>
      </c>
      <c r="L112" s="18">
        <f t="shared" si="16"/>
        <v>0</v>
      </c>
      <c r="M112" s="18">
        <f>MFP!K111</f>
        <v>4</v>
      </c>
      <c r="N112" s="18">
        <f t="shared" si="17"/>
        <v>4</v>
      </c>
      <c r="O112" s="18">
        <f t="shared" si="18"/>
        <v>0</v>
      </c>
      <c r="P112" s="18">
        <f>DLP!O111</f>
        <v>9</v>
      </c>
      <c r="Q112" s="18">
        <f>DLP!R111</f>
        <v>6</v>
      </c>
      <c r="R112" s="18">
        <f t="shared" si="19"/>
        <v>3</v>
      </c>
      <c r="S112" s="18">
        <f>AIO!P111</f>
        <v>36</v>
      </c>
      <c r="T112" s="18">
        <f t="shared" si="20"/>
        <v>28</v>
      </c>
      <c r="U112" s="18">
        <f t="shared" si="21"/>
        <v>8</v>
      </c>
      <c r="V112" s="18">
        <f>PAS!J111</f>
        <v>4</v>
      </c>
      <c r="W112" s="18">
        <f t="shared" si="22"/>
        <v>4</v>
      </c>
      <c r="X112" s="18">
        <f t="shared" si="23"/>
        <v>0</v>
      </c>
    </row>
    <row r="113" spans="1:24" x14ac:dyDescent="0.25">
      <c r="A113" s="15">
        <v>111</v>
      </c>
      <c r="B113" s="19" t="s">
        <v>137</v>
      </c>
      <c r="C113" s="17">
        <f>VLOOKUP(B:B,Courts!B:C,2,FALSE)</f>
        <v>2</v>
      </c>
      <c r="D113" s="17">
        <f>VLOOKUP(B:B,Courts!B:D,3,FALSE)</f>
        <v>0</v>
      </c>
      <c r="E113" s="15">
        <f>VLOOKUP(B:B,Courts!B:E,4,FALSE)</f>
        <v>1</v>
      </c>
      <c r="F113" s="15">
        <f t="shared" si="12"/>
        <v>3</v>
      </c>
      <c r="G113" s="18">
        <f>Scanners!L112</f>
        <v>4</v>
      </c>
      <c r="H113" s="18">
        <f t="shared" si="13"/>
        <v>3</v>
      </c>
      <c r="I113" s="18">
        <f t="shared" si="14"/>
        <v>1</v>
      </c>
      <c r="J113" s="18">
        <f>DisBo!I112</f>
        <v>3</v>
      </c>
      <c r="K113" s="18">
        <f t="shared" si="15"/>
        <v>3</v>
      </c>
      <c r="L113" s="18">
        <f t="shared" si="16"/>
        <v>0</v>
      </c>
      <c r="M113" s="18">
        <f>MFP!K112</f>
        <v>4</v>
      </c>
      <c r="N113" s="18">
        <f t="shared" si="17"/>
        <v>3</v>
      </c>
      <c r="O113" s="18">
        <f t="shared" si="18"/>
        <v>1</v>
      </c>
      <c r="P113" s="18">
        <f>DLP!O112</f>
        <v>7</v>
      </c>
      <c r="Q113" s="18">
        <f>DLP!R112</f>
        <v>4</v>
      </c>
      <c r="R113" s="18">
        <f t="shared" si="19"/>
        <v>3</v>
      </c>
      <c r="S113" s="18">
        <f>AIO!P112</f>
        <v>28</v>
      </c>
      <c r="T113" s="18">
        <f t="shared" si="20"/>
        <v>20</v>
      </c>
      <c r="U113" s="18">
        <f t="shared" si="21"/>
        <v>8</v>
      </c>
      <c r="V113" s="18">
        <f>PAS!J112</f>
        <v>4</v>
      </c>
      <c r="W113" s="18">
        <f t="shared" si="22"/>
        <v>3</v>
      </c>
      <c r="X113" s="18">
        <f t="shared" si="23"/>
        <v>1</v>
      </c>
    </row>
    <row r="114" spans="1:24" x14ac:dyDescent="0.25">
      <c r="A114" s="15">
        <v>112</v>
      </c>
      <c r="B114" s="16" t="s">
        <v>138</v>
      </c>
      <c r="C114" s="17">
        <f>VLOOKUP(B:B,Courts!B:C,2,FALSE)</f>
        <v>19</v>
      </c>
      <c r="D114" s="17">
        <f>VLOOKUP(B:B,Courts!B:D,3,FALSE)</f>
        <v>3</v>
      </c>
      <c r="E114" s="15">
        <f>VLOOKUP(B:B,Courts!B:E,4,FALSE)</f>
        <v>0</v>
      </c>
      <c r="F114" s="15">
        <f t="shared" si="12"/>
        <v>22</v>
      </c>
      <c r="G114" s="18">
        <f>Scanners!L113</f>
        <v>20</v>
      </c>
      <c r="H114" s="18">
        <f t="shared" si="13"/>
        <v>22</v>
      </c>
      <c r="I114" s="18">
        <f t="shared" si="14"/>
        <v>-2</v>
      </c>
      <c r="J114" s="18">
        <f>DisBo!I113</f>
        <v>17</v>
      </c>
      <c r="K114" s="18">
        <f t="shared" si="15"/>
        <v>22</v>
      </c>
      <c r="L114" s="18">
        <f t="shared" si="16"/>
        <v>-5</v>
      </c>
      <c r="M114" s="18">
        <f>MFP!K113</f>
        <v>19</v>
      </c>
      <c r="N114" s="18">
        <f t="shared" si="17"/>
        <v>22</v>
      </c>
      <c r="O114" s="18">
        <f t="shared" si="18"/>
        <v>-3</v>
      </c>
      <c r="P114" s="18">
        <f>DLP!O113</f>
        <v>42</v>
      </c>
      <c r="Q114" s="18">
        <f>DLP!R113</f>
        <v>44</v>
      </c>
      <c r="R114" s="18">
        <f t="shared" si="19"/>
        <v>-2</v>
      </c>
      <c r="S114" s="18">
        <f>AIO!P113</f>
        <v>144</v>
      </c>
      <c r="T114" s="18">
        <f t="shared" si="20"/>
        <v>176</v>
      </c>
      <c r="U114" s="18">
        <f t="shared" si="21"/>
        <v>-32</v>
      </c>
      <c r="V114" s="18">
        <f>PAS!J113</f>
        <v>20</v>
      </c>
      <c r="W114" s="18">
        <f t="shared" si="22"/>
        <v>22</v>
      </c>
      <c r="X114" s="18">
        <f t="shared" si="23"/>
        <v>-2</v>
      </c>
    </row>
    <row r="115" spans="1:24" x14ac:dyDescent="0.25">
      <c r="A115" s="15">
        <v>113</v>
      </c>
      <c r="B115" s="19" t="s">
        <v>139</v>
      </c>
      <c r="C115" s="17">
        <f>VLOOKUP(B:B,Courts!B:C,2,FALSE)</f>
        <v>3</v>
      </c>
      <c r="D115" s="17">
        <f>VLOOKUP(B:B,Courts!B:D,3,FALSE)</f>
        <v>1</v>
      </c>
      <c r="E115" s="15">
        <f>VLOOKUP(B:B,Courts!B:E,4,FALSE)</f>
        <v>1</v>
      </c>
      <c r="F115" s="15">
        <f t="shared" si="12"/>
        <v>5</v>
      </c>
      <c r="G115" s="18">
        <f>Scanners!L114</f>
        <v>4</v>
      </c>
      <c r="H115" s="18">
        <f t="shared" si="13"/>
        <v>5</v>
      </c>
      <c r="I115" s="18">
        <f t="shared" si="14"/>
        <v>-1</v>
      </c>
      <c r="J115" s="18">
        <f>DisBo!I114</f>
        <v>2</v>
      </c>
      <c r="K115" s="18">
        <f t="shared" si="15"/>
        <v>5</v>
      </c>
      <c r="L115" s="18">
        <f t="shared" si="16"/>
        <v>-3</v>
      </c>
      <c r="M115" s="18">
        <f>MFP!K114</f>
        <v>4</v>
      </c>
      <c r="N115" s="18">
        <f t="shared" si="17"/>
        <v>5</v>
      </c>
      <c r="O115" s="18">
        <f t="shared" si="18"/>
        <v>-1</v>
      </c>
      <c r="P115" s="18">
        <f>DLP!O114</f>
        <v>7</v>
      </c>
      <c r="Q115" s="18">
        <f>DLP!R114</f>
        <v>8</v>
      </c>
      <c r="R115" s="18">
        <f t="shared" si="19"/>
        <v>-1</v>
      </c>
      <c r="S115" s="18">
        <f>AIO!P114</f>
        <v>30</v>
      </c>
      <c r="T115" s="18">
        <f t="shared" si="20"/>
        <v>36</v>
      </c>
      <c r="U115" s="18">
        <f t="shared" si="21"/>
        <v>-6</v>
      </c>
      <c r="V115" s="18">
        <f>PAS!J114</f>
        <v>5</v>
      </c>
      <c r="W115" s="18">
        <f t="shared" si="22"/>
        <v>5</v>
      </c>
      <c r="X115" s="18">
        <f t="shared" si="23"/>
        <v>0</v>
      </c>
    </row>
    <row r="116" spans="1:24" x14ac:dyDescent="0.25">
      <c r="A116" s="15">
        <v>114</v>
      </c>
      <c r="B116" s="16" t="s">
        <v>140</v>
      </c>
      <c r="C116" s="17">
        <f>VLOOKUP(B:B,Courts!B:C,2,FALSE)</f>
        <v>11</v>
      </c>
      <c r="D116" s="17">
        <f>VLOOKUP(B:B,Courts!B:D,3,FALSE)</f>
        <v>1</v>
      </c>
      <c r="E116" s="15">
        <f>VLOOKUP(B:B,Courts!B:E,4,FALSE)</f>
        <v>0</v>
      </c>
      <c r="F116" s="15">
        <f t="shared" si="12"/>
        <v>12</v>
      </c>
      <c r="G116" s="18">
        <f>Scanners!L115</f>
        <v>11</v>
      </c>
      <c r="H116" s="18">
        <f t="shared" si="13"/>
        <v>12</v>
      </c>
      <c r="I116" s="18">
        <f t="shared" si="14"/>
        <v>-1</v>
      </c>
      <c r="J116" s="18">
        <f>DisBo!I115</f>
        <v>13</v>
      </c>
      <c r="K116" s="18">
        <f t="shared" si="15"/>
        <v>12</v>
      </c>
      <c r="L116" s="18">
        <f t="shared" si="16"/>
        <v>1</v>
      </c>
      <c r="M116" s="18">
        <f>MFP!K115</f>
        <v>10</v>
      </c>
      <c r="N116" s="18">
        <f t="shared" si="17"/>
        <v>12</v>
      </c>
      <c r="O116" s="18">
        <f t="shared" si="18"/>
        <v>-2</v>
      </c>
      <c r="P116" s="18">
        <f>DLP!O115</f>
        <v>25</v>
      </c>
      <c r="Q116" s="18">
        <f>DLP!R115</f>
        <v>24</v>
      </c>
      <c r="R116" s="18">
        <f t="shared" si="19"/>
        <v>1</v>
      </c>
      <c r="S116" s="18">
        <f>AIO!P115</f>
        <v>72</v>
      </c>
      <c r="T116" s="18">
        <f t="shared" si="20"/>
        <v>96</v>
      </c>
      <c r="U116" s="18">
        <f t="shared" si="21"/>
        <v>-24</v>
      </c>
      <c r="V116" s="18">
        <f>PAS!J115</f>
        <v>11</v>
      </c>
      <c r="W116" s="18">
        <f t="shared" si="22"/>
        <v>12</v>
      </c>
      <c r="X116" s="18">
        <f t="shared" si="23"/>
        <v>-1</v>
      </c>
    </row>
    <row r="117" spans="1:24" x14ac:dyDescent="0.25">
      <c r="A117" s="15">
        <v>115</v>
      </c>
      <c r="B117" s="19" t="s">
        <v>141</v>
      </c>
      <c r="C117" s="17">
        <f>VLOOKUP(B:B,Courts!B:C,2,FALSE)</f>
        <v>2</v>
      </c>
      <c r="D117" s="17">
        <f>VLOOKUP(B:B,Courts!B:D,3,FALSE)</f>
        <v>0</v>
      </c>
      <c r="E117" s="15">
        <f>VLOOKUP(B:B,Courts!B:E,4,FALSE)</f>
        <v>0</v>
      </c>
      <c r="F117" s="15">
        <f t="shared" si="12"/>
        <v>2</v>
      </c>
      <c r="G117" s="18">
        <f>Scanners!L116</f>
        <v>3</v>
      </c>
      <c r="H117" s="18">
        <f t="shared" si="13"/>
        <v>2</v>
      </c>
      <c r="I117" s="18">
        <f t="shared" si="14"/>
        <v>1</v>
      </c>
      <c r="J117" s="18">
        <f>DisBo!I116</f>
        <v>2</v>
      </c>
      <c r="K117" s="18">
        <f t="shared" si="15"/>
        <v>2</v>
      </c>
      <c r="L117" s="18">
        <f t="shared" si="16"/>
        <v>0</v>
      </c>
      <c r="M117" s="18">
        <f>MFP!K116</f>
        <v>3</v>
      </c>
      <c r="N117" s="18">
        <f t="shared" si="17"/>
        <v>2</v>
      </c>
      <c r="O117" s="18">
        <f t="shared" si="18"/>
        <v>1</v>
      </c>
      <c r="P117" s="18">
        <f>DLP!O116</f>
        <v>7</v>
      </c>
      <c r="Q117" s="18">
        <f>DLP!R116</f>
        <v>4</v>
      </c>
      <c r="R117" s="18">
        <f t="shared" si="19"/>
        <v>3</v>
      </c>
      <c r="S117" s="18">
        <f>AIO!P116</f>
        <v>20</v>
      </c>
      <c r="T117" s="18">
        <f t="shared" si="20"/>
        <v>16</v>
      </c>
      <c r="U117" s="18">
        <f t="shared" si="21"/>
        <v>4</v>
      </c>
      <c r="V117" s="18">
        <f>PAS!J116</f>
        <v>2</v>
      </c>
      <c r="W117" s="18">
        <f t="shared" si="22"/>
        <v>2</v>
      </c>
      <c r="X117" s="18">
        <f t="shared" si="23"/>
        <v>0</v>
      </c>
    </row>
    <row r="118" spans="1:24" x14ac:dyDescent="0.25">
      <c r="A118" s="15">
        <v>116</v>
      </c>
      <c r="B118" s="16" t="s">
        <v>1</v>
      </c>
      <c r="C118" s="17">
        <f>VLOOKUP(B:B,Courts!B:C,2,FALSE)</f>
        <v>18</v>
      </c>
      <c r="D118" s="17">
        <f>VLOOKUP(B:B,Courts!B:D,3,FALSE)</f>
        <v>3</v>
      </c>
      <c r="E118" s="15">
        <f>VLOOKUP(B:B,Courts!B:E,4,FALSE)</f>
        <v>0</v>
      </c>
      <c r="F118" s="15">
        <f t="shared" si="12"/>
        <v>21</v>
      </c>
      <c r="G118" s="18">
        <f>Scanners!L117</f>
        <v>19</v>
      </c>
      <c r="H118" s="18">
        <f t="shared" si="13"/>
        <v>21</v>
      </c>
      <c r="I118" s="18">
        <f t="shared" si="14"/>
        <v>-2</v>
      </c>
      <c r="J118" s="18">
        <f>DisBo!I117</f>
        <v>15</v>
      </c>
      <c r="K118" s="18">
        <f t="shared" si="15"/>
        <v>21</v>
      </c>
      <c r="L118" s="18">
        <f t="shared" si="16"/>
        <v>-6</v>
      </c>
      <c r="M118" s="18">
        <f>MFP!K117</f>
        <v>18</v>
      </c>
      <c r="N118" s="18">
        <f t="shared" si="17"/>
        <v>21</v>
      </c>
      <c r="O118" s="18">
        <f t="shared" si="18"/>
        <v>-3</v>
      </c>
      <c r="P118" s="18">
        <f>DLP!O117</f>
        <v>40</v>
      </c>
      <c r="Q118" s="18">
        <f>DLP!R117</f>
        <v>42</v>
      </c>
      <c r="R118" s="18">
        <f t="shared" si="19"/>
        <v>-2</v>
      </c>
      <c r="S118" s="18">
        <f>AIO!P117</f>
        <v>144</v>
      </c>
      <c r="T118" s="18">
        <f t="shared" si="20"/>
        <v>168</v>
      </c>
      <c r="U118" s="18">
        <f t="shared" si="21"/>
        <v>-24</v>
      </c>
      <c r="V118" s="18">
        <f>PAS!J117</f>
        <v>21</v>
      </c>
      <c r="W118" s="18">
        <f t="shared" si="22"/>
        <v>21</v>
      </c>
      <c r="X118" s="18">
        <f t="shared" si="23"/>
        <v>0</v>
      </c>
    </row>
    <row r="119" spans="1:24" x14ac:dyDescent="0.25">
      <c r="A119" s="15">
        <v>117</v>
      </c>
      <c r="B119" s="19" t="s">
        <v>142</v>
      </c>
      <c r="C119" s="17">
        <f>VLOOKUP(B:B,Courts!B:C,2,FALSE)</f>
        <v>2</v>
      </c>
      <c r="D119" s="17">
        <f>VLOOKUP(B:B,Courts!B:D,3,FALSE)</f>
        <v>0</v>
      </c>
      <c r="E119" s="15">
        <f>VLOOKUP(B:B,Courts!B:E,4,FALSE)</f>
        <v>1</v>
      </c>
      <c r="F119" s="15">
        <f t="shared" si="12"/>
        <v>3</v>
      </c>
      <c r="G119" s="18">
        <f>Scanners!L118</f>
        <v>3</v>
      </c>
      <c r="H119" s="18">
        <f t="shared" si="13"/>
        <v>3</v>
      </c>
      <c r="I119" s="18">
        <f t="shared" si="14"/>
        <v>0</v>
      </c>
      <c r="J119" s="18">
        <f>DisBo!I118</f>
        <v>2</v>
      </c>
      <c r="K119" s="18">
        <f t="shared" si="15"/>
        <v>3</v>
      </c>
      <c r="L119" s="18">
        <f t="shared" si="16"/>
        <v>-1</v>
      </c>
      <c r="M119" s="18">
        <f>MFP!K118</f>
        <v>3</v>
      </c>
      <c r="N119" s="18">
        <f t="shared" si="17"/>
        <v>3</v>
      </c>
      <c r="O119" s="18">
        <f t="shared" si="18"/>
        <v>0</v>
      </c>
      <c r="P119" s="18">
        <f>DLP!O118</f>
        <v>6</v>
      </c>
      <c r="Q119" s="18">
        <f>DLP!R118</f>
        <v>4</v>
      </c>
      <c r="R119" s="18">
        <f t="shared" si="19"/>
        <v>2</v>
      </c>
      <c r="S119" s="18">
        <f>AIO!P118</f>
        <v>27</v>
      </c>
      <c r="T119" s="18">
        <f t="shared" si="20"/>
        <v>20</v>
      </c>
      <c r="U119" s="18">
        <f t="shared" si="21"/>
        <v>7</v>
      </c>
      <c r="V119" s="18">
        <f>PAS!J118</f>
        <v>2</v>
      </c>
      <c r="W119" s="18">
        <f t="shared" si="22"/>
        <v>3</v>
      </c>
      <c r="X119" s="18">
        <f t="shared" si="23"/>
        <v>-1</v>
      </c>
    </row>
    <row r="120" spans="1:24" x14ac:dyDescent="0.25">
      <c r="A120" s="15">
        <v>118</v>
      </c>
      <c r="B120" s="19" t="s">
        <v>143</v>
      </c>
      <c r="C120" s="17">
        <f>VLOOKUP(B:B,Courts!B:C,2,FALSE)</f>
        <v>2</v>
      </c>
      <c r="D120" s="17">
        <f>VLOOKUP(B:B,Courts!B:D,3,FALSE)</f>
        <v>0</v>
      </c>
      <c r="E120" s="15">
        <f>VLOOKUP(B:B,Courts!B:E,4,FALSE)</f>
        <v>1</v>
      </c>
      <c r="F120" s="15">
        <f t="shared" si="12"/>
        <v>3</v>
      </c>
      <c r="G120" s="18">
        <f>Scanners!L119</f>
        <v>3</v>
      </c>
      <c r="H120" s="18">
        <f t="shared" si="13"/>
        <v>3</v>
      </c>
      <c r="I120" s="18">
        <f t="shared" si="14"/>
        <v>0</v>
      </c>
      <c r="J120" s="18">
        <f>DisBo!I119</f>
        <v>2</v>
      </c>
      <c r="K120" s="18">
        <f t="shared" si="15"/>
        <v>3</v>
      </c>
      <c r="L120" s="18">
        <f t="shared" si="16"/>
        <v>-1</v>
      </c>
      <c r="M120" s="18">
        <f>MFP!K119</f>
        <v>3</v>
      </c>
      <c r="N120" s="18">
        <f t="shared" si="17"/>
        <v>3</v>
      </c>
      <c r="O120" s="18">
        <f t="shared" si="18"/>
        <v>0</v>
      </c>
      <c r="P120" s="18">
        <f>DLP!O119</f>
        <v>5</v>
      </c>
      <c r="Q120" s="18">
        <f>DLP!R119</f>
        <v>4</v>
      </c>
      <c r="R120" s="18">
        <f t="shared" si="19"/>
        <v>1</v>
      </c>
      <c r="S120" s="18">
        <f>AIO!P119</f>
        <v>20</v>
      </c>
      <c r="T120" s="18">
        <f t="shared" si="20"/>
        <v>20</v>
      </c>
      <c r="U120" s="18">
        <f t="shared" si="21"/>
        <v>0</v>
      </c>
      <c r="V120" s="18">
        <f>PAS!J119</f>
        <v>3</v>
      </c>
      <c r="W120" s="18">
        <f t="shared" si="22"/>
        <v>3</v>
      </c>
      <c r="X120" s="18">
        <f t="shared" si="23"/>
        <v>0</v>
      </c>
    </row>
    <row r="121" spans="1:24" x14ac:dyDescent="0.25">
      <c r="A121" s="15">
        <v>119</v>
      </c>
      <c r="B121" s="16" t="s">
        <v>144</v>
      </c>
      <c r="C121" s="17">
        <f>VLOOKUP(B:B,Courts!B:C,2,FALSE)</f>
        <v>19</v>
      </c>
      <c r="D121" s="17">
        <f>VLOOKUP(B:B,Courts!B:D,3,FALSE)</f>
        <v>5</v>
      </c>
      <c r="E121" s="15">
        <f>VLOOKUP(B:B,Courts!B:E,4,FALSE)</f>
        <v>0</v>
      </c>
      <c r="F121" s="15">
        <f t="shared" si="12"/>
        <v>24</v>
      </c>
      <c r="G121" s="18">
        <f>Scanners!L120</f>
        <v>22</v>
      </c>
      <c r="H121" s="18">
        <f t="shared" si="13"/>
        <v>24</v>
      </c>
      <c r="I121" s="18">
        <f t="shared" si="14"/>
        <v>-2</v>
      </c>
      <c r="J121" s="18">
        <f>DisBo!I120</f>
        <v>17</v>
      </c>
      <c r="K121" s="18">
        <f t="shared" si="15"/>
        <v>24</v>
      </c>
      <c r="L121" s="18">
        <f t="shared" si="16"/>
        <v>-7</v>
      </c>
      <c r="M121" s="18">
        <f>MFP!K120</f>
        <v>22</v>
      </c>
      <c r="N121" s="18">
        <f t="shared" si="17"/>
        <v>24</v>
      </c>
      <c r="O121" s="18">
        <f t="shared" si="18"/>
        <v>-2</v>
      </c>
      <c r="P121" s="18">
        <f>DLP!O120</f>
        <v>42</v>
      </c>
      <c r="Q121" s="18">
        <f>DLP!R120</f>
        <v>48</v>
      </c>
      <c r="R121" s="18">
        <f t="shared" si="19"/>
        <v>-6</v>
      </c>
      <c r="S121" s="18">
        <f>AIO!P120</f>
        <v>160</v>
      </c>
      <c r="T121" s="18">
        <f t="shared" si="20"/>
        <v>192</v>
      </c>
      <c r="U121" s="18">
        <f t="shared" si="21"/>
        <v>-32</v>
      </c>
      <c r="V121" s="18">
        <f>PAS!J120</f>
        <v>24</v>
      </c>
      <c r="W121" s="18">
        <f t="shared" si="22"/>
        <v>24</v>
      </c>
      <c r="X121" s="18">
        <f t="shared" si="23"/>
        <v>0</v>
      </c>
    </row>
    <row r="122" spans="1:24" x14ac:dyDescent="0.25">
      <c r="A122" s="15">
        <v>120</v>
      </c>
      <c r="B122" s="19" t="s">
        <v>145</v>
      </c>
      <c r="C122" s="17">
        <f>VLOOKUP(B:B,Courts!B:C,2,FALSE)</f>
        <v>1</v>
      </c>
      <c r="D122" s="17">
        <f>VLOOKUP(B:B,Courts!B:D,3,FALSE)</f>
        <v>0</v>
      </c>
      <c r="E122" s="15">
        <f>VLOOKUP(B:B,Courts!B:E,4,FALSE)</f>
        <v>1</v>
      </c>
      <c r="F122" s="15">
        <f t="shared" si="12"/>
        <v>2</v>
      </c>
      <c r="G122" s="18">
        <f>Scanners!L121</f>
        <v>3</v>
      </c>
      <c r="H122" s="18">
        <f t="shared" si="13"/>
        <v>2</v>
      </c>
      <c r="I122" s="18">
        <f t="shared" si="14"/>
        <v>1</v>
      </c>
      <c r="J122" s="18">
        <f>DisBo!I121</f>
        <v>2</v>
      </c>
      <c r="K122" s="18">
        <f t="shared" si="15"/>
        <v>2</v>
      </c>
      <c r="L122" s="18">
        <f t="shared" si="16"/>
        <v>0</v>
      </c>
      <c r="M122" s="18">
        <f>MFP!K121</f>
        <v>3</v>
      </c>
      <c r="N122" s="18">
        <f t="shared" si="17"/>
        <v>2</v>
      </c>
      <c r="O122" s="18">
        <f t="shared" si="18"/>
        <v>1</v>
      </c>
      <c r="P122" s="18">
        <f>DLP!O121</f>
        <v>4</v>
      </c>
      <c r="Q122" s="18">
        <f>DLP!R121</f>
        <v>2</v>
      </c>
      <c r="R122" s="18">
        <f t="shared" si="19"/>
        <v>2</v>
      </c>
      <c r="S122" s="18">
        <f>AIO!P121</f>
        <v>24</v>
      </c>
      <c r="T122" s="18">
        <f t="shared" si="20"/>
        <v>12</v>
      </c>
      <c r="U122" s="18">
        <f t="shared" si="21"/>
        <v>12</v>
      </c>
      <c r="V122" s="18">
        <f>PAS!J121</f>
        <v>3</v>
      </c>
      <c r="W122" s="18">
        <f t="shared" si="22"/>
        <v>2</v>
      </c>
      <c r="X122" s="18">
        <f t="shared" si="23"/>
        <v>1</v>
      </c>
    </row>
    <row r="123" spans="1:24" x14ac:dyDescent="0.25">
      <c r="A123" s="15">
        <v>121</v>
      </c>
      <c r="B123" s="16" t="s">
        <v>146</v>
      </c>
      <c r="C123" s="17">
        <f>VLOOKUP(B:B,Courts!B:C,2,FALSE)</f>
        <v>15</v>
      </c>
      <c r="D123" s="17">
        <f>VLOOKUP(B:B,Courts!B:D,3,FALSE)</f>
        <v>2</v>
      </c>
      <c r="E123" s="15">
        <f>VLOOKUP(B:B,Courts!B:E,4,FALSE)</f>
        <v>0</v>
      </c>
      <c r="F123" s="15">
        <f t="shared" si="12"/>
        <v>17</v>
      </c>
      <c r="G123" s="18">
        <f>Scanners!L122</f>
        <v>15</v>
      </c>
      <c r="H123" s="18">
        <f t="shared" si="13"/>
        <v>17</v>
      </c>
      <c r="I123" s="18">
        <f t="shared" si="14"/>
        <v>-2</v>
      </c>
      <c r="J123" s="18">
        <f>DisBo!I122</f>
        <v>12</v>
      </c>
      <c r="K123" s="18">
        <f t="shared" si="15"/>
        <v>17</v>
      </c>
      <c r="L123" s="18">
        <f t="shared" si="16"/>
        <v>-5</v>
      </c>
      <c r="M123" s="18">
        <f>MFP!K122</f>
        <v>15</v>
      </c>
      <c r="N123" s="18">
        <f t="shared" si="17"/>
        <v>17</v>
      </c>
      <c r="O123" s="18">
        <f t="shared" si="18"/>
        <v>-2</v>
      </c>
      <c r="P123" s="18">
        <f>DLP!O122</f>
        <v>28</v>
      </c>
      <c r="Q123" s="18">
        <f>DLP!R122</f>
        <v>34</v>
      </c>
      <c r="R123" s="18">
        <f t="shared" si="19"/>
        <v>-6</v>
      </c>
      <c r="S123" s="18">
        <f>AIO!P122</f>
        <v>96</v>
      </c>
      <c r="T123" s="18">
        <f t="shared" si="20"/>
        <v>136</v>
      </c>
      <c r="U123" s="18">
        <f t="shared" si="21"/>
        <v>-40</v>
      </c>
      <c r="V123" s="18">
        <f>PAS!J122</f>
        <v>14</v>
      </c>
      <c r="W123" s="18">
        <f t="shared" si="22"/>
        <v>17</v>
      </c>
      <c r="X123" s="18">
        <f t="shared" si="23"/>
        <v>-3</v>
      </c>
    </row>
    <row r="124" spans="1:24" x14ac:dyDescent="0.25">
      <c r="A124" s="15">
        <v>122</v>
      </c>
      <c r="B124" s="19" t="s">
        <v>147</v>
      </c>
      <c r="C124" s="17">
        <f>VLOOKUP(B:B,Courts!B:C,2,FALSE)</f>
        <v>2</v>
      </c>
      <c r="D124" s="17">
        <f>VLOOKUP(B:B,Courts!B:D,3,FALSE)</f>
        <v>1</v>
      </c>
      <c r="E124" s="15">
        <f>VLOOKUP(B:B,Courts!B:E,4,FALSE)</f>
        <v>1</v>
      </c>
      <c r="F124" s="15">
        <f t="shared" si="12"/>
        <v>4</v>
      </c>
      <c r="G124" s="18">
        <f>Scanners!L123</f>
        <v>4</v>
      </c>
      <c r="H124" s="18">
        <f t="shared" si="13"/>
        <v>4</v>
      </c>
      <c r="I124" s="18">
        <f t="shared" si="14"/>
        <v>0</v>
      </c>
      <c r="J124" s="18">
        <f>DisBo!I123</f>
        <v>4</v>
      </c>
      <c r="K124" s="18">
        <f t="shared" si="15"/>
        <v>4</v>
      </c>
      <c r="L124" s="18">
        <f t="shared" si="16"/>
        <v>0</v>
      </c>
      <c r="M124" s="18">
        <f>MFP!K123</f>
        <v>3</v>
      </c>
      <c r="N124" s="18">
        <f t="shared" si="17"/>
        <v>4</v>
      </c>
      <c r="O124" s="18">
        <f t="shared" si="18"/>
        <v>-1</v>
      </c>
      <c r="P124" s="18">
        <f>DLP!O123</f>
        <v>8</v>
      </c>
      <c r="Q124" s="18">
        <f>DLP!R123</f>
        <v>6</v>
      </c>
      <c r="R124" s="18">
        <f t="shared" si="19"/>
        <v>2</v>
      </c>
      <c r="S124" s="18">
        <f>AIO!P123</f>
        <v>28</v>
      </c>
      <c r="T124" s="18">
        <f t="shared" si="20"/>
        <v>28</v>
      </c>
      <c r="U124" s="18">
        <f t="shared" si="21"/>
        <v>0</v>
      </c>
      <c r="V124" s="18">
        <f>PAS!J123</f>
        <v>3</v>
      </c>
      <c r="W124" s="18">
        <f t="shared" si="22"/>
        <v>4</v>
      </c>
      <c r="X124" s="18">
        <f t="shared" si="23"/>
        <v>-1</v>
      </c>
    </row>
    <row r="125" spans="1:24" x14ac:dyDescent="0.25">
      <c r="A125" s="15">
        <v>123</v>
      </c>
      <c r="B125" s="19" t="s">
        <v>148</v>
      </c>
      <c r="C125" s="17">
        <f>VLOOKUP(B:B,Courts!B:C,2,FALSE)</f>
        <v>2</v>
      </c>
      <c r="D125" s="17">
        <f>VLOOKUP(B:B,Courts!B:D,3,FALSE)</f>
        <v>0</v>
      </c>
      <c r="E125" s="15">
        <f>VLOOKUP(B:B,Courts!B:E,4,FALSE)</f>
        <v>1</v>
      </c>
      <c r="F125" s="15">
        <f t="shared" si="12"/>
        <v>3</v>
      </c>
      <c r="G125" s="18">
        <f>Scanners!L124</f>
        <v>3</v>
      </c>
      <c r="H125" s="18">
        <f t="shared" si="13"/>
        <v>3</v>
      </c>
      <c r="I125" s="18">
        <f t="shared" si="14"/>
        <v>0</v>
      </c>
      <c r="J125" s="18">
        <f>DisBo!I124</f>
        <v>3</v>
      </c>
      <c r="K125" s="18">
        <f t="shared" si="15"/>
        <v>3</v>
      </c>
      <c r="L125" s="18">
        <f t="shared" si="16"/>
        <v>0</v>
      </c>
      <c r="M125" s="18">
        <f>MFP!K124</f>
        <v>3</v>
      </c>
      <c r="N125" s="18">
        <f t="shared" si="17"/>
        <v>3</v>
      </c>
      <c r="O125" s="18">
        <f t="shared" si="18"/>
        <v>0</v>
      </c>
      <c r="P125" s="18">
        <f>DLP!O124</f>
        <v>7</v>
      </c>
      <c r="Q125" s="18">
        <f>DLP!R124</f>
        <v>4</v>
      </c>
      <c r="R125" s="18">
        <f t="shared" si="19"/>
        <v>3</v>
      </c>
      <c r="S125" s="18">
        <f>AIO!P124</f>
        <v>23</v>
      </c>
      <c r="T125" s="18">
        <f t="shared" si="20"/>
        <v>20</v>
      </c>
      <c r="U125" s="18">
        <f t="shared" si="21"/>
        <v>3</v>
      </c>
      <c r="V125" s="18">
        <f>PAS!J124</f>
        <v>3</v>
      </c>
      <c r="W125" s="18">
        <f t="shared" si="22"/>
        <v>3</v>
      </c>
      <c r="X125" s="18">
        <f t="shared" si="23"/>
        <v>0</v>
      </c>
    </row>
    <row r="126" spans="1:24" ht="30" x14ac:dyDescent="0.25">
      <c r="A126" s="15">
        <v>124</v>
      </c>
      <c r="B126" s="19" t="s">
        <v>149</v>
      </c>
      <c r="C126" s="17">
        <f>VLOOKUP(B:B,Courts!B:C,2,FALSE)</f>
        <v>0</v>
      </c>
      <c r="D126" s="17">
        <f>VLOOKUP(B:B,Courts!B:D,3,FALSE)</f>
        <v>0</v>
      </c>
      <c r="E126" s="15">
        <f>VLOOKUP(B:B,Courts!B:E,4,FALSE)</f>
        <v>1</v>
      </c>
      <c r="F126" s="15">
        <f t="shared" si="12"/>
        <v>1</v>
      </c>
      <c r="G126" s="18">
        <f>Scanners!L125</f>
        <v>1</v>
      </c>
      <c r="H126" s="18">
        <f t="shared" si="13"/>
        <v>1</v>
      </c>
      <c r="I126" s="18">
        <f t="shared" si="14"/>
        <v>0</v>
      </c>
      <c r="J126" s="18">
        <f>DisBo!I125</f>
        <v>1</v>
      </c>
      <c r="K126" s="18">
        <f t="shared" si="15"/>
        <v>1</v>
      </c>
      <c r="L126" s="18">
        <f t="shared" si="16"/>
        <v>0</v>
      </c>
      <c r="M126" s="18">
        <f>MFP!K125</f>
        <v>1</v>
      </c>
      <c r="N126" s="18">
        <f t="shared" si="17"/>
        <v>1</v>
      </c>
      <c r="O126" s="18">
        <f t="shared" si="18"/>
        <v>0</v>
      </c>
      <c r="P126" s="18">
        <f>DLP!O125</f>
        <v>0</v>
      </c>
      <c r="Q126" s="18">
        <f>DLP!R125</f>
        <v>0</v>
      </c>
      <c r="R126" s="18">
        <f t="shared" si="19"/>
        <v>0</v>
      </c>
      <c r="S126" s="18">
        <f>AIO!P125</f>
        <v>4</v>
      </c>
      <c r="T126" s="18">
        <f t="shared" si="20"/>
        <v>4</v>
      </c>
      <c r="U126" s="18">
        <f t="shared" si="21"/>
        <v>0</v>
      </c>
      <c r="V126" s="18">
        <f>PAS!J125</f>
        <v>1</v>
      </c>
      <c r="W126" s="18">
        <f t="shared" si="22"/>
        <v>1</v>
      </c>
      <c r="X126" s="18">
        <f t="shared" si="23"/>
        <v>0</v>
      </c>
    </row>
    <row r="127" spans="1:24" x14ac:dyDescent="0.25">
      <c r="A127" s="15">
        <v>125</v>
      </c>
      <c r="B127" s="16" t="s">
        <v>150</v>
      </c>
      <c r="C127" s="17">
        <f>VLOOKUP(B:B,Courts!B:C,2,FALSE)</f>
        <v>18</v>
      </c>
      <c r="D127" s="17">
        <f>VLOOKUP(B:B,Courts!B:D,3,FALSE)</f>
        <v>3</v>
      </c>
      <c r="E127" s="15">
        <f>VLOOKUP(B:B,Courts!B:E,4,FALSE)</f>
        <v>0</v>
      </c>
      <c r="F127" s="15">
        <f t="shared" si="12"/>
        <v>21</v>
      </c>
      <c r="G127" s="18">
        <f>Scanners!L126</f>
        <v>23</v>
      </c>
      <c r="H127" s="18">
        <f t="shared" si="13"/>
        <v>21</v>
      </c>
      <c r="I127" s="18">
        <f t="shared" si="14"/>
        <v>2</v>
      </c>
      <c r="J127" s="18">
        <f>DisBo!I126</f>
        <v>19</v>
      </c>
      <c r="K127" s="18">
        <f t="shared" si="15"/>
        <v>21</v>
      </c>
      <c r="L127" s="18">
        <f t="shared" si="16"/>
        <v>-2</v>
      </c>
      <c r="M127" s="18">
        <f>MFP!K126</f>
        <v>19</v>
      </c>
      <c r="N127" s="18">
        <f t="shared" si="17"/>
        <v>21</v>
      </c>
      <c r="O127" s="18">
        <f t="shared" si="18"/>
        <v>-2</v>
      </c>
      <c r="P127" s="18">
        <f>DLP!O126</f>
        <v>38</v>
      </c>
      <c r="Q127" s="18">
        <f>DLP!R126</f>
        <v>42</v>
      </c>
      <c r="R127" s="18">
        <f t="shared" si="19"/>
        <v>-4</v>
      </c>
      <c r="S127" s="18">
        <f>AIO!P126</f>
        <v>168</v>
      </c>
      <c r="T127" s="18">
        <f t="shared" si="20"/>
        <v>168</v>
      </c>
      <c r="U127" s="18">
        <f t="shared" si="21"/>
        <v>0</v>
      </c>
      <c r="V127" s="18">
        <f>PAS!J126</f>
        <v>23</v>
      </c>
      <c r="W127" s="18">
        <f t="shared" si="22"/>
        <v>21</v>
      </c>
      <c r="X127" s="18">
        <f t="shared" si="23"/>
        <v>2</v>
      </c>
    </row>
    <row r="128" spans="1:24" x14ac:dyDescent="0.25">
      <c r="A128" s="15">
        <v>126</v>
      </c>
      <c r="B128" s="19" t="s">
        <v>151</v>
      </c>
      <c r="C128" s="17">
        <f>VLOOKUP(B:B,Courts!B:C,2,FALSE)</f>
        <v>2</v>
      </c>
      <c r="D128" s="17">
        <f>VLOOKUP(B:B,Courts!B:D,3,FALSE)</f>
        <v>0</v>
      </c>
      <c r="E128" s="15">
        <f>VLOOKUP(B:B,Courts!B:E,4,FALSE)</f>
        <v>1</v>
      </c>
      <c r="F128" s="15">
        <f t="shared" si="12"/>
        <v>3</v>
      </c>
      <c r="G128" s="18">
        <f>Scanners!L127</f>
        <v>3</v>
      </c>
      <c r="H128" s="18">
        <f t="shared" si="13"/>
        <v>3</v>
      </c>
      <c r="I128" s="18">
        <f t="shared" si="14"/>
        <v>0</v>
      </c>
      <c r="J128" s="18">
        <f>DisBo!I127</f>
        <v>2</v>
      </c>
      <c r="K128" s="18">
        <f t="shared" si="15"/>
        <v>3</v>
      </c>
      <c r="L128" s="18">
        <f t="shared" si="16"/>
        <v>-1</v>
      </c>
      <c r="M128" s="18">
        <f>MFP!K127</f>
        <v>3</v>
      </c>
      <c r="N128" s="18">
        <f t="shared" si="17"/>
        <v>3</v>
      </c>
      <c r="O128" s="18">
        <f t="shared" si="18"/>
        <v>0</v>
      </c>
      <c r="P128" s="18">
        <f>DLP!O127</f>
        <v>4</v>
      </c>
      <c r="Q128" s="18">
        <f>DLP!R127</f>
        <v>4</v>
      </c>
      <c r="R128" s="18">
        <f t="shared" si="19"/>
        <v>0</v>
      </c>
      <c r="S128" s="18">
        <f>AIO!P127</f>
        <v>20</v>
      </c>
      <c r="T128" s="18">
        <f t="shared" si="20"/>
        <v>20</v>
      </c>
      <c r="U128" s="18">
        <f t="shared" si="21"/>
        <v>0</v>
      </c>
      <c r="V128" s="18">
        <f>PAS!J127</f>
        <v>3</v>
      </c>
      <c r="W128" s="18">
        <f t="shared" si="22"/>
        <v>3</v>
      </c>
      <c r="X128" s="18">
        <f t="shared" si="23"/>
        <v>0</v>
      </c>
    </row>
    <row r="129" spans="1:24" x14ac:dyDescent="0.25">
      <c r="A129" s="15">
        <v>127</v>
      </c>
      <c r="B129" s="19" t="s">
        <v>152</v>
      </c>
      <c r="C129" s="17">
        <f>VLOOKUP(B:B,Courts!B:C,2,FALSE)</f>
        <v>3</v>
      </c>
      <c r="D129" s="17">
        <f>VLOOKUP(B:B,Courts!B:D,3,FALSE)</f>
        <v>1</v>
      </c>
      <c r="E129" s="15">
        <f>VLOOKUP(B:B,Courts!B:E,4,FALSE)</f>
        <v>1</v>
      </c>
      <c r="F129" s="15">
        <f t="shared" si="12"/>
        <v>5</v>
      </c>
      <c r="G129" s="18">
        <f>Scanners!L128</f>
        <v>4</v>
      </c>
      <c r="H129" s="18">
        <f t="shared" si="13"/>
        <v>5</v>
      </c>
      <c r="I129" s="18">
        <f t="shared" si="14"/>
        <v>-1</v>
      </c>
      <c r="J129" s="18">
        <f>DisBo!I128</f>
        <v>3</v>
      </c>
      <c r="K129" s="18">
        <f t="shared" si="15"/>
        <v>5</v>
      </c>
      <c r="L129" s="18">
        <f t="shared" si="16"/>
        <v>-2</v>
      </c>
      <c r="M129" s="18">
        <f>MFP!K128</f>
        <v>4</v>
      </c>
      <c r="N129" s="18">
        <f t="shared" si="17"/>
        <v>5</v>
      </c>
      <c r="O129" s="18">
        <f t="shared" si="18"/>
        <v>-1</v>
      </c>
      <c r="P129" s="18">
        <f>DLP!O128</f>
        <v>6</v>
      </c>
      <c r="Q129" s="18">
        <f>DLP!R128</f>
        <v>8</v>
      </c>
      <c r="R129" s="18">
        <f t="shared" si="19"/>
        <v>-2</v>
      </c>
      <c r="S129" s="18">
        <f>AIO!P128</f>
        <v>28</v>
      </c>
      <c r="T129" s="18">
        <f t="shared" si="20"/>
        <v>36</v>
      </c>
      <c r="U129" s="18">
        <f t="shared" si="21"/>
        <v>-8</v>
      </c>
      <c r="V129" s="18">
        <f>PAS!J128</f>
        <v>4</v>
      </c>
      <c r="W129" s="18">
        <f t="shared" si="22"/>
        <v>5</v>
      </c>
      <c r="X129" s="18">
        <f t="shared" si="23"/>
        <v>-1</v>
      </c>
    </row>
    <row r="130" spans="1:24" x14ac:dyDescent="0.25">
      <c r="A130" s="15">
        <v>128</v>
      </c>
      <c r="B130" s="19" t="s">
        <v>153</v>
      </c>
      <c r="C130" s="17">
        <f>VLOOKUP(B:B,Courts!B:C,2,FALSE)</f>
        <v>2</v>
      </c>
      <c r="D130" s="17">
        <f>VLOOKUP(B:B,Courts!B:D,3,FALSE)</f>
        <v>0</v>
      </c>
      <c r="E130" s="15">
        <f>VLOOKUP(B:B,Courts!B:E,4,FALSE)</f>
        <v>1</v>
      </c>
      <c r="F130" s="15">
        <f t="shared" si="12"/>
        <v>3</v>
      </c>
      <c r="G130" s="18">
        <f>Scanners!L129</f>
        <v>3</v>
      </c>
      <c r="H130" s="18">
        <f t="shared" si="13"/>
        <v>3</v>
      </c>
      <c r="I130" s="18">
        <f t="shared" si="14"/>
        <v>0</v>
      </c>
      <c r="J130" s="18">
        <f>DisBo!I129</f>
        <v>2</v>
      </c>
      <c r="K130" s="18">
        <f t="shared" si="15"/>
        <v>3</v>
      </c>
      <c r="L130" s="18">
        <f t="shared" si="16"/>
        <v>-1</v>
      </c>
      <c r="M130" s="18">
        <f>MFP!K129</f>
        <v>3</v>
      </c>
      <c r="N130" s="18">
        <f t="shared" si="17"/>
        <v>3</v>
      </c>
      <c r="O130" s="18">
        <f t="shared" si="18"/>
        <v>0</v>
      </c>
      <c r="P130" s="18">
        <f>DLP!O129</f>
        <v>4</v>
      </c>
      <c r="Q130" s="18">
        <f>DLP!R129</f>
        <v>4</v>
      </c>
      <c r="R130" s="18">
        <f t="shared" si="19"/>
        <v>0</v>
      </c>
      <c r="S130" s="18">
        <f>AIO!P129</f>
        <v>25</v>
      </c>
      <c r="T130" s="18">
        <f t="shared" si="20"/>
        <v>20</v>
      </c>
      <c r="U130" s="18">
        <f t="shared" si="21"/>
        <v>5</v>
      </c>
      <c r="V130" s="18">
        <f>PAS!J129</f>
        <v>3</v>
      </c>
      <c r="W130" s="18">
        <f t="shared" si="22"/>
        <v>3</v>
      </c>
      <c r="X130" s="18">
        <f t="shared" si="23"/>
        <v>0</v>
      </c>
    </row>
    <row r="131" spans="1:24" ht="25.5" x14ac:dyDescent="0.25">
      <c r="A131" s="15">
        <v>129</v>
      </c>
      <c r="B131" s="16" t="s">
        <v>154</v>
      </c>
      <c r="C131" s="17">
        <f>VLOOKUP(B:B,Courts!B:C,2,FALSE)</f>
        <v>19</v>
      </c>
      <c r="D131" s="17">
        <f>VLOOKUP(B:B,Courts!B:D,3,FALSE)</f>
        <v>3</v>
      </c>
      <c r="E131" s="15">
        <f>VLOOKUP(B:B,Courts!B:E,4,FALSE)</f>
        <v>0</v>
      </c>
      <c r="F131" s="15">
        <f t="shared" si="12"/>
        <v>22</v>
      </c>
      <c r="G131" s="18">
        <f>Scanners!L130</f>
        <v>26</v>
      </c>
      <c r="H131" s="18">
        <f t="shared" si="13"/>
        <v>22</v>
      </c>
      <c r="I131" s="18">
        <f t="shared" si="14"/>
        <v>4</v>
      </c>
      <c r="J131" s="18">
        <f>DisBo!I130</f>
        <v>20</v>
      </c>
      <c r="K131" s="18">
        <f t="shared" si="15"/>
        <v>22</v>
      </c>
      <c r="L131" s="18">
        <f t="shared" si="16"/>
        <v>-2</v>
      </c>
      <c r="M131" s="18">
        <f>MFP!K130</f>
        <v>22</v>
      </c>
      <c r="N131" s="18">
        <f t="shared" si="17"/>
        <v>22</v>
      </c>
      <c r="O131" s="18">
        <f t="shared" si="18"/>
        <v>0</v>
      </c>
      <c r="P131" s="18">
        <f>DLP!O130</f>
        <v>44</v>
      </c>
      <c r="Q131" s="18">
        <f>DLP!R130</f>
        <v>44</v>
      </c>
      <c r="R131" s="18">
        <f t="shared" si="19"/>
        <v>0</v>
      </c>
      <c r="S131" s="18">
        <f>AIO!P130</f>
        <v>184</v>
      </c>
      <c r="T131" s="18">
        <f t="shared" si="20"/>
        <v>176</v>
      </c>
      <c r="U131" s="18">
        <f t="shared" si="21"/>
        <v>8</v>
      </c>
      <c r="V131" s="18">
        <f>PAS!J130</f>
        <v>22</v>
      </c>
      <c r="W131" s="18">
        <f t="shared" si="22"/>
        <v>22</v>
      </c>
      <c r="X131" s="18">
        <f t="shared" si="23"/>
        <v>0</v>
      </c>
    </row>
    <row r="132" spans="1:24" x14ac:dyDescent="0.25">
      <c r="A132" s="15">
        <v>130</v>
      </c>
      <c r="B132" s="19" t="s">
        <v>155</v>
      </c>
      <c r="C132" s="17">
        <f>VLOOKUP(B:B,Courts!B:C,2,FALSE)</f>
        <v>4</v>
      </c>
      <c r="D132" s="17">
        <f>VLOOKUP(B:B,Courts!B:D,3,FALSE)</f>
        <v>2</v>
      </c>
      <c r="E132" s="15">
        <f>VLOOKUP(B:B,Courts!B:E,4,FALSE)</f>
        <v>1</v>
      </c>
      <c r="F132" s="15">
        <f t="shared" ref="F132" si="24">SUM(C132:E132)</f>
        <v>7</v>
      </c>
      <c r="G132" s="18">
        <f>Scanners!L131</f>
        <v>4</v>
      </c>
      <c r="H132" s="18">
        <f t="shared" si="13"/>
        <v>7</v>
      </c>
      <c r="I132" s="18">
        <f t="shared" si="14"/>
        <v>-3</v>
      </c>
      <c r="J132" s="18">
        <f>DisBo!I131</f>
        <v>3</v>
      </c>
      <c r="K132" s="18">
        <f t="shared" si="15"/>
        <v>7</v>
      </c>
      <c r="L132" s="18">
        <f t="shared" si="16"/>
        <v>-4</v>
      </c>
      <c r="M132" s="18">
        <f>MFP!K131</f>
        <v>5</v>
      </c>
      <c r="N132" s="18">
        <f t="shared" si="17"/>
        <v>7</v>
      </c>
      <c r="O132" s="18">
        <f t="shared" si="18"/>
        <v>-2</v>
      </c>
      <c r="P132" s="18">
        <f>DLP!O131</f>
        <v>12</v>
      </c>
      <c r="Q132" s="18">
        <f>DLP!R131</f>
        <v>12</v>
      </c>
      <c r="R132" s="18">
        <f t="shared" si="19"/>
        <v>0</v>
      </c>
      <c r="S132" s="18">
        <f>AIO!P131</f>
        <v>50</v>
      </c>
      <c r="T132" s="18">
        <f t="shared" si="20"/>
        <v>52</v>
      </c>
      <c r="U132" s="18">
        <f t="shared" si="21"/>
        <v>-2</v>
      </c>
      <c r="V132" s="18">
        <f>PAS!J131</f>
        <v>5</v>
      </c>
      <c r="W132" s="18">
        <f t="shared" si="22"/>
        <v>7</v>
      </c>
      <c r="X132" s="18">
        <f t="shared" si="23"/>
        <v>-2</v>
      </c>
    </row>
    <row r="133" spans="1:24" x14ac:dyDescent="0.25">
      <c r="A133" s="25"/>
      <c r="B133" s="25"/>
      <c r="C133" s="25"/>
      <c r="D133" s="25"/>
      <c r="E133" s="25"/>
      <c r="F133" s="100"/>
    </row>
    <row r="134" spans="1:24" ht="15.75" x14ac:dyDescent="0.25">
      <c r="A134" s="22"/>
      <c r="B134" s="23" t="s">
        <v>156</v>
      </c>
      <c r="C134" s="27">
        <f t="shared" ref="C134:X134" si="25">SUM(C3:C132)</f>
        <v>1147</v>
      </c>
      <c r="D134" s="27">
        <f t="shared" si="25"/>
        <v>108</v>
      </c>
      <c r="E134" s="27">
        <f t="shared" si="25"/>
        <v>81</v>
      </c>
      <c r="F134" s="27">
        <f t="shared" ref="F134" si="26">SUM(F3:F132)</f>
        <v>1336</v>
      </c>
      <c r="G134" s="27">
        <f t="shared" si="25"/>
        <v>1424</v>
      </c>
      <c r="H134" s="27">
        <f t="shared" si="25"/>
        <v>1336</v>
      </c>
      <c r="I134" s="27">
        <f t="shared" si="25"/>
        <v>88</v>
      </c>
      <c r="J134" s="27">
        <f t="shared" si="25"/>
        <v>1059</v>
      </c>
      <c r="K134" s="27">
        <f t="shared" si="25"/>
        <v>1336</v>
      </c>
      <c r="L134" s="27">
        <f t="shared" si="25"/>
        <v>-277</v>
      </c>
      <c r="M134" s="27">
        <f t="shared" si="25"/>
        <v>1296</v>
      </c>
      <c r="N134" s="27">
        <f t="shared" si="25"/>
        <v>1336</v>
      </c>
      <c r="O134" s="27">
        <f t="shared" si="25"/>
        <v>-40</v>
      </c>
      <c r="P134" s="27">
        <f t="shared" si="25"/>
        <v>2538</v>
      </c>
      <c r="Q134" s="27">
        <f t="shared" si="25"/>
        <v>2510</v>
      </c>
      <c r="R134" s="27">
        <f t="shared" si="25"/>
        <v>28</v>
      </c>
      <c r="S134" s="27">
        <f t="shared" si="25"/>
        <v>8901</v>
      </c>
      <c r="T134" s="27">
        <f t="shared" si="25"/>
        <v>10364</v>
      </c>
      <c r="U134" s="27">
        <f t="shared" si="25"/>
        <v>-1463</v>
      </c>
      <c r="V134" s="27">
        <f t="shared" si="25"/>
        <v>1191</v>
      </c>
      <c r="W134" s="27">
        <f t="shared" si="25"/>
        <v>1336</v>
      </c>
      <c r="X134" s="27">
        <f t="shared" si="25"/>
        <v>-145</v>
      </c>
    </row>
    <row r="135" spans="1:24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</row>
    <row r="136" spans="1:24" ht="15.75" x14ac:dyDescent="0.25">
      <c r="A136" s="26">
        <v>1</v>
      </c>
      <c r="B136" s="27" t="s">
        <v>157</v>
      </c>
      <c r="C136" s="30">
        <f t="shared" ref="C136:X136" si="27">SUM(C3:C70)</f>
        <v>640</v>
      </c>
      <c r="D136" s="30">
        <f t="shared" si="27"/>
        <v>0</v>
      </c>
      <c r="E136" s="30">
        <f t="shared" si="27"/>
        <v>45</v>
      </c>
      <c r="F136" s="30">
        <f t="shared" ref="F136" si="28">SUM(F3:F70)</f>
        <v>685</v>
      </c>
      <c r="G136" s="30">
        <f t="shared" si="27"/>
        <v>786</v>
      </c>
      <c r="H136" s="30">
        <f t="shared" si="27"/>
        <v>685</v>
      </c>
      <c r="I136" s="30">
        <f t="shared" si="27"/>
        <v>101</v>
      </c>
      <c r="J136" s="30">
        <f t="shared" si="27"/>
        <v>572</v>
      </c>
      <c r="K136" s="30">
        <f t="shared" si="27"/>
        <v>685</v>
      </c>
      <c r="L136" s="30">
        <f t="shared" si="27"/>
        <v>-113</v>
      </c>
      <c r="M136" s="30">
        <f t="shared" si="27"/>
        <v>717</v>
      </c>
      <c r="N136" s="30">
        <f t="shared" si="27"/>
        <v>685</v>
      </c>
      <c r="O136" s="30">
        <f t="shared" si="27"/>
        <v>32</v>
      </c>
      <c r="P136" s="30">
        <f t="shared" si="27"/>
        <v>1378</v>
      </c>
      <c r="Q136" s="30">
        <f t="shared" si="27"/>
        <v>1280</v>
      </c>
      <c r="R136" s="30">
        <f t="shared" si="27"/>
        <v>98</v>
      </c>
      <c r="S136" s="30">
        <f t="shared" si="27"/>
        <v>4420</v>
      </c>
      <c r="T136" s="30">
        <f t="shared" si="27"/>
        <v>5300</v>
      </c>
      <c r="U136" s="30">
        <f t="shared" si="27"/>
        <v>-880</v>
      </c>
      <c r="V136" s="30">
        <f t="shared" si="27"/>
        <v>583</v>
      </c>
      <c r="W136" s="30">
        <f t="shared" si="27"/>
        <v>685</v>
      </c>
      <c r="X136" s="30">
        <f t="shared" si="27"/>
        <v>-102</v>
      </c>
    </row>
    <row r="137" spans="1:24" ht="15.75" x14ac:dyDescent="0.25">
      <c r="A137" s="26">
        <v>2</v>
      </c>
      <c r="B137" s="27" t="s">
        <v>158</v>
      </c>
      <c r="C137" s="30">
        <f t="shared" ref="C137:X137" si="29">SUM(C72:C132)</f>
        <v>479</v>
      </c>
      <c r="D137" s="30">
        <f t="shared" si="29"/>
        <v>108</v>
      </c>
      <c r="E137" s="30">
        <f t="shared" si="29"/>
        <v>36</v>
      </c>
      <c r="F137" s="30">
        <f t="shared" ref="F137" si="30">SUM(F72:F132)</f>
        <v>623</v>
      </c>
      <c r="G137" s="30">
        <f t="shared" si="29"/>
        <v>602</v>
      </c>
      <c r="H137" s="30">
        <f t="shared" si="29"/>
        <v>623</v>
      </c>
      <c r="I137" s="30">
        <f t="shared" si="29"/>
        <v>-21</v>
      </c>
      <c r="J137" s="30">
        <f t="shared" si="29"/>
        <v>456</v>
      </c>
      <c r="K137" s="30">
        <f t="shared" si="29"/>
        <v>623</v>
      </c>
      <c r="L137" s="30">
        <f t="shared" si="29"/>
        <v>-167</v>
      </c>
      <c r="M137" s="30">
        <f t="shared" si="29"/>
        <v>548</v>
      </c>
      <c r="N137" s="30">
        <f t="shared" si="29"/>
        <v>623</v>
      </c>
      <c r="O137" s="30">
        <f t="shared" si="29"/>
        <v>-75</v>
      </c>
      <c r="P137" s="30">
        <f t="shared" si="29"/>
        <v>1095</v>
      </c>
      <c r="Q137" s="30">
        <f t="shared" si="29"/>
        <v>1174</v>
      </c>
      <c r="R137" s="30">
        <f t="shared" si="29"/>
        <v>-79</v>
      </c>
      <c r="S137" s="30">
        <f t="shared" si="29"/>
        <v>4241</v>
      </c>
      <c r="T137" s="30">
        <f t="shared" si="29"/>
        <v>4840</v>
      </c>
      <c r="U137" s="30">
        <f t="shared" si="29"/>
        <v>-599</v>
      </c>
      <c r="V137" s="30">
        <f t="shared" si="29"/>
        <v>577</v>
      </c>
      <c r="W137" s="30">
        <f t="shared" si="29"/>
        <v>623</v>
      </c>
      <c r="X137" s="30">
        <f t="shared" si="29"/>
        <v>-46</v>
      </c>
    </row>
    <row r="138" spans="1:24" ht="15.75" x14ac:dyDescent="0.25">
      <c r="A138" s="26">
        <v>3</v>
      </c>
      <c r="B138" s="27" t="s">
        <v>97</v>
      </c>
      <c r="C138" s="30">
        <f t="shared" ref="C138:X138" si="31">C71</f>
        <v>28</v>
      </c>
      <c r="D138" s="30">
        <f t="shared" si="31"/>
        <v>0</v>
      </c>
      <c r="E138" s="30">
        <f t="shared" si="31"/>
        <v>0</v>
      </c>
      <c r="F138" s="30">
        <f t="shared" ref="F138" si="32">F71</f>
        <v>28</v>
      </c>
      <c r="G138" s="30">
        <f t="shared" si="31"/>
        <v>36</v>
      </c>
      <c r="H138" s="30">
        <f t="shared" si="31"/>
        <v>28</v>
      </c>
      <c r="I138" s="30">
        <f t="shared" si="31"/>
        <v>8</v>
      </c>
      <c r="J138" s="30">
        <f t="shared" si="31"/>
        <v>31</v>
      </c>
      <c r="K138" s="30">
        <f t="shared" si="31"/>
        <v>28</v>
      </c>
      <c r="L138" s="30">
        <f t="shared" si="31"/>
        <v>3</v>
      </c>
      <c r="M138" s="30">
        <f t="shared" si="31"/>
        <v>31</v>
      </c>
      <c r="N138" s="30">
        <f t="shared" si="31"/>
        <v>28</v>
      </c>
      <c r="O138" s="30">
        <f t="shared" si="31"/>
        <v>3</v>
      </c>
      <c r="P138" s="30">
        <f t="shared" si="31"/>
        <v>65</v>
      </c>
      <c r="Q138" s="30">
        <f t="shared" si="31"/>
        <v>56</v>
      </c>
      <c r="R138" s="30">
        <f t="shared" si="31"/>
        <v>9</v>
      </c>
      <c r="S138" s="30">
        <f t="shared" si="31"/>
        <v>240</v>
      </c>
      <c r="T138" s="30">
        <f t="shared" si="31"/>
        <v>224</v>
      </c>
      <c r="U138" s="30">
        <f t="shared" si="31"/>
        <v>16</v>
      </c>
      <c r="V138" s="30">
        <f t="shared" si="31"/>
        <v>31</v>
      </c>
      <c r="W138" s="30">
        <f t="shared" si="31"/>
        <v>28</v>
      </c>
      <c r="X138" s="30">
        <f t="shared" si="31"/>
        <v>3</v>
      </c>
    </row>
    <row r="139" spans="1:24" ht="15.75" x14ac:dyDescent="0.25">
      <c r="A139" s="22"/>
      <c r="B139" s="27" t="s">
        <v>156</v>
      </c>
      <c r="C139" s="27">
        <f t="shared" ref="C139:X139" si="33">SUM(C136:C138)</f>
        <v>1147</v>
      </c>
      <c r="D139" s="27">
        <f t="shared" si="33"/>
        <v>108</v>
      </c>
      <c r="E139" s="27">
        <f t="shared" si="33"/>
        <v>81</v>
      </c>
      <c r="F139" s="27">
        <f t="shared" ref="F139" si="34">SUM(F136:F138)</f>
        <v>1336</v>
      </c>
      <c r="G139" s="27">
        <f t="shared" si="33"/>
        <v>1424</v>
      </c>
      <c r="H139" s="27">
        <f t="shared" si="33"/>
        <v>1336</v>
      </c>
      <c r="I139" s="27">
        <f t="shared" si="33"/>
        <v>88</v>
      </c>
      <c r="J139" s="27">
        <f t="shared" si="33"/>
        <v>1059</v>
      </c>
      <c r="K139" s="27">
        <f t="shared" si="33"/>
        <v>1336</v>
      </c>
      <c r="L139" s="27">
        <f t="shared" si="33"/>
        <v>-277</v>
      </c>
      <c r="M139" s="27">
        <f t="shared" si="33"/>
        <v>1296</v>
      </c>
      <c r="N139" s="27">
        <f t="shared" si="33"/>
        <v>1336</v>
      </c>
      <c r="O139" s="27">
        <f t="shared" si="33"/>
        <v>-40</v>
      </c>
      <c r="P139" s="27">
        <f t="shared" si="33"/>
        <v>2538</v>
      </c>
      <c r="Q139" s="27">
        <f t="shared" si="33"/>
        <v>2510</v>
      </c>
      <c r="R139" s="27">
        <f t="shared" si="33"/>
        <v>28</v>
      </c>
      <c r="S139" s="27">
        <f t="shared" si="33"/>
        <v>8901</v>
      </c>
      <c r="T139" s="27">
        <f t="shared" si="33"/>
        <v>10364</v>
      </c>
      <c r="U139" s="27">
        <f t="shared" si="33"/>
        <v>-1463</v>
      </c>
      <c r="V139" s="27">
        <f t="shared" si="33"/>
        <v>1191</v>
      </c>
      <c r="W139" s="27">
        <f t="shared" si="33"/>
        <v>1336</v>
      </c>
      <c r="X139" s="27">
        <f t="shared" si="33"/>
        <v>-145</v>
      </c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5FA66-511A-4915-8474-A731F288C39F}">
  <dimension ref="A1:N781"/>
  <sheetViews>
    <sheetView tabSelected="1" topLeftCell="A209" workbookViewId="0">
      <selection activeCell="C230" sqref="C230:D235"/>
    </sheetView>
  </sheetViews>
  <sheetFormatPr defaultRowHeight="15" x14ac:dyDescent="0.25"/>
  <cols>
    <col min="1" max="1" width="12.42578125" customWidth="1"/>
    <col min="2" max="2" width="15.28515625" bestFit="1" customWidth="1"/>
    <col min="3" max="3" width="16" bestFit="1" customWidth="1"/>
    <col min="4" max="4" width="14.28515625" bestFit="1" customWidth="1"/>
    <col min="5" max="8" width="17.7109375" customWidth="1"/>
    <col min="9" max="9" width="16.5703125" customWidth="1"/>
    <col min="10" max="10" width="13.42578125" customWidth="1"/>
    <col min="11" max="11" width="17.140625" customWidth="1"/>
    <col min="12" max="12" width="15.7109375" customWidth="1"/>
    <col min="13" max="13" width="32.140625" customWidth="1"/>
    <col min="14" max="14" width="18.42578125" customWidth="1"/>
  </cols>
  <sheetData>
    <row r="1" spans="1:14" ht="30" x14ac:dyDescent="0.25">
      <c r="A1" s="101" t="s">
        <v>226</v>
      </c>
      <c r="B1" s="101" t="s">
        <v>227</v>
      </c>
      <c r="C1" s="101" t="s">
        <v>228</v>
      </c>
      <c r="D1" s="101" t="s">
        <v>229</v>
      </c>
      <c r="E1" s="101" t="s">
        <v>230</v>
      </c>
      <c r="F1" s="101" t="s">
        <v>243</v>
      </c>
      <c r="G1" s="101" t="s">
        <v>4</v>
      </c>
      <c r="H1" s="101" t="s">
        <v>244</v>
      </c>
      <c r="I1" s="101" t="s">
        <v>231</v>
      </c>
      <c r="J1" s="101" t="s">
        <v>232</v>
      </c>
      <c r="K1" s="101" t="s">
        <v>233</v>
      </c>
      <c r="L1" s="101" t="s">
        <v>234</v>
      </c>
      <c r="M1" s="101" t="s">
        <v>235</v>
      </c>
      <c r="N1" s="101" t="s">
        <v>236</v>
      </c>
    </row>
    <row r="2" spans="1:14" x14ac:dyDescent="0.25">
      <c r="A2" s="19" t="s">
        <v>157</v>
      </c>
      <c r="B2" s="19" t="s">
        <v>29</v>
      </c>
      <c r="C2" s="19" t="s">
        <v>29</v>
      </c>
      <c r="D2" s="19" t="s">
        <v>237</v>
      </c>
      <c r="E2" s="19">
        <f>VLOOKUP(C:C,Courts!B:C,2,FALSE)</f>
        <v>48</v>
      </c>
      <c r="F2" s="19">
        <f>VLOOKUP(C:C,Courts!B:E,4,FALSE)</f>
        <v>0</v>
      </c>
      <c r="G2" s="19">
        <f>VLOOKUP(C:C,Courts!B:D,3,FALSE)</f>
        <v>0</v>
      </c>
      <c r="H2" s="19">
        <f>VLOOKUP(C:C,Courts!B:F,5,FALSE)</f>
        <v>48</v>
      </c>
      <c r="I2" s="18" t="s">
        <v>7</v>
      </c>
      <c r="J2" s="19">
        <f>VLOOKUP(C:C,TooliD!B:H,7,FALSE)</f>
        <v>48</v>
      </c>
      <c r="K2" s="19">
        <f>VLOOKUP(C:C,TooliD!B:G,6,FALSE)</f>
        <v>51</v>
      </c>
      <c r="L2" s="19">
        <f>K2-J2</f>
        <v>3</v>
      </c>
      <c r="M2" s="19" t="str">
        <f>IF(L2=0,"OK", IF(L2&gt;0,"Surplus","Shortfall"))</f>
        <v>Surplus</v>
      </c>
      <c r="N2" s="19"/>
    </row>
    <row r="3" spans="1:14" x14ac:dyDescent="0.25">
      <c r="A3" s="19" t="s">
        <v>157</v>
      </c>
      <c r="B3" s="19" t="s">
        <v>29</v>
      </c>
      <c r="C3" s="19" t="s">
        <v>29</v>
      </c>
      <c r="D3" s="19" t="s">
        <v>237</v>
      </c>
      <c r="E3" s="19">
        <f>VLOOKUP(C:C,Courts!B:C,2,FALSE)</f>
        <v>48</v>
      </c>
      <c r="F3" s="19">
        <f>VLOOKUP(C:C,Courts!B:E,4,FALSE)</f>
        <v>0</v>
      </c>
      <c r="G3" s="19">
        <f>VLOOKUP(C:C,Courts!B:D,3,FALSE)</f>
        <v>0</v>
      </c>
      <c r="H3" s="19">
        <f>VLOOKUP(C:C,Courts!B:F,5,FALSE)</f>
        <v>48</v>
      </c>
      <c r="I3" s="18" t="s">
        <v>241</v>
      </c>
      <c r="J3" s="19">
        <f>VLOOKUP(C:C,TooliD!B:K,7,FALSE)</f>
        <v>48</v>
      </c>
      <c r="K3" s="19">
        <f>VLOOKUP(C:C,TooliD!B:J,9,FALSE)</f>
        <v>35</v>
      </c>
      <c r="L3" s="19">
        <f t="shared" ref="L3:L19" si="0">K3-J3</f>
        <v>-13</v>
      </c>
      <c r="M3" s="19" t="str">
        <f t="shared" ref="M3:M66" si="1">IF(L3=0,"OK", IF(L3&gt;0,"Surplus","Shortfall"))</f>
        <v>Shortfall</v>
      </c>
      <c r="N3" s="19"/>
    </row>
    <row r="4" spans="1:14" x14ac:dyDescent="0.25">
      <c r="A4" s="19" t="s">
        <v>157</v>
      </c>
      <c r="B4" s="19" t="s">
        <v>29</v>
      </c>
      <c r="C4" s="19" t="s">
        <v>29</v>
      </c>
      <c r="D4" s="19" t="s">
        <v>237</v>
      </c>
      <c r="E4" s="19">
        <f>VLOOKUP(C:C,Courts!B:C,2,FALSE)</f>
        <v>48</v>
      </c>
      <c r="F4" s="19">
        <f>VLOOKUP(C:C,Courts!B:E,4,FALSE)</f>
        <v>0</v>
      </c>
      <c r="G4" s="19">
        <f>VLOOKUP(C:C,Courts!B:D,3,FALSE)</f>
        <v>0</v>
      </c>
      <c r="H4" s="19">
        <f>VLOOKUP(C:C,Courts!B:F,5,FALSE)</f>
        <v>48</v>
      </c>
      <c r="I4" s="18" t="s">
        <v>9</v>
      </c>
      <c r="J4" s="19">
        <f>VLOOKUP(C:C,TooliD!B:N,13,FALSE)</f>
        <v>48</v>
      </c>
      <c r="K4" s="18">
        <f>VLOOKUP(C:C,TooliD!B:M,12,FALSE)</f>
        <v>46</v>
      </c>
      <c r="L4" s="19">
        <f t="shared" si="0"/>
        <v>-2</v>
      </c>
      <c r="M4" s="19" t="str">
        <f t="shared" si="1"/>
        <v>Shortfall</v>
      </c>
      <c r="N4" s="18"/>
    </row>
    <row r="5" spans="1:14" x14ac:dyDescent="0.25">
      <c r="A5" s="19" t="s">
        <v>157</v>
      </c>
      <c r="B5" s="19" t="s">
        <v>29</v>
      </c>
      <c r="C5" s="19" t="s">
        <v>29</v>
      </c>
      <c r="D5" s="19" t="s">
        <v>237</v>
      </c>
      <c r="E5" s="19">
        <f>VLOOKUP(C:C,Courts!B:C,2,FALSE)</f>
        <v>48</v>
      </c>
      <c r="F5" s="19">
        <f>VLOOKUP(C:C,Courts!B:E,4,FALSE)</f>
        <v>0</v>
      </c>
      <c r="G5" s="19">
        <f>VLOOKUP(C:C,Courts!B:D,3,FALSE)</f>
        <v>0</v>
      </c>
      <c r="H5" s="19">
        <f>VLOOKUP(C:C,Courts!B:F,5,FALSE)</f>
        <v>48</v>
      </c>
      <c r="I5" s="18" t="s">
        <v>239</v>
      </c>
      <c r="J5" s="19">
        <f>VLOOKUP(C:C,TooliD!B:Q,16,FALSE)</f>
        <v>96</v>
      </c>
      <c r="K5" s="18">
        <f>VLOOKUP(C:C,TooliD!B:P,15,FALSE)</f>
        <v>90</v>
      </c>
      <c r="L5" s="19">
        <f t="shared" si="0"/>
        <v>-6</v>
      </c>
      <c r="M5" s="19" t="str">
        <f t="shared" si="1"/>
        <v>Shortfall</v>
      </c>
      <c r="N5" s="18"/>
    </row>
    <row r="6" spans="1:14" x14ac:dyDescent="0.25">
      <c r="A6" s="19" t="s">
        <v>157</v>
      </c>
      <c r="B6" s="19" t="s">
        <v>29</v>
      </c>
      <c r="C6" s="19" t="s">
        <v>29</v>
      </c>
      <c r="D6" s="19" t="s">
        <v>237</v>
      </c>
      <c r="E6" s="19">
        <f>VLOOKUP(C:C,Courts!B:C,2,FALSE)</f>
        <v>48</v>
      </c>
      <c r="F6" s="19">
        <f>VLOOKUP(C:C,Courts!B:E,4,FALSE)</f>
        <v>0</v>
      </c>
      <c r="G6" s="19">
        <f>VLOOKUP(C:C,Courts!B:D,3,FALSE)</f>
        <v>0</v>
      </c>
      <c r="H6" s="19">
        <f>VLOOKUP(C:C,Courts!B:F,5,FALSE)</f>
        <v>48</v>
      </c>
      <c r="I6" s="18" t="s">
        <v>11</v>
      </c>
      <c r="J6" s="19">
        <f>VLOOKUP(C:C,TooliD!B:T,19,FALSE)</f>
        <v>384</v>
      </c>
      <c r="K6" s="18">
        <f>VLOOKUP(C:C,TooliD!B:S,18,FALSE)</f>
        <v>280</v>
      </c>
      <c r="L6" s="19">
        <f t="shared" si="0"/>
        <v>-104</v>
      </c>
      <c r="M6" s="19" t="str">
        <f t="shared" si="1"/>
        <v>Shortfall</v>
      </c>
      <c r="N6" s="18"/>
    </row>
    <row r="7" spans="1:14" x14ac:dyDescent="0.25">
      <c r="A7" s="19" t="s">
        <v>157</v>
      </c>
      <c r="B7" s="19" t="s">
        <v>29</v>
      </c>
      <c r="C7" s="19" t="s">
        <v>29</v>
      </c>
      <c r="D7" s="19" t="s">
        <v>237</v>
      </c>
      <c r="E7" s="19">
        <f>VLOOKUP(C:C,Courts!B:C,2,FALSE)</f>
        <v>48</v>
      </c>
      <c r="F7" s="19">
        <f>VLOOKUP(C:C,Courts!B:E,4,FALSE)</f>
        <v>0</v>
      </c>
      <c r="G7" s="19">
        <f>VLOOKUP(C:C,Courts!B:D,3,FALSE)</f>
        <v>0</v>
      </c>
      <c r="H7" s="19">
        <f>VLOOKUP(C:C,Courts!B:F,5,FALSE)</f>
        <v>48</v>
      </c>
      <c r="I7" s="18" t="s">
        <v>212</v>
      </c>
      <c r="J7" s="19">
        <f>VLOOKUP(C:C,TooliD!B:W,22,FALSE)</f>
        <v>48</v>
      </c>
      <c r="K7" s="18">
        <f>VLOOKUP(C:C,TooliD!B:V,21,FALSE)</f>
        <v>35</v>
      </c>
      <c r="L7" s="19">
        <f t="shared" si="0"/>
        <v>-13</v>
      </c>
      <c r="M7" s="19" t="str">
        <f t="shared" si="1"/>
        <v>Shortfall</v>
      </c>
      <c r="N7" s="18"/>
    </row>
    <row r="8" spans="1:14" x14ac:dyDescent="0.25">
      <c r="A8" s="19" t="s">
        <v>157</v>
      </c>
      <c r="B8" s="19" t="s">
        <v>29</v>
      </c>
      <c r="C8" s="19" t="s">
        <v>30</v>
      </c>
      <c r="D8" s="19" t="s">
        <v>238</v>
      </c>
      <c r="E8" s="19">
        <f>VLOOKUP(C:C,Courts!B:C,2,FALSE)</f>
        <v>5</v>
      </c>
      <c r="F8" s="19">
        <f>VLOOKUP(C:C,Courts!B:E,4,FALSE)</f>
        <v>1</v>
      </c>
      <c r="G8" s="19">
        <f>VLOOKUP(C:C,Courts!B:D,3,FALSE)</f>
        <v>0</v>
      </c>
      <c r="H8" s="19">
        <f>VLOOKUP(C:C,Courts!B:F,5,FALSE)</f>
        <v>6</v>
      </c>
      <c r="I8" s="18" t="s">
        <v>7</v>
      </c>
      <c r="J8" s="19">
        <f>VLOOKUP(C:C,TooliD!B:H,7,FALSE)</f>
        <v>6</v>
      </c>
      <c r="K8" s="19">
        <f>VLOOKUP(C:C,TooliD!B:G,6,FALSE)</f>
        <v>6</v>
      </c>
      <c r="L8" s="19">
        <f t="shared" si="0"/>
        <v>0</v>
      </c>
      <c r="M8" s="19" t="str">
        <f t="shared" si="1"/>
        <v>OK</v>
      </c>
      <c r="N8" s="18"/>
    </row>
    <row r="9" spans="1:14" x14ac:dyDescent="0.25">
      <c r="A9" s="19" t="s">
        <v>157</v>
      </c>
      <c r="B9" s="19" t="s">
        <v>29</v>
      </c>
      <c r="C9" s="19" t="s">
        <v>30</v>
      </c>
      <c r="D9" s="19" t="s">
        <v>238</v>
      </c>
      <c r="E9" s="19">
        <f>VLOOKUP(C:C,Courts!B:C,2,FALSE)</f>
        <v>5</v>
      </c>
      <c r="F9" s="19">
        <f>VLOOKUP(C:C,Courts!B:E,4,FALSE)</f>
        <v>1</v>
      </c>
      <c r="G9" s="19">
        <f>VLOOKUP(C:C,Courts!B:D,3,FALSE)</f>
        <v>0</v>
      </c>
      <c r="H9" s="19">
        <f>VLOOKUP(C:C,Courts!B:F,5,FALSE)</f>
        <v>6</v>
      </c>
      <c r="I9" s="18" t="s">
        <v>241</v>
      </c>
      <c r="J9" s="19">
        <f>VLOOKUP(C:C,TooliD!B:K,7,FALSE)</f>
        <v>6</v>
      </c>
      <c r="K9" s="19">
        <f>VLOOKUP(C:C,TooliD!B:J,9,FALSE)</f>
        <v>5</v>
      </c>
      <c r="L9" s="19">
        <f t="shared" si="0"/>
        <v>-1</v>
      </c>
      <c r="M9" s="19" t="str">
        <f t="shared" si="1"/>
        <v>Shortfall</v>
      </c>
      <c r="N9" s="18"/>
    </row>
    <row r="10" spans="1:14" x14ac:dyDescent="0.25">
      <c r="A10" s="19" t="s">
        <v>157</v>
      </c>
      <c r="B10" s="19" t="s">
        <v>29</v>
      </c>
      <c r="C10" s="19" t="s">
        <v>30</v>
      </c>
      <c r="D10" s="19" t="s">
        <v>238</v>
      </c>
      <c r="E10" s="19">
        <f>VLOOKUP(C:C,Courts!B:C,2,FALSE)</f>
        <v>5</v>
      </c>
      <c r="F10" s="19">
        <f>VLOOKUP(C:C,Courts!B:E,4,FALSE)</f>
        <v>1</v>
      </c>
      <c r="G10" s="19">
        <f>VLOOKUP(C:C,Courts!B:D,3,FALSE)</f>
        <v>0</v>
      </c>
      <c r="H10" s="19">
        <f>VLOOKUP(C:C,Courts!B:F,5,FALSE)</f>
        <v>6</v>
      </c>
      <c r="I10" s="18" t="s">
        <v>9</v>
      </c>
      <c r="J10" s="19">
        <f>VLOOKUP(C:C,TooliD!B:N,13,FALSE)</f>
        <v>6</v>
      </c>
      <c r="K10" s="18">
        <f>VLOOKUP(C:C,TooliD!B:M,12,FALSE)</f>
        <v>6</v>
      </c>
      <c r="L10" s="19">
        <f t="shared" si="0"/>
        <v>0</v>
      </c>
      <c r="M10" s="19" t="str">
        <f t="shared" si="1"/>
        <v>OK</v>
      </c>
      <c r="N10" s="18"/>
    </row>
    <row r="11" spans="1:14" x14ac:dyDescent="0.25">
      <c r="A11" s="19" t="s">
        <v>157</v>
      </c>
      <c r="B11" s="19" t="s">
        <v>29</v>
      </c>
      <c r="C11" s="19" t="s">
        <v>30</v>
      </c>
      <c r="D11" s="19" t="s">
        <v>238</v>
      </c>
      <c r="E11" s="19">
        <f>VLOOKUP(C:C,Courts!B:C,2,FALSE)</f>
        <v>5</v>
      </c>
      <c r="F11" s="19">
        <f>VLOOKUP(C:C,Courts!B:E,4,FALSE)</f>
        <v>1</v>
      </c>
      <c r="G11" s="19">
        <f>VLOOKUP(C:C,Courts!B:D,3,FALSE)</f>
        <v>0</v>
      </c>
      <c r="H11" s="19">
        <f>VLOOKUP(C:C,Courts!B:F,5,FALSE)</f>
        <v>6</v>
      </c>
      <c r="I11" s="18" t="s">
        <v>239</v>
      </c>
      <c r="J11" s="19">
        <f>VLOOKUP(C:C,TooliD!B:Q,16,FALSE)</f>
        <v>10</v>
      </c>
      <c r="K11" s="18">
        <f>VLOOKUP(C:C,TooliD!B:P,15,FALSE)</f>
        <v>11</v>
      </c>
      <c r="L11" s="19">
        <f t="shared" si="0"/>
        <v>1</v>
      </c>
      <c r="M11" s="19" t="str">
        <f t="shared" si="1"/>
        <v>Surplus</v>
      </c>
      <c r="N11" s="18"/>
    </row>
    <row r="12" spans="1:14" x14ac:dyDescent="0.25">
      <c r="A12" s="19" t="s">
        <v>157</v>
      </c>
      <c r="B12" s="19" t="s">
        <v>29</v>
      </c>
      <c r="C12" s="19" t="s">
        <v>30</v>
      </c>
      <c r="D12" s="19" t="s">
        <v>238</v>
      </c>
      <c r="E12" s="19">
        <f>VLOOKUP(C:C,Courts!B:C,2,FALSE)</f>
        <v>5</v>
      </c>
      <c r="F12" s="19">
        <f>VLOOKUP(C:C,Courts!B:E,4,FALSE)</f>
        <v>1</v>
      </c>
      <c r="G12" s="19">
        <f>VLOOKUP(C:C,Courts!B:D,3,FALSE)</f>
        <v>0</v>
      </c>
      <c r="H12" s="19">
        <f>VLOOKUP(C:C,Courts!B:F,5,FALSE)</f>
        <v>6</v>
      </c>
      <c r="I12" s="18" t="s">
        <v>11</v>
      </c>
      <c r="J12" s="19">
        <f>VLOOKUP(C:C,TooliD!B:T,19,FALSE)</f>
        <v>44</v>
      </c>
      <c r="K12" s="18">
        <f>VLOOKUP(C:C,TooliD!B:S,18,FALSE)</f>
        <v>36</v>
      </c>
      <c r="L12" s="19">
        <f t="shared" si="0"/>
        <v>-8</v>
      </c>
      <c r="M12" s="19" t="str">
        <f t="shared" si="1"/>
        <v>Shortfall</v>
      </c>
      <c r="N12" s="18"/>
    </row>
    <row r="13" spans="1:14" x14ac:dyDescent="0.25">
      <c r="A13" s="19" t="s">
        <v>157</v>
      </c>
      <c r="B13" s="19" t="s">
        <v>29</v>
      </c>
      <c r="C13" s="19" t="s">
        <v>30</v>
      </c>
      <c r="D13" s="19" t="s">
        <v>238</v>
      </c>
      <c r="E13" s="19">
        <f>VLOOKUP(C:C,Courts!B:C,2,FALSE)</f>
        <v>5</v>
      </c>
      <c r="F13" s="19">
        <f>VLOOKUP(C:C,Courts!B:E,4,FALSE)</f>
        <v>1</v>
      </c>
      <c r="G13" s="19">
        <f>VLOOKUP(C:C,Courts!B:D,3,FALSE)</f>
        <v>0</v>
      </c>
      <c r="H13" s="19">
        <f>VLOOKUP(C:C,Courts!B:F,5,FALSE)</f>
        <v>6</v>
      </c>
      <c r="I13" s="18" t="s">
        <v>212</v>
      </c>
      <c r="J13" s="19">
        <f>VLOOKUP(C:C,TooliD!B:W,22,FALSE)</f>
        <v>6</v>
      </c>
      <c r="K13" s="18">
        <f>VLOOKUP(C:C,TooliD!B:V,21,FALSE)</f>
        <v>5</v>
      </c>
      <c r="L13" s="19">
        <f t="shared" si="0"/>
        <v>-1</v>
      </c>
      <c r="M13" s="19" t="str">
        <f t="shared" si="1"/>
        <v>Shortfall</v>
      </c>
      <c r="N13" s="18"/>
    </row>
    <row r="14" spans="1:14" x14ac:dyDescent="0.25">
      <c r="A14" s="19" t="s">
        <v>157</v>
      </c>
      <c r="B14" s="19" t="s">
        <v>29</v>
      </c>
      <c r="C14" s="19" t="s">
        <v>31</v>
      </c>
      <c r="D14" s="19" t="s">
        <v>238</v>
      </c>
      <c r="E14" s="19">
        <f>VLOOKUP(C:C,Courts!B:C,2,FALSE)</f>
        <v>4</v>
      </c>
      <c r="F14" s="19">
        <f>VLOOKUP(C:C,Courts!B:E,4,FALSE)</f>
        <v>1</v>
      </c>
      <c r="G14" s="19">
        <f>VLOOKUP(C:C,Courts!B:D,3,FALSE)</f>
        <v>0</v>
      </c>
      <c r="H14" s="19">
        <f>VLOOKUP(C:C,Courts!B:F,5,FALSE)</f>
        <v>5</v>
      </c>
      <c r="I14" s="18" t="s">
        <v>7</v>
      </c>
      <c r="J14" s="19">
        <f>VLOOKUP(C:C,TooliD!B:H,7,FALSE)</f>
        <v>5</v>
      </c>
      <c r="K14" s="19">
        <f>VLOOKUP(C:C,TooliD!B:G,6,FALSE)</f>
        <v>5</v>
      </c>
      <c r="L14" s="19">
        <f t="shared" si="0"/>
        <v>0</v>
      </c>
      <c r="M14" s="19" t="str">
        <f t="shared" si="1"/>
        <v>OK</v>
      </c>
      <c r="N14" s="18"/>
    </row>
    <row r="15" spans="1:14" x14ac:dyDescent="0.25">
      <c r="A15" s="19" t="s">
        <v>157</v>
      </c>
      <c r="B15" s="19" t="s">
        <v>29</v>
      </c>
      <c r="C15" s="19" t="s">
        <v>31</v>
      </c>
      <c r="D15" s="19" t="s">
        <v>238</v>
      </c>
      <c r="E15" s="19">
        <f>VLOOKUP(C:C,Courts!B:C,2,FALSE)</f>
        <v>4</v>
      </c>
      <c r="F15" s="19">
        <f>VLOOKUP(C:C,Courts!B:E,4,FALSE)</f>
        <v>1</v>
      </c>
      <c r="G15" s="19">
        <f>VLOOKUP(C:C,Courts!B:D,3,FALSE)</f>
        <v>0</v>
      </c>
      <c r="H15" s="19">
        <f>VLOOKUP(C:C,Courts!B:F,5,FALSE)</f>
        <v>5</v>
      </c>
      <c r="I15" s="18" t="s">
        <v>241</v>
      </c>
      <c r="J15" s="19">
        <f>VLOOKUP(C:C,TooliD!B:K,7,FALSE)</f>
        <v>5</v>
      </c>
      <c r="K15" s="19">
        <f>VLOOKUP(C:C,TooliD!B:J,9,FALSE)</f>
        <v>3</v>
      </c>
      <c r="L15" s="19">
        <f t="shared" si="0"/>
        <v>-2</v>
      </c>
      <c r="M15" s="19" t="str">
        <f t="shared" si="1"/>
        <v>Shortfall</v>
      </c>
      <c r="N15" s="18"/>
    </row>
    <row r="16" spans="1:14" x14ac:dyDescent="0.25">
      <c r="A16" s="19" t="s">
        <v>157</v>
      </c>
      <c r="B16" s="19" t="s">
        <v>29</v>
      </c>
      <c r="C16" s="19" t="s">
        <v>31</v>
      </c>
      <c r="D16" s="19" t="s">
        <v>238</v>
      </c>
      <c r="E16" s="19">
        <f>VLOOKUP(C:C,Courts!B:C,2,FALSE)</f>
        <v>4</v>
      </c>
      <c r="F16" s="19">
        <f>VLOOKUP(C:C,Courts!B:E,4,FALSE)</f>
        <v>1</v>
      </c>
      <c r="G16" s="19">
        <f>VLOOKUP(C:C,Courts!B:D,3,FALSE)</f>
        <v>0</v>
      </c>
      <c r="H16" s="19">
        <f>VLOOKUP(C:C,Courts!B:F,5,FALSE)</f>
        <v>5</v>
      </c>
      <c r="I16" s="18" t="s">
        <v>9</v>
      </c>
      <c r="J16" s="19">
        <f>VLOOKUP(C:C,TooliD!B:N,13,FALSE)</f>
        <v>5</v>
      </c>
      <c r="K16" s="18">
        <f>VLOOKUP(C:C,TooliD!B:M,12,FALSE)</f>
        <v>5</v>
      </c>
      <c r="L16" s="19">
        <f t="shared" si="0"/>
        <v>0</v>
      </c>
      <c r="M16" s="19" t="str">
        <f t="shared" si="1"/>
        <v>OK</v>
      </c>
      <c r="N16" s="18"/>
    </row>
    <row r="17" spans="1:14" x14ac:dyDescent="0.25">
      <c r="A17" s="19" t="s">
        <v>157</v>
      </c>
      <c r="B17" s="19" t="s">
        <v>29</v>
      </c>
      <c r="C17" s="19" t="s">
        <v>31</v>
      </c>
      <c r="D17" s="19" t="s">
        <v>238</v>
      </c>
      <c r="E17" s="19">
        <f>VLOOKUP(C:C,Courts!B:C,2,FALSE)</f>
        <v>4</v>
      </c>
      <c r="F17" s="19">
        <f>VLOOKUP(C:C,Courts!B:E,4,FALSE)</f>
        <v>1</v>
      </c>
      <c r="G17" s="19">
        <f>VLOOKUP(C:C,Courts!B:D,3,FALSE)</f>
        <v>0</v>
      </c>
      <c r="H17" s="19">
        <f>VLOOKUP(C:C,Courts!B:F,5,FALSE)</f>
        <v>5</v>
      </c>
      <c r="I17" s="18" t="s">
        <v>239</v>
      </c>
      <c r="J17" s="19">
        <f>VLOOKUP(C:C,TooliD!B:Q,16,FALSE)</f>
        <v>8</v>
      </c>
      <c r="K17" s="18">
        <f>VLOOKUP(C:C,TooliD!B:P,15,FALSE)</f>
        <v>8</v>
      </c>
      <c r="L17" s="19">
        <f t="shared" si="0"/>
        <v>0</v>
      </c>
      <c r="M17" s="19" t="str">
        <f t="shared" si="1"/>
        <v>OK</v>
      </c>
      <c r="N17" s="18"/>
    </row>
    <row r="18" spans="1:14" x14ac:dyDescent="0.25">
      <c r="A18" s="19" t="s">
        <v>157</v>
      </c>
      <c r="B18" s="19" t="s">
        <v>29</v>
      </c>
      <c r="C18" s="19" t="s">
        <v>31</v>
      </c>
      <c r="D18" s="19" t="s">
        <v>238</v>
      </c>
      <c r="E18" s="19">
        <f>VLOOKUP(C:C,Courts!B:C,2,FALSE)</f>
        <v>4</v>
      </c>
      <c r="F18" s="19">
        <f>VLOOKUP(C:C,Courts!B:E,4,FALSE)</f>
        <v>1</v>
      </c>
      <c r="G18" s="19">
        <f>VLOOKUP(C:C,Courts!B:D,3,FALSE)</f>
        <v>0</v>
      </c>
      <c r="H18" s="19">
        <f>VLOOKUP(C:C,Courts!B:F,5,FALSE)</f>
        <v>5</v>
      </c>
      <c r="I18" s="18" t="s">
        <v>11</v>
      </c>
      <c r="J18" s="19">
        <f>VLOOKUP(C:C,TooliD!B:T,19,FALSE)</f>
        <v>36</v>
      </c>
      <c r="K18" s="18">
        <f>VLOOKUP(C:C,TooliD!B:S,18,FALSE)</f>
        <v>21</v>
      </c>
      <c r="L18" s="19">
        <f t="shared" si="0"/>
        <v>-15</v>
      </c>
      <c r="M18" s="19" t="str">
        <f t="shared" si="1"/>
        <v>Shortfall</v>
      </c>
      <c r="N18" s="18"/>
    </row>
    <row r="19" spans="1:14" x14ac:dyDescent="0.25">
      <c r="A19" s="19" t="s">
        <v>157</v>
      </c>
      <c r="B19" s="19" t="s">
        <v>29</v>
      </c>
      <c r="C19" s="19" t="s">
        <v>31</v>
      </c>
      <c r="D19" s="19" t="s">
        <v>238</v>
      </c>
      <c r="E19" s="19">
        <f>VLOOKUP(C:C,Courts!B:C,2,FALSE)</f>
        <v>4</v>
      </c>
      <c r="F19" s="19">
        <f>VLOOKUP(C:C,Courts!B:E,4,FALSE)</f>
        <v>1</v>
      </c>
      <c r="G19" s="19">
        <f>VLOOKUP(C:C,Courts!B:D,3,FALSE)</f>
        <v>0</v>
      </c>
      <c r="H19" s="19">
        <f>VLOOKUP(C:C,Courts!B:F,5,FALSE)</f>
        <v>5</v>
      </c>
      <c r="I19" s="18" t="s">
        <v>212</v>
      </c>
      <c r="J19" s="19">
        <f>VLOOKUP(C:C,TooliD!B:W,22,FALSE)</f>
        <v>5</v>
      </c>
      <c r="K19" s="18">
        <f>VLOOKUP(C:C,TooliD!B:V,21,FALSE)</f>
        <v>2</v>
      </c>
      <c r="L19" s="19">
        <f t="shared" si="0"/>
        <v>-3</v>
      </c>
      <c r="M19" s="19" t="str">
        <f t="shared" si="1"/>
        <v>Shortfall</v>
      </c>
      <c r="N19" s="18"/>
    </row>
    <row r="20" spans="1:14" x14ac:dyDescent="0.25">
      <c r="A20" s="19" t="s">
        <v>157</v>
      </c>
      <c r="B20" s="19" t="s">
        <v>32</v>
      </c>
      <c r="C20" s="19" t="s">
        <v>32</v>
      </c>
      <c r="D20" s="19" t="s">
        <v>237</v>
      </c>
      <c r="E20" s="19">
        <f>VLOOKUP(C:C,Courts!B:C,2,FALSE)</f>
        <v>11</v>
      </c>
      <c r="F20" s="19">
        <f>VLOOKUP(C:C,Courts!B:E,4,FALSE)</f>
        <v>0</v>
      </c>
      <c r="G20" s="19">
        <f>VLOOKUP(C:C,Courts!B:D,3,FALSE)</f>
        <v>0</v>
      </c>
      <c r="H20" s="19">
        <f>VLOOKUP(C:C,Courts!B:F,5,FALSE)</f>
        <v>11</v>
      </c>
      <c r="I20" s="18" t="s">
        <v>7</v>
      </c>
      <c r="J20" s="19">
        <f>VLOOKUP(C:C,TooliD!B:H,7,FALSE)</f>
        <v>11</v>
      </c>
      <c r="K20" s="19">
        <f>VLOOKUP(C:C,TooliD!B:G,6,FALSE)</f>
        <v>17</v>
      </c>
      <c r="L20" s="19">
        <f>K20-J20</f>
        <v>6</v>
      </c>
      <c r="M20" s="19" t="str">
        <f>IF(L20=0,"OK", IF(L20&gt;0,"Surplus","Shortfall"))</f>
        <v>Surplus</v>
      </c>
      <c r="N20" s="18"/>
    </row>
    <row r="21" spans="1:14" x14ac:dyDescent="0.25">
      <c r="A21" s="19" t="s">
        <v>157</v>
      </c>
      <c r="B21" s="19" t="s">
        <v>32</v>
      </c>
      <c r="C21" s="19" t="s">
        <v>32</v>
      </c>
      <c r="D21" s="19" t="s">
        <v>237</v>
      </c>
      <c r="E21" s="19">
        <f>VLOOKUP(C:C,Courts!B:C,2,FALSE)</f>
        <v>11</v>
      </c>
      <c r="F21" s="19">
        <f>VLOOKUP(C:C,Courts!B:E,4,FALSE)</f>
        <v>0</v>
      </c>
      <c r="G21" s="19">
        <f>VLOOKUP(C:C,Courts!B:D,3,FALSE)</f>
        <v>0</v>
      </c>
      <c r="H21" s="19">
        <f>VLOOKUP(C:C,Courts!B:F,5,FALSE)</f>
        <v>11</v>
      </c>
      <c r="I21" s="18" t="s">
        <v>241</v>
      </c>
      <c r="J21" s="19">
        <f>VLOOKUP(C:C,TooliD!B:K,7,FALSE)</f>
        <v>11</v>
      </c>
      <c r="K21" s="19">
        <f>VLOOKUP(C:C,TooliD!B:J,9,FALSE)</f>
        <v>11</v>
      </c>
      <c r="L21" s="19">
        <f t="shared" ref="L21:L25" si="2">K21-J21</f>
        <v>0</v>
      </c>
      <c r="M21" s="19" t="str">
        <f t="shared" si="1"/>
        <v>OK</v>
      </c>
      <c r="N21" s="18"/>
    </row>
    <row r="22" spans="1:14" x14ac:dyDescent="0.25">
      <c r="A22" s="19" t="s">
        <v>157</v>
      </c>
      <c r="B22" s="19" t="s">
        <v>32</v>
      </c>
      <c r="C22" s="19" t="s">
        <v>32</v>
      </c>
      <c r="D22" s="19" t="s">
        <v>237</v>
      </c>
      <c r="E22" s="19">
        <f>VLOOKUP(C:C,Courts!B:C,2,FALSE)</f>
        <v>11</v>
      </c>
      <c r="F22" s="19">
        <f>VLOOKUP(C:C,Courts!B:E,4,FALSE)</f>
        <v>0</v>
      </c>
      <c r="G22" s="19">
        <f>VLOOKUP(C:C,Courts!B:D,3,FALSE)</f>
        <v>0</v>
      </c>
      <c r="H22" s="19">
        <f>VLOOKUP(C:C,Courts!B:F,5,FALSE)</f>
        <v>11</v>
      </c>
      <c r="I22" s="18" t="s">
        <v>9</v>
      </c>
      <c r="J22" s="19">
        <f>VLOOKUP(C:C,TooliD!B:N,13,FALSE)</f>
        <v>11</v>
      </c>
      <c r="K22" s="18">
        <f>VLOOKUP(C:C,TooliD!B:M,12,FALSE)</f>
        <v>13</v>
      </c>
      <c r="L22" s="19">
        <f t="shared" si="2"/>
        <v>2</v>
      </c>
      <c r="M22" s="19" t="str">
        <f t="shared" si="1"/>
        <v>Surplus</v>
      </c>
      <c r="N22" s="18"/>
    </row>
    <row r="23" spans="1:14" x14ac:dyDescent="0.25">
      <c r="A23" s="19" t="s">
        <v>157</v>
      </c>
      <c r="B23" s="19" t="s">
        <v>32</v>
      </c>
      <c r="C23" s="19" t="s">
        <v>32</v>
      </c>
      <c r="D23" s="19" t="s">
        <v>237</v>
      </c>
      <c r="E23" s="19">
        <f>VLOOKUP(C:C,Courts!B:C,2,FALSE)</f>
        <v>11</v>
      </c>
      <c r="F23" s="19">
        <f>VLOOKUP(C:C,Courts!B:E,4,FALSE)</f>
        <v>0</v>
      </c>
      <c r="G23" s="19">
        <f>VLOOKUP(C:C,Courts!B:D,3,FALSE)</f>
        <v>0</v>
      </c>
      <c r="H23" s="19">
        <f>VLOOKUP(C:C,Courts!B:F,5,FALSE)</f>
        <v>11</v>
      </c>
      <c r="I23" s="18" t="s">
        <v>239</v>
      </c>
      <c r="J23" s="19">
        <f>VLOOKUP(C:C,TooliD!B:Q,16,FALSE)</f>
        <v>22</v>
      </c>
      <c r="K23" s="18">
        <f>VLOOKUP(C:C,TooliD!B:P,15,FALSE)</f>
        <v>26</v>
      </c>
      <c r="L23" s="19">
        <f t="shared" si="2"/>
        <v>4</v>
      </c>
      <c r="M23" s="19" t="str">
        <f t="shared" si="1"/>
        <v>Surplus</v>
      </c>
      <c r="N23" s="18"/>
    </row>
    <row r="24" spans="1:14" x14ac:dyDescent="0.25">
      <c r="A24" s="19" t="s">
        <v>157</v>
      </c>
      <c r="B24" s="19" t="s">
        <v>32</v>
      </c>
      <c r="C24" s="19" t="s">
        <v>32</v>
      </c>
      <c r="D24" s="19" t="s">
        <v>237</v>
      </c>
      <c r="E24" s="19">
        <f>VLOOKUP(C:C,Courts!B:C,2,FALSE)</f>
        <v>11</v>
      </c>
      <c r="F24" s="19">
        <f>VLOOKUP(C:C,Courts!B:E,4,FALSE)</f>
        <v>0</v>
      </c>
      <c r="G24" s="19">
        <f>VLOOKUP(C:C,Courts!B:D,3,FALSE)</f>
        <v>0</v>
      </c>
      <c r="H24" s="19">
        <f>VLOOKUP(C:C,Courts!B:F,5,FALSE)</f>
        <v>11</v>
      </c>
      <c r="I24" s="18" t="s">
        <v>11</v>
      </c>
      <c r="J24" s="19">
        <f>VLOOKUP(C:C,TooliD!B:T,19,FALSE)</f>
        <v>88</v>
      </c>
      <c r="K24" s="18">
        <f>VLOOKUP(C:C,TooliD!B:S,18,FALSE)</f>
        <v>88</v>
      </c>
      <c r="L24" s="19">
        <f t="shared" si="2"/>
        <v>0</v>
      </c>
      <c r="M24" s="19" t="str">
        <f t="shared" si="1"/>
        <v>OK</v>
      </c>
      <c r="N24" s="18"/>
    </row>
    <row r="25" spans="1:14" x14ac:dyDescent="0.25">
      <c r="A25" s="19" t="s">
        <v>157</v>
      </c>
      <c r="B25" s="19" t="s">
        <v>32</v>
      </c>
      <c r="C25" s="19" t="s">
        <v>32</v>
      </c>
      <c r="D25" s="19" t="s">
        <v>237</v>
      </c>
      <c r="E25" s="19">
        <f>VLOOKUP(C:C,Courts!B:C,2,FALSE)</f>
        <v>11</v>
      </c>
      <c r="F25" s="19">
        <f>VLOOKUP(C:C,Courts!B:E,4,FALSE)</f>
        <v>0</v>
      </c>
      <c r="G25" s="19">
        <f>VLOOKUP(C:C,Courts!B:D,3,FALSE)</f>
        <v>0</v>
      </c>
      <c r="H25" s="19">
        <f>VLOOKUP(C:C,Courts!B:F,5,FALSE)</f>
        <v>11</v>
      </c>
      <c r="I25" s="18" t="s">
        <v>212</v>
      </c>
      <c r="J25" s="19">
        <f>VLOOKUP(C:C,TooliD!B:W,22,FALSE)</f>
        <v>11</v>
      </c>
      <c r="K25" s="18">
        <f>VLOOKUP(C:C,TooliD!B:V,21,FALSE)</f>
        <v>11</v>
      </c>
      <c r="L25" s="19">
        <f t="shared" si="2"/>
        <v>0</v>
      </c>
      <c r="M25" s="19" t="str">
        <f t="shared" si="1"/>
        <v>OK</v>
      </c>
      <c r="N25" s="18"/>
    </row>
    <row r="26" spans="1:14" x14ac:dyDescent="0.25">
      <c r="A26" s="19" t="s">
        <v>157</v>
      </c>
      <c r="B26" s="19" t="s">
        <v>33</v>
      </c>
      <c r="C26" s="19" t="s">
        <v>33</v>
      </c>
      <c r="D26" s="19" t="s">
        <v>237</v>
      </c>
      <c r="E26" s="19">
        <f>VLOOKUP(C:C,Courts!B:C,2,FALSE)</f>
        <v>25</v>
      </c>
      <c r="F26" s="19">
        <f>VLOOKUP(C:C,Courts!B:E,4,FALSE)</f>
        <v>0</v>
      </c>
      <c r="G26" s="19">
        <f>VLOOKUP(C:C,Courts!B:D,3,FALSE)</f>
        <v>0</v>
      </c>
      <c r="H26" s="19">
        <f>VLOOKUP(C:C,Courts!B:F,5,FALSE)</f>
        <v>25</v>
      </c>
      <c r="I26" s="18" t="s">
        <v>7</v>
      </c>
      <c r="J26" s="19">
        <f>VLOOKUP(C:C,TooliD!B:H,7,FALSE)</f>
        <v>25</v>
      </c>
      <c r="K26" s="19">
        <f>VLOOKUP(C:C,TooliD!B:G,6,FALSE)</f>
        <v>31</v>
      </c>
      <c r="L26" s="19">
        <f>K26-J26</f>
        <v>6</v>
      </c>
      <c r="M26" s="19" t="str">
        <f>IF(L26=0,"OK", IF(L26&gt;0,"Surplus","Shortfall"))</f>
        <v>Surplus</v>
      </c>
      <c r="N26" s="18"/>
    </row>
    <row r="27" spans="1:14" x14ac:dyDescent="0.25">
      <c r="A27" s="19" t="s">
        <v>157</v>
      </c>
      <c r="B27" s="19" t="s">
        <v>33</v>
      </c>
      <c r="C27" s="19" t="s">
        <v>33</v>
      </c>
      <c r="D27" s="19" t="s">
        <v>237</v>
      </c>
      <c r="E27" s="19">
        <f>VLOOKUP(C:C,Courts!B:C,2,FALSE)</f>
        <v>25</v>
      </c>
      <c r="F27" s="19">
        <f>VLOOKUP(C:C,Courts!B:E,4,FALSE)</f>
        <v>0</v>
      </c>
      <c r="G27" s="19">
        <f>VLOOKUP(C:C,Courts!B:D,3,FALSE)</f>
        <v>0</v>
      </c>
      <c r="H27" s="19">
        <f>VLOOKUP(C:C,Courts!B:F,5,FALSE)</f>
        <v>25</v>
      </c>
      <c r="I27" s="18" t="s">
        <v>241</v>
      </c>
      <c r="J27" s="19">
        <f>VLOOKUP(C:C,TooliD!B:K,7,FALSE)</f>
        <v>25</v>
      </c>
      <c r="K27" s="19">
        <f>VLOOKUP(C:C,TooliD!B:J,9,FALSE)</f>
        <v>20</v>
      </c>
      <c r="L27" s="19">
        <f t="shared" ref="L27:L31" si="3">K27-J27</f>
        <v>-5</v>
      </c>
      <c r="M27" s="19" t="str">
        <f t="shared" si="1"/>
        <v>Shortfall</v>
      </c>
      <c r="N27" s="18"/>
    </row>
    <row r="28" spans="1:14" x14ac:dyDescent="0.25">
      <c r="A28" s="19" t="s">
        <v>157</v>
      </c>
      <c r="B28" s="19" t="s">
        <v>33</v>
      </c>
      <c r="C28" s="19" t="s">
        <v>33</v>
      </c>
      <c r="D28" s="19" t="s">
        <v>237</v>
      </c>
      <c r="E28" s="19">
        <f>VLOOKUP(C:C,Courts!B:C,2,FALSE)</f>
        <v>25</v>
      </c>
      <c r="F28" s="19">
        <f>VLOOKUP(C:C,Courts!B:E,4,FALSE)</f>
        <v>0</v>
      </c>
      <c r="G28" s="19">
        <f>VLOOKUP(C:C,Courts!B:D,3,FALSE)</f>
        <v>0</v>
      </c>
      <c r="H28" s="19">
        <f>VLOOKUP(C:C,Courts!B:F,5,FALSE)</f>
        <v>25</v>
      </c>
      <c r="I28" s="18" t="s">
        <v>9</v>
      </c>
      <c r="J28" s="19">
        <f>VLOOKUP(C:C,TooliD!B:N,13,FALSE)</f>
        <v>25</v>
      </c>
      <c r="K28" s="18">
        <f>VLOOKUP(C:C,TooliD!B:M,12,FALSE)</f>
        <v>28</v>
      </c>
      <c r="L28" s="19">
        <f t="shared" si="3"/>
        <v>3</v>
      </c>
      <c r="M28" s="19" t="str">
        <f t="shared" si="1"/>
        <v>Surplus</v>
      </c>
      <c r="N28" s="18"/>
    </row>
    <row r="29" spans="1:14" x14ac:dyDescent="0.25">
      <c r="A29" s="19" t="s">
        <v>157</v>
      </c>
      <c r="B29" s="19" t="s">
        <v>33</v>
      </c>
      <c r="C29" s="19" t="s">
        <v>33</v>
      </c>
      <c r="D29" s="19" t="s">
        <v>237</v>
      </c>
      <c r="E29" s="19">
        <f>VLOOKUP(C:C,Courts!B:C,2,FALSE)</f>
        <v>25</v>
      </c>
      <c r="F29" s="19">
        <f>VLOOKUP(C:C,Courts!B:E,4,FALSE)</f>
        <v>0</v>
      </c>
      <c r="G29" s="19">
        <f>VLOOKUP(C:C,Courts!B:D,3,FALSE)</f>
        <v>0</v>
      </c>
      <c r="H29" s="19">
        <f>VLOOKUP(C:C,Courts!B:F,5,FALSE)</f>
        <v>25</v>
      </c>
      <c r="I29" s="18" t="s">
        <v>239</v>
      </c>
      <c r="J29" s="19">
        <f>VLOOKUP(C:C,TooliD!B:Q,16,FALSE)</f>
        <v>50</v>
      </c>
      <c r="K29" s="18">
        <f>VLOOKUP(C:C,TooliD!B:P,15,FALSE)</f>
        <v>54</v>
      </c>
      <c r="L29" s="19">
        <f t="shared" si="3"/>
        <v>4</v>
      </c>
      <c r="M29" s="19" t="str">
        <f t="shared" si="1"/>
        <v>Surplus</v>
      </c>
      <c r="N29" s="18"/>
    </row>
    <row r="30" spans="1:14" x14ac:dyDescent="0.25">
      <c r="A30" s="19" t="s">
        <v>157</v>
      </c>
      <c r="B30" s="19" t="s">
        <v>33</v>
      </c>
      <c r="C30" s="19" t="s">
        <v>33</v>
      </c>
      <c r="D30" s="19" t="s">
        <v>237</v>
      </c>
      <c r="E30" s="19">
        <f>VLOOKUP(C:C,Courts!B:C,2,FALSE)</f>
        <v>25</v>
      </c>
      <c r="F30" s="19">
        <f>VLOOKUP(C:C,Courts!B:E,4,FALSE)</f>
        <v>0</v>
      </c>
      <c r="G30" s="19">
        <f>VLOOKUP(C:C,Courts!B:D,3,FALSE)</f>
        <v>0</v>
      </c>
      <c r="H30" s="19">
        <f>VLOOKUP(C:C,Courts!B:F,5,FALSE)</f>
        <v>25</v>
      </c>
      <c r="I30" s="18" t="s">
        <v>11</v>
      </c>
      <c r="J30" s="19">
        <f>VLOOKUP(C:C,TooliD!B:T,19,FALSE)</f>
        <v>200</v>
      </c>
      <c r="K30" s="18">
        <f>VLOOKUP(C:C,TooliD!B:S,18,FALSE)</f>
        <v>168</v>
      </c>
      <c r="L30" s="19">
        <f t="shared" si="3"/>
        <v>-32</v>
      </c>
      <c r="M30" s="19" t="str">
        <f t="shared" si="1"/>
        <v>Shortfall</v>
      </c>
      <c r="N30" s="18"/>
    </row>
    <row r="31" spans="1:14" x14ac:dyDescent="0.25">
      <c r="A31" s="19" t="s">
        <v>157</v>
      </c>
      <c r="B31" s="19" t="s">
        <v>33</v>
      </c>
      <c r="C31" s="19" t="s">
        <v>33</v>
      </c>
      <c r="D31" s="19" t="s">
        <v>237</v>
      </c>
      <c r="E31" s="19">
        <f>VLOOKUP(C:C,Courts!B:C,2,FALSE)</f>
        <v>25</v>
      </c>
      <c r="F31" s="19">
        <f>VLOOKUP(C:C,Courts!B:E,4,FALSE)</f>
        <v>0</v>
      </c>
      <c r="G31" s="19">
        <f>VLOOKUP(C:C,Courts!B:D,3,FALSE)</f>
        <v>0</v>
      </c>
      <c r="H31" s="19">
        <f>VLOOKUP(C:C,Courts!B:F,5,FALSE)</f>
        <v>25</v>
      </c>
      <c r="I31" s="18" t="s">
        <v>212</v>
      </c>
      <c r="J31" s="19">
        <f>VLOOKUP(C:C,TooliD!B:W,22,FALSE)</f>
        <v>25</v>
      </c>
      <c r="K31" s="18">
        <f>VLOOKUP(C:C,TooliD!B:V,21,FALSE)</f>
        <v>21</v>
      </c>
      <c r="L31" s="19">
        <f t="shared" si="3"/>
        <v>-4</v>
      </c>
      <c r="M31" s="19" t="str">
        <f t="shared" si="1"/>
        <v>Shortfall</v>
      </c>
      <c r="N31" s="18"/>
    </row>
    <row r="32" spans="1:14" x14ac:dyDescent="0.25">
      <c r="A32" s="19" t="s">
        <v>157</v>
      </c>
      <c r="B32" s="19" t="s">
        <v>33</v>
      </c>
      <c r="C32" s="18" t="s">
        <v>34</v>
      </c>
      <c r="D32" s="19" t="s">
        <v>238</v>
      </c>
      <c r="E32" s="19">
        <f>VLOOKUP(C:C,Courts!B:C,2,FALSE)</f>
        <v>6</v>
      </c>
      <c r="F32" s="19">
        <f>VLOOKUP(C:C,Courts!B:E,4,FALSE)</f>
        <v>1</v>
      </c>
      <c r="G32" s="19">
        <f>VLOOKUP(C:C,Courts!B:D,3,FALSE)</f>
        <v>0</v>
      </c>
      <c r="H32" s="19">
        <f>VLOOKUP(C:C,Courts!B:F,5,FALSE)</f>
        <v>7</v>
      </c>
      <c r="I32" s="18" t="s">
        <v>7</v>
      </c>
      <c r="J32" s="19">
        <f>VLOOKUP(C:C,TooliD!B:H,7,FALSE)</f>
        <v>7</v>
      </c>
      <c r="K32" s="19">
        <f>VLOOKUP(C:C,TooliD!B:G,6,FALSE)</f>
        <v>7</v>
      </c>
      <c r="L32" s="19">
        <f>K32-J32</f>
        <v>0</v>
      </c>
      <c r="M32" s="19" t="str">
        <f>IF(L32=0,"OK", IF(L32&gt;0,"Surplus","Shortfall"))</f>
        <v>OK</v>
      </c>
      <c r="N32" s="18"/>
    </row>
    <row r="33" spans="1:14" x14ac:dyDescent="0.25">
      <c r="A33" s="19" t="s">
        <v>157</v>
      </c>
      <c r="B33" s="19" t="s">
        <v>33</v>
      </c>
      <c r="C33" s="18" t="s">
        <v>34</v>
      </c>
      <c r="D33" s="19" t="s">
        <v>238</v>
      </c>
      <c r="E33" s="19">
        <f>VLOOKUP(C:C,Courts!B:C,2,FALSE)</f>
        <v>6</v>
      </c>
      <c r="F33" s="19">
        <f>VLOOKUP(C:C,Courts!B:E,4,FALSE)</f>
        <v>1</v>
      </c>
      <c r="G33" s="19">
        <f>VLOOKUP(C:C,Courts!B:D,3,FALSE)</f>
        <v>0</v>
      </c>
      <c r="H33" s="19">
        <f>VLOOKUP(C:C,Courts!B:F,5,FALSE)</f>
        <v>7</v>
      </c>
      <c r="I33" s="18" t="s">
        <v>241</v>
      </c>
      <c r="J33" s="19">
        <f>VLOOKUP(C:C,TooliD!B:K,7,FALSE)</f>
        <v>7</v>
      </c>
      <c r="K33" s="19">
        <f>VLOOKUP(C:C,TooliD!B:J,9,FALSE)</f>
        <v>4</v>
      </c>
      <c r="L33" s="19">
        <f t="shared" ref="L33:L37" si="4">K33-J33</f>
        <v>-3</v>
      </c>
      <c r="M33" s="19" t="str">
        <f t="shared" si="1"/>
        <v>Shortfall</v>
      </c>
      <c r="N33" s="18"/>
    </row>
    <row r="34" spans="1:14" x14ac:dyDescent="0.25">
      <c r="A34" s="19" t="s">
        <v>157</v>
      </c>
      <c r="B34" s="19" t="s">
        <v>33</v>
      </c>
      <c r="C34" s="18" t="s">
        <v>34</v>
      </c>
      <c r="D34" s="19" t="s">
        <v>238</v>
      </c>
      <c r="E34" s="19">
        <f>VLOOKUP(C:C,Courts!B:C,2,FALSE)</f>
        <v>6</v>
      </c>
      <c r="F34" s="19">
        <f>VLOOKUP(C:C,Courts!B:E,4,FALSE)</f>
        <v>1</v>
      </c>
      <c r="G34" s="19">
        <f>VLOOKUP(C:C,Courts!B:D,3,FALSE)</f>
        <v>0</v>
      </c>
      <c r="H34" s="19">
        <f>VLOOKUP(C:C,Courts!B:F,5,FALSE)</f>
        <v>7</v>
      </c>
      <c r="I34" s="18" t="s">
        <v>9</v>
      </c>
      <c r="J34" s="19">
        <f>VLOOKUP(C:C,TooliD!B:N,13,FALSE)</f>
        <v>7</v>
      </c>
      <c r="K34" s="18">
        <f>VLOOKUP(C:C,TooliD!B:M,12,FALSE)</f>
        <v>7</v>
      </c>
      <c r="L34" s="19">
        <f t="shared" si="4"/>
        <v>0</v>
      </c>
      <c r="M34" s="19" t="str">
        <f t="shared" si="1"/>
        <v>OK</v>
      </c>
      <c r="N34" s="18"/>
    </row>
    <row r="35" spans="1:14" x14ac:dyDescent="0.25">
      <c r="A35" s="19" t="s">
        <v>157</v>
      </c>
      <c r="B35" s="19" t="s">
        <v>33</v>
      </c>
      <c r="C35" s="18" t="s">
        <v>34</v>
      </c>
      <c r="D35" s="19" t="s">
        <v>238</v>
      </c>
      <c r="E35" s="19">
        <f>VLOOKUP(C:C,Courts!B:C,2,FALSE)</f>
        <v>6</v>
      </c>
      <c r="F35" s="19">
        <f>VLOOKUP(C:C,Courts!B:E,4,FALSE)</f>
        <v>1</v>
      </c>
      <c r="G35" s="19">
        <f>VLOOKUP(C:C,Courts!B:D,3,FALSE)</f>
        <v>0</v>
      </c>
      <c r="H35" s="19">
        <f>VLOOKUP(C:C,Courts!B:F,5,FALSE)</f>
        <v>7</v>
      </c>
      <c r="I35" s="18" t="s">
        <v>239</v>
      </c>
      <c r="J35" s="19">
        <f>VLOOKUP(C:C,TooliD!B:Q,16,FALSE)</f>
        <v>12</v>
      </c>
      <c r="K35" s="18">
        <f>VLOOKUP(C:C,TooliD!B:P,15,FALSE)</f>
        <v>12</v>
      </c>
      <c r="L35" s="19">
        <f t="shared" si="4"/>
        <v>0</v>
      </c>
      <c r="M35" s="19" t="str">
        <f t="shared" si="1"/>
        <v>OK</v>
      </c>
      <c r="N35" s="18"/>
    </row>
    <row r="36" spans="1:14" x14ac:dyDescent="0.25">
      <c r="A36" s="19" t="s">
        <v>157</v>
      </c>
      <c r="B36" s="19" t="s">
        <v>33</v>
      </c>
      <c r="C36" s="18" t="s">
        <v>34</v>
      </c>
      <c r="D36" s="19" t="s">
        <v>238</v>
      </c>
      <c r="E36" s="19">
        <f>VLOOKUP(C:C,Courts!B:C,2,FALSE)</f>
        <v>6</v>
      </c>
      <c r="F36" s="19">
        <f>VLOOKUP(C:C,Courts!B:E,4,FALSE)</f>
        <v>1</v>
      </c>
      <c r="G36" s="19">
        <f>VLOOKUP(C:C,Courts!B:D,3,FALSE)</f>
        <v>0</v>
      </c>
      <c r="H36" s="19">
        <f>VLOOKUP(C:C,Courts!B:F,5,FALSE)</f>
        <v>7</v>
      </c>
      <c r="I36" s="18" t="s">
        <v>11</v>
      </c>
      <c r="J36" s="19">
        <f>VLOOKUP(C:C,TooliD!B:T,19,FALSE)</f>
        <v>52</v>
      </c>
      <c r="K36" s="18">
        <f>VLOOKUP(C:C,TooliD!B:S,18,FALSE)</f>
        <v>28</v>
      </c>
      <c r="L36" s="19">
        <f t="shared" si="4"/>
        <v>-24</v>
      </c>
      <c r="M36" s="19" t="str">
        <f t="shared" si="1"/>
        <v>Shortfall</v>
      </c>
      <c r="N36" s="18"/>
    </row>
    <row r="37" spans="1:14" x14ac:dyDescent="0.25">
      <c r="A37" s="19" t="s">
        <v>157</v>
      </c>
      <c r="B37" s="19" t="s">
        <v>33</v>
      </c>
      <c r="C37" s="18" t="s">
        <v>34</v>
      </c>
      <c r="D37" s="19" t="s">
        <v>238</v>
      </c>
      <c r="E37" s="19">
        <f>VLOOKUP(C:C,Courts!B:C,2,FALSE)</f>
        <v>6</v>
      </c>
      <c r="F37" s="19">
        <f>VLOOKUP(C:C,Courts!B:E,4,FALSE)</f>
        <v>1</v>
      </c>
      <c r="G37" s="19">
        <f>VLOOKUP(C:C,Courts!B:D,3,FALSE)</f>
        <v>0</v>
      </c>
      <c r="H37" s="19">
        <f>VLOOKUP(C:C,Courts!B:F,5,FALSE)</f>
        <v>7</v>
      </c>
      <c r="I37" s="18" t="s">
        <v>212</v>
      </c>
      <c r="J37" s="19">
        <f>VLOOKUP(C:C,TooliD!B:W,22,FALSE)</f>
        <v>7</v>
      </c>
      <c r="K37" s="18">
        <f>VLOOKUP(C:C,TooliD!B:V,21,FALSE)</f>
        <v>4</v>
      </c>
      <c r="L37" s="19">
        <f t="shared" si="4"/>
        <v>-3</v>
      </c>
      <c r="M37" s="19" t="str">
        <f t="shared" si="1"/>
        <v>Shortfall</v>
      </c>
      <c r="N37" s="18"/>
    </row>
    <row r="38" spans="1:14" x14ac:dyDescent="0.25">
      <c r="A38" s="19" t="s">
        <v>157</v>
      </c>
      <c r="B38" s="19" t="s">
        <v>33</v>
      </c>
      <c r="C38" s="18" t="s">
        <v>35</v>
      </c>
      <c r="D38" s="19" t="s">
        <v>238</v>
      </c>
      <c r="E38" s="19">
        <f>VLOOKUP(C:C,Courts!B:C,2,FALSE)</f>
        <v>4</v>
      </c>
      <c r="F38" s="19">
        <f>VLOOKUP(C:C,Courts!B:E,4,FALSE)</f>
        <v>1</v>
      </c>
      <c r="G38" s="19">
        <f>VLOOKUP(C:C,Courts!B:D,3,FALSE)</f>
        <v>0</v>
      </c>
      <c r="H38" s="19">
        <f>VLOOKUP(C:C,Courts!B:F,5,FALSE)</f>
        <v>5</v>
      </c>
      <c r="I38" s="18" t="s">
        <v>7</v>
      </c>
      <c r="J38" s="19">
        <f>VLOOKUP(C:C,TooliD!B:H,7,FALSE)</f>
        <v>5</v>
      </c>
      <c r="K38" s="19">
        <f>VLOOKUP(C:C,TooliD!B:G,6,FALSE)</f>
        <v>6</v>
      </c>
      <c r="L38" s="19">
        <f>K38-J38</f>
        <v>1</v>
      </c>
      <c r="M38" s="19" t="str">
        <f>IF(L38=0,"OK", IF(L38&gt;0,"Surplus","Shortfall"))</f>
        <v>Surplus</v>
      </c>
      <c r="N38" s="18"/>
    </row>
    <row r="39" spans="1:14" x14ac:dyDescent="0.25">
      <c r="A39" s="19" t="s">
        <v>157</v>
      </c>
      <c r="B39" s="19" t="s">
        <v>33</v>
      </c>
      <c r="C39" s="18" t="s">
        <v>35</v>
      </c>
      <c r="D39" s="19" t="s">
        <v>238</v>
      </c>
      <c r="E39" s="19">
        <f>VLOOKUP(C:C,Courts!B:C,2,FALSE)</f>
        <v>4</v>
      </c>
      <c r="F39" s="19">
        <f>VLOOKUP(C:C,Courts!B:E,4,FALSE)</f>
        <v>1</v>
      </c>
      <c r="G39" s="19">
        <f>VLOOKUP(C:C,Courts!B:D,3,FALSE)</f>
        <v>0</v>
      </c>
      <c r="H39" s="19">
        <f>VLOOKUP(C:C,Courts!B:F,5,FALSE)</f>
        <v>5</v>
      </c>
      <c r="I39" s="18" t="s">
        <v>241</v>
      </c>
      <c r="J39" s="19">
        <f>VLOOKUP(C:C,TooliD!B:K,7,FALSE)</f>
        <v>5</v>
      </c>
      <c r="K39" s="19">
        <f>VLOOKUP(C:C,TooliD!B:J,9,FALSE)</f>
        <v>3</v>
      </c>
      <c r="L39" s="19">
        <f t="shared" ref="L39:L43" si="5">K39-J39</f>
        <v>-2</v>
      </c>
      <c r="M39" s="19" t="str">
        <f t="shared" si="1"/>
        <v>Shortfall</v>
      </c>
      <c r="N39" s="18"/>
    </row>
    <row r="40" spans="1:14" x14ac:dyDescent="0.25">
      <c r="A40" s="19" t="s">
        <v>157</v>
      </c>
      <c r="B40" s="19" t="s">
        <v>33</v>
      </c>
      <c r="C40" s="18" t="s">
        <v>35</v>
      </c>
      <c r="D40" s="19" t="s">
        <v>238</v>
      </c>
      <c r="E40" s="19">
        <f>VLOOKUP(C:C,Courts!B:C,2,FALSE)</f>
        <v>4</v>
      </c>
      <c r="F40" s="19">
        <f>VLOOKUP(C:C,Courts!B:E,4,FALSE)</f>
        <v>1</v>
      </c>
      <c r="G40" s="19">
        <f>VLOOKUP(C:C,Courts!B:D,3,FALSE)</f>
        <v>0</v>
      </c>
      <c r="H40" s="19">
        <f>VLOOKUP(C:C,Courts!B:F,5,FALSE)</f>
        <v>5</v>
      </c>
      <c r="I40" s="18" t="s">
        <v>9</v>
      </c>
      <c r="J40" s="19">
        <f>VLOOKUP(C:C,TooliD!B:N,13,FALSE)</f>
        <v>5</v>
      </c>
      <c r="K40" s="18">
        <f>VLOOKUP(C:C,TooliD!B:M,12,FALSE)</f>
        <v>6</v>
      </c>
      <c r="L40" s="19">
        <f t="shared" si="5"/>
        <v>1</v>
      </c>
      <c r="M40" s="19" t="str">
        <f t="shared" si="1"/>
        <v>Surplus</v>
      </c>
      <c r="N40" s="18"/>
    </row>
    <row r="41" spans="1:14" x14ac:dyDescent="0.25">
      <c r="A41" s="19" t="s">
        <v>157</v>
      </c>
      <c r="B41" s="19" t="s">
        <v>33</v>
      </c>
      <c r="C41" s="18" t="s">
        <v>35</v>
      </c>
      <c r="D41" s="19" t="s">
        <v>238</v>
      </c>
      <c r="E41" s="19">
        <f>VLOOKUP(C:C,Courts!B:C,2,FALSE)</f>
        <v>4</v>
      </c>
      <c r="F41" s="19">
        <f>VLOOKUP(C:C,Courts!B:E,4,FALSE)</f>
        <v>1</v>
      </c>
      <c r="G41" s="19">
        <f>VLOOKUP(C:C,Courts!B:D,3,FALSE)</f>
        <v>0</v>
      </c>
      <c r="H41" s="19">
        <f>VLOOKUP(C:C,Courts!B:F,5,FALSE)</f>
        <v>5</v>
      </c>
      <c r="I41" s="18" t="s">
        <v>239</v>
      </c>
      <c r="J41" s="19">
        <f>VLOOKUP(C:C,TooliD!B:Q,16,FALSE)</f>
        <v>8</v>
      </c>
      <c r="K41" s="18">
        <f>VLOOKUP(C:C,TooliD!B:P,15,FALSE)</f>
        <v>10</v>
      </c>
      <c r="L41" s="19">
        <f t="shared" si="5"/>
        <v>2</v>
      </c>
      <c r="M41" s="19" t="str">
        <f t="shared" si="1"/>
        <v>Surplus</v>
      </c>
      <c r="N41" s="18"/>
    </row>
    <row r="42" spans="1:14" x14ac:dyDescent="0.25">
      <c r="A42" s="19" t="s">
        <v>157</v>
      </c>
      <c r="B42" s="19" t="s">
        <v>33</v>
      </c>
      <c r="C42" s="18" t="s">
        <v>35</v>
      </c>
      <c r="D42" s="19" t="s">
        <v>238</v>
      </c>
      <c r="E42" s="19">
        <f>VLOOKUP(C:C,Courts!B:C,2,FALSE)</f>
        <v>4</v>
      </c>
      <c r="F42" s="19">
        <f>VLOOKUP(C:C,Courts!B:E,4,FALSE)</f>
        <v>1</v>
      </c>
      <c r="G42" s="19">
        <f>VLOOKUP(C:C,Courts!B:D,3,FALSE)</f>
        <v>0</v>
      </c>
      <c r="H42" s="19">
        <f>VLOOKUP(C:C,Courts!B:F,5,FALSE)</f>
        <v>5</v>
      </c>
      <c r="I42" s="18" t="s">
        <v>11</v>
      </c>
      <c r="J42" s="19">
        <f>VLOOKUP(C:C,TooliD!B:T,19,FALSE)</f>
        <v>36</v>
      </c>
      <c r="K42" s="18">
        <f>VLOOKUP(C:C,TooliD!B:S,18,FALSE)</f>
        <v>21</v>
      </c>
      <c r="L42" s="19">
        <f t="shared" si="5"/>
        <v>-15</v>
      </c>
      <c r="M42" s="19" t="str">
        <f t="shared" si="1"/>
        <v>Shortfall</v>
      </c>
      <c r="N42" s="18"/>
    </row>
    <row r="43" spans="1:14" x14ac:dyDescent="0.25">
      <c r="A43" s="19" t="s">
        <v>157</v>
      </c>
      <c r="B43" s="19" t="s">
        <v>33</v>
      </c>
      <c r="C43" s="18" t="s">
        <v>35</v>
      </c>
      <c r="D43" s="19" t="s">
        <v>238</v>
      </c>
      <c r="E43" s="19">
        <f>VLOOKUP(C:C,Courts!B:C,2,FALSE)</f>
        <v>4</v>
      </c>
      <c r="F43" s="19">
        <f>VLOOKUP(C:C,Courts!B:E,4,FALSE)</f>
        <v>1</v>
      </c>
      <c r="G43" s="19">
        <f>VLOOKUP(C:C,Courts!B:D,3,FALSE)</f>
        <v>0</v>
      </c>
      <c r="H43" s="19">
        <f>VLOOKUP(C:C,Courts!B:F,5,FALSE)</f>
        <v>5</v>
      </c>
      <c r="I43" s="18" t="s">
        <v>212</v>
      </c>
      <c r="J43" s="19">
        <f>VLOOKUP(C:C,TooliD!B:W,22,FALSE)</f>
        <v>5</v>
      </c>
      <c r="K43" s="18">
        <f>VLOOKUP(C:C,TooliD!B:V,21,FALSE)</f>
        <v>3</v>
      </c>
      <c r="L43" s="19">
        <f t="shared" si="5"/>
        <v>-2</v>
      </c>
      <c r="M43" s="19" t="str">
        <f t="shared" si="1"/>
        <v>Shortfall</v>
      </c>
      <c r="N43" s="18"/>
    </row>
    <row r="44" spans="1:14" x14ac:dyDescent="0.25">
      <c r="A44" s="19" t="s">
        <v>157</v>
      </c>
      <c r="B44" s="18" t="s">
        <v>36</v>
      </c>
      <c r="C44" s="18" t="s">
        <v>36</v>
      </c>
      <c r="D44" s="19" t="s">
        <v>237</v>
      </c>
      <c r="E44" s="19">
        <f>VLOOKUP(C:C,Courts!B:C,2,FALSE)</f>
        <v>12</v>
      </c>
      <c r="F44" s="19">
        <f>VLOOKUP(C:C,Courts!B:E,4,FALSE)</f>
        <v>0</v>
      </c>
      <c r="G44" s="19">
        <f>VLOOKUP(C:C,Courts!B:D,3,FALSE)</f>
        <v>0</v>
      </c>
      <c r="H44" s="19">
        <f>VLOOKUP(C:C,Courts!B:F,5,FALSE)</f>
        <v>12</v>
      </c>
      <c r="I44" s="18" t="s">
        <v>7</v>
      </c>
      <c r="J44" s="19">
        <f>VLOOKUP(C:C,TooliD!B:H,7,FALSE)</f>
        <v>12</v>
      </c>
      <c r="K44" s="19">
        <f>VLOOKUP(C:C,TooliD!B:G,6,FALSE)</f>
        <v>14</v>
      </c>
      <c r="L44" s="19">
        <f>K44-J44</f>
        <v>2</v>
      </c>
      <c r="M44" s="19" t="str">
        <f>IF(L44=0,"OK", IF(L44&gt;0,"Surplus","Shortfall"))</f>
        <v>Surplus</v>
      </c>
      <c r="N44" s="18"/>
    </row>
    <row r="45" spans="1:14" x14ac:dyDescent="0.25">
      <c r="A45" s="19" t="s">
        <v>157</v>
      </c>
      <c r="B45" s="18" t="s">
        <v>36</v>
      </c>
      <c r="C45" s="18" t="s">
        <v>36</v>
      </c>
      <c r="D45" s="19" t="s">
        <v>237</v>
      </c>
      <c r="E45" s="19">
        <f>VLOOKUP(C:C,Courts!B:C,2,FALSE)</f>
        <v>12</v>
      </c>
      <c r="F45" s="19">
        <f>VLOOKUP(C:C,Courts!B:E,4,FALSE)</f>
        <v>0</v>
      </c>
      <c r="G45" s="19">
        <f>VLOOKUP(C:C,Courts!B:D,3,FALSE)</f>
        <v>0</v>
      </c>
      <c r="H45" s="19">
        <f>VLOOKUP(C:C,Courts!B:F,5,FALSE)</f>
        <v>12</v>
      </c>
      <c r="I45" s="18" t="s">
        <v>241</v>
      </c>
      <c r="J45" s="19">
        <f>VLOOKUP(C:C,TooliD!B:K,7,FALSE)</f>
        <v>12</v>
      </c>
      <c r="K45" s="19">
        <f>VLOOKUP(C:C,TooliD!B:J,9,FALSE)</f>
        <v>10</v>
      </c>
      <c r="L45" s="19">
        <f t="shared" ref="L45:L49" si="6">K45-J45</f>
        <v>-2</v>
      </c>
      <c r="M45" s="19" t="str">
        <f t="shared" si="1"/>
        <v>Shortfall</v>
      </c>
      <c r="N45" s="18"/>
    </row>
    <row r="46" spans="1:14" x14ac:dyDescent="0.25">
      <c r="A46" s="19" t="s">
        <v>157</v>
      </c>
      <c r="B46" s="18" t="s">
        <v>36</v>
      </c>
      <c r="C46" s="18" t="s">
        <v>36</v>
      </c>
      <c r="D46" s="19" t="s">
        <v>237</v>
      </c>
      <c r="E46" s="19">
        <f>VLOOKUP(C:C,Courts!B:C,2,FALSE)</f>
        <v>12</v>
      </c>
      <c r="F46" s="19">
        <f>VLOOKUP(C:C,Courts!B:E,4,FALSE)</f>
        <v>0</v>
      </c>
      <c r="G46" s="19">
        <f>VLOOKUP(C:C,Courts!B:D,3,FALSE)</f>
        <v>0</v>
      </c>
      <c r="H46" s="19">
        <f>VLOOKUP(C:C,Courts!B:F,5,FALSE)</f>
        <v>12</v>
      </c>
      <c r="I46" s="18" t="s">
        <v>9</v>
      </c>
      <c r="J46" s="19">
        <f>VLOOKUP(C:C,TooliD!B:N,13,FALSE)</f>
        <v>12</v>
      </c>
      <c r="K46" s="18">
        <f>VLOOKUP(C:C,TooliD!B:M,12,FALSE)</f>
        <v>12</v>
      </c>
      <c r="L46" s="19">
        <f t="shared" si="6"/>
        <v>0</v>
      </c>
      <c r="M46" s="19" t="str">
        <f t="shared" si="1"/>
        <v>OK</v>
      </c>
      <c r="N46" s="18"/>
    </row>
    <row r="47" spans="1:14" x14ac:dyDescent="0.25">
      <c r="A47" s="19" t="s">
        <v>157</v>
      </c>
      <c r="B47" s="18" t="s">
        <v>36</v>
      </c>
      <c r="C47" s="18" t="s">
        <v>36</v>
      </c>
      <c r="D47" s="19" t="s">
        <v>237</v>
      </c>
      <c r="E47" s="19">
        <f>VLOOKUP(C:C,Courts!B:C,2,FALSE)</f>
        <v>12</v>
      </c>
      <c r="F47" s="19">
        <f>VLOOKUP(C:C,Courts!B:E,4,FALSE)</f>
        <v>0</v>
      </c>
      <c r="G47" s="19">
        <f>VLOOKUP(C:C,Courts!B:D,3,FALSE)</f>
        <v>0</v>
      </c>
      <c r="H47" s="19">
        <f>VLOOKUP(C:C,Courts!B:F,5,FALSE)</f>
        <v>12</v>
      </c>
      <c r="I47" s="18" t="s">
        <v>239</v>
      </c>
      <c r="J47" s="19">
        <f>VLOOKUP(C:C,TooliD!B:Q,16,FALSE)</f>
        <v>24</v>
      </c>
      <c r="K47" s="18">
        <f>VLOOKUP(C:C,TooliD!B:P,15,FALSE)</f>
        <v>27</v>
      </c>
      <c r="L47" s="19">
        <f t="shared" si="6"/>
        <v>3</v>
      </c>
      <c r="M47" s="19" t="str">
        <f t="shared" si="1"/>
        <v>Surplus</v>
      </c>
      <c r="N47" s="18"/>
    </row>
    <row r="48" spans="1:14" x14ac:dyDescent="0.25">
      <c r="A48" s="19" t="s">
        <v>157</v>
      </c>
      <c r="B48" s="18" t="s">
        <v>36</v>
      </c>
      <c r="C48" s="18" t="s">
        <v>36</v>
      </c>
      <c r="D48" s="19" t="s">
        <v>237</v>
      </c>
      <c r="E48" s="19">
        <f>VLOOKUP(C:C,Courts!B:C,2,FALSE)</f>
        <v>12</v>
      </c>
      <c r="F48" s="19">
        <f>VLOOKUP(C:C,Courts!B:E,4,FALSE)</f>
        <v>0</v>
      </c>
      <c r="G48" s="19">
        <f>VLOOKUP(C:C,Courts!B:D,3,FALSE)</f>
        <v>0</v>
      </c>
      <c r="H48" s="19">
        <f>VLOOKUP(C:C,Courts!B:F,5,FALSE)</f>
        <v>12</v>
      </c>
      <c r="I48" s="18" t="s">
        <v>11</v>
      </c>
      <c r="J48" s="19">
        <f>VLOOKUP(C:C,TooliD!B:T,19,FALSE)</f>
        <v>96</v>
      </c>
      <c r="K48" s="18">
        <f>VLOOKUP(C:C,TooliD!B:S,18,FALSE)</f>
        <v>80</v>
      </c>
      <c r="L48" s="19">
        <f t="shared" si="6"/>
        <v>-16</v>
      </c>
      <c r="M48" s="19" t="str">
        <f t="shared" si="1"/>
        <v>Shortfall</v>
      </c>
      <c r="N48" s="18"/>
    </row>
    <row r="49" spans="1:14" x14ac:dyDescent="0.25">
      <c r="A49" s="19" t="s">
        <v>157</v>
      </c>
      <c r="B49" s="18" t="s">
        <v>36</v>
      </c>
      <c r="C49" s="18" t="s">
        <v>36</v>
      </c>
      <c r="D49" s="19" t="s">
        <v>237</v>
      </c>
      <c r="E49" s="19">
        <f>VLOOKUP(C:C,Courts!B:C,2,FALSE)</f>
        <v>12</v>
      </c>
      <c r="F49" s="19">
        <f>VLOOKUP(C:C,Courts!B:E,4,FALSE)</f>
        <v>0</v>
      </c>
      <c r="G49" s="19">
        <f>VLOOKUP(C:C,Courts!B:D,3,FALSE)</f>
        <v>0</v>
      </c>
      <c r="H49" s="19">
        <f>VLOOKUP(C:C,Courts!B:F,5,FALSE)</f>
        <v>12</v>
      </c>
      <c r="I49" s="18" t="s">
        <v>212</v>
      </c>
      <c r="J49" s="19">
        <f>VLOOKUP(C:C,TooliD!B:W,22,FALSE)</f>
        <v>12</v>
      </c>
      <c r="K49" s="18">
        <f>VLOOKUP(C:C,TooliD!B:V,21,FALSE)</f>
        <v>11</v>
      </c>
      <c r="L49" s="19">
        <f t="shared" si="6"/>
        <v>-1</v>
      </c>
      <c r="M49" s="19" t="str">
        <f t="shared" si="1"/>
        <v>Shortfall</v>
      </c>
      <c r="N49" s="18"/>
    </row>
    <row r="50" spans="1:14" x14ac:dyDescent="0.25">
      <c r="A50" s="19" t="s">
        <v>157</v>
      </c>
      <c r="B50" s="18" t="s">
        <v>36</v>
      </c>
      <c r="C50" s="19" t="s">
        <v>37</v>
      </c>
      <c r="D50" s="19" t="s">
        <v>238</v>
      </c>
      <c r="E50" s="19">
        <f>VLOOKUP(C:C,Courts!B:C,2,FALSE)</f>
        <v>2</v>
      </c>
      <c r="F50" s="19">
        <f>VLOOKUP(C:C,Courts!B:E,4,FALSE)</f>
        <v>0</v>
      </c>
      <c r="G50" s="19">
        <f>VLOOKUP(C:C,Courts!B:D,3,FALSE)</f>
        <v>0</v>
      </c>
      <c r="H50" s="19">
        <f>VLOOKUP(C:C,Courts!B:F,5,FALSE)</f>
        <v>2</v>
      </c>
      <c r="I50" s="18" t="s">
        <v>7</v>
      </c>
      <c r="J50" s="19">
        <f>VLOOKUP(C:C,TooliD!B:H,7,FALSE)</f>
        <v>2</v>
      </c>
      <c r="K50" s="19">
        <f>VLOOKUP(C:C,TooliD!B:G,6,FALSE)</f>
        <v>3</v>
      </c>
      <c r="L50" s="19">
        <f>K50-J50</f>
        <v>1</v>
      </c>
      <c r="M50" s="19" t="str">
        <f>IF(L50=0,"OK", IF(L50&gt;0,"Surplus","Shortfall"))</f>
        <v>Surplus</v>
      </c>
      <c r="N50" s="18"/>
    </row>
    <row r="51" spans="1:14" x14ac:dyDescent="0.25">
      <c r="A51" s="19" t="s">
        <v>157</v>
      </c>
      <c r="B51" s="18" t="s">
        <v>36</v>
      </c>
      <c r="C51" s="19" t="s">
        <v>37</v>
      </c>
      <c r="D51" s="19" t="s">
        <v>238</v>
      </c>
      <c r="E51" s="19">
        <f>VLOOKUP(C:C,Courts!B:C,2,FALSE)</f>
        <v>2</v>
      </c>
      <c r="F51" s="19">
        <f>VLOOKUP(C:C,Courts!B:E,4,FALSE)</f>
        <v>0</v>
      </c>
      <c r="G51" s="19">
        <f>VLOOKUP(C:C,Courts!B:D,3,FALSE)</f>
        <v>0</v>
      </c>
      <c r="H51" s="19">
        <f>VLOOKUP(C:C,Courts!B:F,5,FALSE)</f>
        <v>2</v>
      </c>
      <c r="I51" s="18" t="s">
        <v>241</v>
      </c>
      <c r="J51" s="19">
        <f>VLOOKUP(C:C,TooliD!B:K,7,FALSE)</f>
        <v>2</v>
      </c>
      <c r="K51" s="19">
        <f>VLOOKUP(C:C,TooliD!B:J,9,FALSE)</f>
        <v>1</v>
      </c>
      <c r="L51" s="19">
        <f t="shared" ref="L51:L55" si="7">K51-J51</f>
        <v>-1</v>
      </c>
      <c r="M51" s="19" t="str">
        <f t="shared" si="1"/>
        <v>Shortfall</v>
      </c>
      <c r="N51" s="18"/>
    </row>
    <row r="52" spans="1:14" x14ac:dyDescent="0.25">
      <c r="A52" s="19" t="s">
        <v>157</v>
      </c>
      <c r="B52" s="18" t="s">
        <v>36</v>
      </c>
      <c r="C52" s="19" t="s">
        <v>37</v>
      </c>
      <c r="D52" s="19" t="s">
        <v>238</v>
      </c>
      <c r="E52" s="19">
        <f>VLOOKUP(C:C,Courts!B:C,2,FALSE)</f>
        <v>2</v>
      </c>
      <c r="F52" s="19">
        <f>VLOOKUP(C:C,Courts!B:E,4,FALSE)</f>
        <v>0</v>
      </c>
      <c r="G52" s="19">
        <f>VLOOKUP(C:C,Courts!B:D,3,FALSE)</f>
        <v>0</v>
      </c>
      <c r="H52" s="19">
        <f>VLOOKUP(C:C,Courts!B:F,5,FALSE)</f>
        <v>2</v>
      </c>
      <c r="I52" s="18" t="s">
        <v>9</v>
      </c>
      <c r="J52" s="19">
        <f>VLOOKUP(C:C,TooliD!B:N,13,FALSE)</f>
        <v>2</v>
      </c>
      <c r="K52" s="18">
        <f>VLOOKUP(C:C,TooliD!B:M,12,FALSE)</f>
        <v>2</v>
      </c>
      <c r="L52" s="19">
        <f t="shared" si="7"/>
        <v>0</v>
      </c>
      <c r="M52" s="19" t="str">
        <f t="shared" si="1"/>
        <v>OK</v>
      </c>
      <c r="N52" s="18"/>
    </row>
    <row r="53" spans="1:14" x14ac:dyDescent="0.25">
      <c r="A53" s="19" t="s">
        <v>157</v>
      </c>
      <c r="B53" s="18" t="s">
        <v>36</v>
      </c>
      <c r="C53" s="19" t="s">
        <v>37</v>
      </c>
      <c r="D53" s="19" t="s">
        <v>238</v>
      </c>
      <c r="E53" s="19">
        <f>VLOOKUP(C:C,Courts!B:C,2,FALSE)</f>
        <v>2</v>
      </c>
      <c r="F53" s="19">
        <f>VLOOKUP(C:C,Courts!B:E,4,FALSE)</f>
        <v>0</v>
      </c>
      <c r="G53" s="19">
        <f>VLOOKUP(C:C,Courts!B:D,3,FALSE)</f>
        <v>0</v>
      </c>
      <c r="H53" s="19">
        <f>VLOOKUP(C:C,Courts!B:F,5,FALSE)</f>
        <v>2</v>
      </c>
      <c r="I53" s="18" t="s">
        <v>239</v>
      </c>
      <c r="J53" s="19">
        <f>VLOOKUP(C:C,TooliD!B:Q,16,FALSE)</f>
        <v>4</v>
      </c>
      <c r="K53" s="18">
        <f>VLOOKUP(C:C,TooliD!B:P,15,FALSE)</f>
        <v>4</v>
      </c>
      <c r="L53" s="19">
        <f t="shared" si="7"/>
        <v>0</v>
      </c>
      <c r="M53" s="19" t="str">
        <f t="shared" si="1"/>
        <v>OK</v>
      </c>
      <c r="N53" s="18"/>
    </row>
    <row r="54" spans="1:14" x14ac:dyDescent="0.25">
      <c r="A54" s="19" t="s">
        <v>157</v>
      </c>
      <c r="B54" s="18" t="s">
        <v>36</v>
      </c>
      <c r="C54" s="19" t="s">
        <v>37</v>
      </c>
      <c r="D54" s="19" t="s">
        <v>238</v>
      </c>
      <c r="E54" s="19">
        <f>VLOOKUP(C:C,Courts!B:C,2,FALSE)</f>
        <v>2</v>
      </c>
      <c r="F54" s="19">
        <f>VLOOKUP(C:C,Courts!B:E,4,FALSE)</f>
        <v>0</v>
      </c>
      <c r="G54" s="19">
        <f>VLOOKUP(C:C,Courts!B:D,3,FALSE)</f>
        <v>0</v>
      </c>
      <c r="H54" s="19">
        <f>VLOOKUP(C:C,Courts!B:F,5,FALSE)</f>
        <v>2</v>
      </c>
      <c r="I54" s="18" t="s">
        <v>11</v>
      </c>
      <c r="J54" s="19">
        <f>VLOOKUP(C:C,TooliD!B:T,19,FALSE)</f>
        <v>16</v>
      </c>
      <c r="K54" s="18">
        <f>VLOOKUP(C:C,TooliD!B:S,18,FALSE)</f>
        <v>8</v>
      </c>
      <c r="L54" s="19">
        <f t="shared" si="7"/>
        <v>-8</v>
      </c>
      <c r="M54" s="19" t="str">
        <f t="shared" si="1"/>
        <v>Shortfall</v>
      </c>
      <c r="N54" s="18"/>
    </row>
    <row r="55" spans="1:14" x14ac:dyDescent="0.25">
      <c r="A55" s="19" t="s">
        <v>157</v>
      </c>
      <c r="B55" s="18" t="s">
        <v>36</v>
      </c>
      <c r="C55" s="19" t="s">
        <v>37</v>
      </c>
      <c r="D55" s="19" t="s">
        <v>238</v>
      </c>
      <c r="E55" s="19">
        <f>VLOOKUP(C:C,Courts!B:C,2,FALSE)</f>
        <v>2</v>
      </c>
      <c r="F55" s="19">
        <f>VLOOKUP(C:C,Courts!B:E,4,FALSE)</f>
        <v>0</v>
      </c>
      <c r="G55" s="19">
        <f>VLOOKUP(C:C,Courts!B:D,3,FALSE)</f>
        <v>0</v>
      </c>
      <c r="H55" s="19">
        <f>VLOOKUP(C:C,Courts!B:F,5,FALSE)</f>
        <v>2</v>
      </c>
      <c r="I55" s="18" t="s">
        <v>212</v>
      </c>
      <c r="J55" s="19">
        <f>VLOOKUP(C:C,TooliD!B:W,22,FALSE)</f>
        <v>2</v>
      </c>
      <c r="K55" s="18">
        <f>VLOOKUP(C:C,TooliD!B:V,21,FALSE)</f>
        <v>1</v>
      </c>
      <c r="L55" s="19">
        <f t="shared" si="7"/>
        <v>-1</v>
      </c>
      <c r="M55" s="19" t="str">
        <f t="shared" si="1"/>
        <v>Shortfall</v>
      </c>
      <c r="N55" s="18"/>
    </row>
    <row r="56" spans="1:14" x14ac:dyDescent="0.25">
      <c r="A56" s="19" t="s">
        <v>157</v>
      </c>
      <c r="B56" s="18" t="s">
        <v>38</v>
      </c>
      <c r="C56" s="18" t="s">
        <v>38</v>
      </c>
      <c r="D56" s="19" t="s">
        <v>237</v>
      </c>
      <c r="E56" s="19">
        <f>VLOOKUP(C:C,Courts!B:C,2,FALSE)</f>
        <v>11</v>
      </c>
      <c r="F56" s="19">
        <f>VLOOKUP(C:C,Courts!B:E,4,FALSE)</f>
        <v>0</v>
      </c>
      <c r="G56" s="19">
        <f>VLOOKUP(C:C,Courts!B:D,3,FALSE)</f>
        <v>0</v>
      </c>
      <c r="H56" s="19">
        <f>VLOOKUP(C:C,Courts!B:F,5,FALSE)</f>
        <v>11</v>
      </c>
      <c r="I56" s="18" t="s">
        <v>7</v>
      </c>
      <c r="J56" s="19">
        <f>VLOOKUP(C:C,TooliD!B:H,7,FALSE)</f>
        <v>11</v>
      </c>
      <c r="K56" s="19">
        <f>VLOOKUP(C:C,TooliD!B:G,6,FALSE)</f>
        <v>14</v>
      </c>
      <c r="L56" s="19">
        <f>K56-J56</f>
        <v>3</v>
      </c>
      <c r="M56" s="19" t="str">
        <f>IF(L56=0,"OK", IF(L56&gt;0,"Surplus","Shortfall"))</f>
        <v>Surplus</v>
      </c>
      <c r="N56" s="18"/>
    </row>
    <row r="57" spans="1:14" x14ac:dyDescent="0.25">
      <c r="A57" s="19" t="s">
        <v>157</v>
      </c>
      <c r="B57" s="18" t="s">
        <v>38</v>
      </c>
      <c r="C57" s="18" t="s">
        <v>38</v>
      </c>
      <c r="D57" s="19" t="s">
        <v>237</v>
      </c>
      <c r="E57" s="19">
        <f>VLOOKUP(C:C,Courts!B:C,2,FALSE)</f>
        <v>11</v>
      </c>
      <c r="F57" s="19">
        <f>VLOOKUP(C:C,Courts!B:E,4,FALSE)</f>
        <v>0</v>
      </c>
      <c r="G57" s="19">
        <f>VLOOKUP(C:C,Courts!B:D,3,FALSE)</f>
        <v>0</v>
      </c>
      <c r="H57" s="19">
        <f>VLOOKUP(C:C,Courts!B:F,5,FALSE)</f>
        <v>11</v>
      </c>
      <c r="I57" s="18" t="s">
        <v>241</v>
      </c>
      <c r="J57" s="19">
        <f>VLOOKUP(C:C,TooliD!B:K,7,FALSE)</f>
        <v>11</v>
      </c>
      <c r="K57" s="19">
        <f>VLOOKUP(C:C,TooliD!B:J,9,FALSE)</f>
        <v>12</v>
      </c>
      <c r="L57" s="19">
        <f t="shared" ref="L57:L61" si="8">K57-J57</f>
        <v>1</v>
      </c>
      <c r="M57" s="19" t="str">
        <f t="shared" si="1"/>
        <v>Surplus</v>
      </c>
      <c r="N57" s="18"/>
    </row>
    <row r="58" spans="1:14" x14ac:dyDescent="0.25">
      <c r="A58" s="19" t="s">
        <v>157</v>
      </c>
      <c r="B58" s="18" t="s">
        <v>38</v>
      </c>
      <c r="C58" s="18" t="s">
        <v>38</v>
      </c>
      <c r="D58" s="19" t="s">
        <v>237</v>
      </c>
      <c r="E58" s="19">
        <f>VLOOKUP(C:C,Courts!B:C,2,FALSE)</f>
        <v>11</v>
      </c>
      <c r="F58" s="19">
        <f>VLOOKUP(C:C,Courts!B:E,4,FALSE)</f>
        <v>0</v>
      </c>
      <c r="G58" s="19">
        <f>VLOOKUP(C:C,Courts!B:D,3,FALSE)</f>
        <v>0</v>
      </c>
      <c r="H58" s="19">
        <f>VLOOKUP(C:C,Courts!B:F,5,FALSE)</f>
        <v>11</v>
      </c>
      <c r="I58" s="18" t="s">
        <v>9</v>
      </c>
      <c r="J58" s="19">
        <f>VLOOKUP(C:C,TooliD!B:N,13,FALSE)</f>
        <v>11</v>
      </c>
      <c r="K58" s="18">
        <f>VLOOKUP(C:C,TooliD!B:M,12,FALSE)</f>
        <v>13</v>
      </c>
      <c r="L58" s="19">
        <f t="shared" si="8"/>
        <v>2</v>
      </c>
      <c r="M58" s="19" t="str">
        <f t="shared" si="1"/>
        <v>Surplus</v>
      </c>
      <c r="N58" s="18"/>
    </row>
    <row r="59" spans="1:14" x14ac:dyDescent="0.25">
      <c r="A59" s="19" t="s">
        <v>157</v>
      </c>
      <c r="B59" s="18" t="s">
        <v>38</v>
      </c>
      <c r="C59" s="18" t="s">
        <v>38</v>
      </c>
      <c r="D59" s="19" t="s">
        <v>237</v>
      </c>
      <c r="E59" s="19">
        <f>VLOOKUP(C:C,Courts!B:C,2,FALSE)</f>
        <v>11</v>
      </c>
      <c r="F59" s="19">
        <f>VLOOKUP(C:C,Courts!B:E,4,FALSE)</f>
        <v>0</v>
      </c>
      <c r="G59" s="19">
        <f>VLOOKUP(C:C,Courts!B:D,3,FALSE)</f>
        <v>0</v>
      </c>
      <c r="H59" s="19">
        <f>VLOOKUP(C:C,Courts!B:F,5,FALSE)</f>
        <v>11</v>
      </c>
      <c r="I59" s="18" t="s">
        <v>239</v>
      </c>
      <c r="J59" s="19">
        <f>VLOOKUP(C:C,TooliD!B:Q,16,FALSE)</f>
        <v>22</v>
      </c>
      <c r="K59" s="18">
        <f>VLOOKUP(C:C,TooliD!B:P,15,FALSE)</f>
        <v>24</v>
      </c>
      <c r="L59" s="19">
        <f t="shared" si="8"/>
        <v>2</v>
      </c>
      <c r="M59" s="19" t="str">
        <f t="shared" si="1"/>
        <v>Surplus</v>
      </c>
      <c r="N59" s="18"/>
    </row>
    <row r="60" spans="1:14" x14ac:dyDescent="0.25">
      <c r="A60" s="19" t="s">
        <v>157</v>
      </c>
      <c r="B60" s="18" t="s">
        <v>38</v>
      </c>
      <c r="C60" s="18" t="s">
        <v>38</v>
      </c>
      <c r="D60" s="19" t="s">
        <v>237</v>
      </c>
      <c r="E60" s="19">
        <f>VLOOKUP(C:C,Courts!B:C,2,FALSE)</f>
        <v>11</v>
      </c>
      <c r="F60" s="19">
        <f>VLOOKUP(C:C,Courts!B:E,4,FALSE)</f>
        <v>0</v>
      </c>
      <c r="G60" s="19">
        <f>VLOOKUP(C:C,Courts!B:D,3,FALSE)</f>
        <v>0</v>
      </c>
      <c r="H60" s="19">
        <f>VLOOKUP(C:C,Courts!B:F,5,FALSE)</f>
        <v>11</v>
      </c>
      <c r="I60" s="18" t="s">
        <v>11</v>
      </c>
      <c r="J60" s="19">
        <f>VLOOKUP(C:C,TooliD!B:T,19,FALSE)</f>
        <v>88</v>
      </c>
      <c r="K60" s="18">
        <f>VLOOKUP(C:C,TooliD!B:S,18,FALSE)</f>
        <v>92</v>
      </c>
      <c r="L60" s="19">
        <f t="shared" si="8"/>
        <v>4</v>
      </c>
      <c r="M60" s="19" t="str">
        <f t="shared" si="1"/>
        <v>Surplus</v>
      </c>
      <c r="N60" s="18"/>
    </row>
    <row r="61" spans="1:14" x14ac:dyDescent="0.25">
      <c r="A61" s="19" t="s">
        <v>157</v>
      </c>
      <c r="B61" s="18" t="s">
        <v>38</v>
      </c>
      <c r="C61" s="18" t="s">
        <v>38</v>
      </c>
      <c r="D61" s="19" t="s">
        <v>237</v>
      </c>
      <c r="E61" s="19">
        <f>VLOOKUP(C:C,Courts!B:C,2,FALSE)</f>
        <v>11</v>
      </c>
      <c r="F61" s="19">
        <f>VLOOKUP(C:C,Courts!B:E,4,FALSE)</f>
        <v>0</v>
      </c>
      <c r="G61" s="19">
        <f>VLOOKUP(C:C,Courts!B:D,3,FALSE)</f>
        <v>0</v>
      </c>
      <c r="H61" s="19">
        <f>VLOOKUP(C:C,Courts!B:F,5,FALSE)</f>
        <v>11</v>
      </c>
      <c r="I61" s="18" t="s">
        <v>212</v>
      </c>
      <c r="J61" s="19">
        <f>VLOOKUP(C:C,TooliD!B:W,22,FALSE)</f>
        <v>11</v>
      </c>
      <c r="K61" s="18">
        <f>VLOOKUP(C:C,TooliD!B:V,21,FALSE)</f>
        <v>12</v>
      </c>
      <c r="L61" s="19">
        <f t="shared" si="8"/>
        <v>1</v>
      </c>
      <c r="M61" s="19" t="str">
        <f t="shared" si="1"/>
        <v>Surplus</v>
      </c>
      <c r="N61" s="18"/>
    </row>
    <row r="62" spans="1:14" x14ac:dyDescent="0.25">
      <c r="A62" s="19" t="s">
        <v>157</v>
      </c>
      <c r="B62" s="18" t="s">
        <v>38</v>
      </c>
      <c r="C62" s="18" t="s">
        <v>39</v>
      </c>
      <c r="D62" s="19" t="s">
        <v>238</v>
      </c>
      <c r="E62" s="19">
        <f>VLOOKUP(C:C,Courts!B:C,2,FALSE)</f>
        <v>4</v>
      </c>
      <c r="F62" s="19">
        <f>VLOOKUP(C:C,Courts!B:E,4,FALSE)</f>
        <v>1</v>
      </c>
      <c r="G62" s="19">
        <f>VLOOKUP(C:C,Courts!B:D,3,FALSE)</f>
        <v>0</v>
      </c>
      <c r="H62" s="19">
        <f>VLOOKUP(C:C,Courts!B:F,5,FALSE)</f>
        <v>5</v>
      </c>
      <c r="I62" s="18" t="s">
        <v>7</v>
      </c>
      <c r="J62" s="19">
        <f>VLOOKUP(C:C,TooliD!B:H,7,FALSE)</f>
        <v>5</v>
      </c>
      <c r="K62" s="19">
        <f>VLOOKUP(C:C,TooliD!B:G,6,FALSE)</f>
        <v>6</v>
      </c>
      <c r="L62" s="19">
        <f>K62-J62</f>
        <v>1</v>
      </c>
      <c r="M62" s="19" t="str">
        <f>IF(L62=0,"OK", IF(L62&gt;0,"Surplus","Shortfall"))</f>
        <v>Surplus</v>
      </c>
      <c r="N62" s="18"/>
    </row>
    <row r="63" spans="1:14" x14ac:dyDescent="0.25">
      <c r="A63" s="19" t="s">
        <v>157</v>
      </c>
      <c r="B63" s="18" t="s">
        <v>38</v>
      </c>
      <c r="C63" s="18" t="s">
        <v>39</v>
      </c>
      <c r="D63" s="19" t="s">
        <v>238</v>
      </c>
      <c r="E63" s="19">
        <f>VLOOKUP(C:C,Courts!B:C,2,FALSE)</f>
        <v>4</v>
      </c>
      <c r="F63" s="19">
        <f>VLOOKUP(C:C,Courts!B:E,4,FALSE)</f>
        <v>1</v>
      </c>
      <c r="G63" s="19">
        <f>VLOOKUP(C:C,Courts!B:D,3,FALSE)</f>
        <v>0</v>
      </c>
      <c r="H63" s="19">
        <f>VLOOKUP(C:C,Courts!B:F,5,FALSE)</f>
        <v>5</v>
      </c>
      <c r="I63" s="18" t="s">
        <v>241</v>
      </c>
      <c r="J63" s="19">
        <f>VLOOKUP(C:C,TooliD!B:K,7,FALSE)</f>
        <v>5</v>
      </c>
      <c r="K63" s="19">
        <f>VLOOKUP(C:C,TooliD!B:J,9,FALSE)</f>
        <v>3</v>
      </c>
      <c r="L63" s="19">
        <f t="shared" ref="L63:L67" si="9">K63-J63</f>
        <v>-2</v>
      </c>
      <c r="M63" s="19" t="str">
        <f t="shared" si="1"/>
        <v>Shortfall</v>
      </c>
      <c r="N63" s="18"/>
    </row>
    <row r="64" spans="1:14" x14ac:dyDescent="0.25">
      <c r="A64" s="19" t="s">
        <v>157</v>
      </c>
      <c r="B64" s="18" t="s">
        <v>38</v>
      </c>
      <c r="C64" s="18" t="s">
        <v>39</v>
      </c>
      <c r="D64" s="19" t="s">
        <v>238</v>
      </c>
      <c r="E64" s="19">
        <f>VLOOKUP(C:C,Courts!B:C,2,FALSE)</f>
        <v>4</v>
      </c>
      <c r="F64" s="19">
        <f>VLOOKUP(C:C,Courts!B:E,4,FALSE)</f>
        <v>1</v>
      </c>
      <c r="G64" s="19">
        <f>VLOOKUP(C:C,Courts!B:D,3,FALSE)</f>
        <v>0</v>
      </c>
      <c r="H64" s="19">
        <f>VLOOKUP(C:C,Courts!B:F,5,FALSE)</f>
        <v>5</v>
      </c>
      <c r="I64" s="18" t="s">
        <v>9</v>
      </c>
      <c r="J64" s="19">
        <f>VLOOKUP(C:C,TooliD!B:N,13,FALSE)</f>
        <v>5</v>
      </c>
      <c r="K64" s="18">
        <f>VLOOKUP(C:C,TooliD!B:M,12,FALSE)</f>
        <v>6</v>
      </c>
      <c r="L64" s="19">
        <f t="shared" si="9"/>
        <v>1</v>
      </c>
      <c r="M64" s="19" t="str">
        <f t="shared" si="1"/>
        <v>Surplus</v>
      </c>
      <c r="N64" s="18"/>
    </row>
    <row r="65" spans="1:14" x14ac:dyDescent="0.25">
      <c r="A65" s="19" t="s">
        <v>157</v>
      </c>
      <c r="B65" s="18" t="s">
        <v>38</v>
      </c>
      <c r="C65" s="18" t="s">
        <v>39</v>
      </c>
      <c r="D65" s="19" t="s">
        <v>238</v>
      </c>
      <c r="E65" s="19">
        <f>VLOOKUP(C:C,Courts!B:C,2,FALSE)</f>
        <v>4</v>
      </c>
      <c r="F65" s="19">
        <f>VLOOKUP(C:C,Courts!B:E,4,FALSE)</f>
        <v>1</v>
      </c>
      <c r="G65" s="19">
        <f>VLOOKUP(C:C,Courts!B:D,3,FALSE)</f>
        <v>0</v>
      </c>
      <c r="H65" s="19">
        <f>VLOOKUP(C:C,Courts!B:F,5,FALSE)</f>
        <v>5</v>
      </c>
      <c r="I65" s="18" t="s">
        <v>239</v>
      </c>
      <c r="J65" s="19">
        <f>VLOOKUP(C:C,TooliD!B:Q,16,FALSE)</f>
        <v>8</v>
      </c>
      <c r="K65" s="18">
        <f>VLOOKUP(C:C,TooliD!B:P,15,FALSE)</f>
        <v>10</v>
      </c>
      <c r="L65" s="19">
        <f t="shared" si="9"/>
        <v>2</v>
      </c>
      <c r="M65" s="19" t="str">
        <f t="shared" si="1"/>
        <v>Surplus</v>
      </c>
      <c r="N65" s="18"/>
    </row>
    <row r="66" spans="1:14" x14ac:dyDescent="0.25">
      <c r="A66" s="19" t="s">
        <v>157</v>
      </c>
      <c r="B66" s="18" t="s">
        <v>38</v>
      </c>
      <c r="C66" s="18" t="s">
        <v>39</v>
      </c>
      <c r="D66" s="19" t="s">
        <v>238</v>
      </c>
      <c r="E66" s="19">
        <f>VLOOKUP(C:C,Courts!B:C,2,FALSE)</f>
        <v>4</v>
      </c>
      <c r="F66" s="19">
        <f>VLOOKUP(C:C,Courts!B:E,4,FALSE)</f>
        <v>1</v>
      </c>
      <c r="G66" s="19">
        <f>VLOOKUP(C:C,Courts!B:D,3,FALSE)</f>
        <v>0</v>
      </c>
      <c r="H66" s="19">
        <f>VLOOKUP(C:C,Courts!B:F,5,FALSE)</f>
        <v>5</v>
      </c>
      <c r="I66" s="18" t="s">
        <v>11</v>
      </c>
      <c r="J66" s="19">
        <f>VLOOKUP(C:C,TooliD!B:T,19,FALSE)</f>
        <v>36</v>
      </c>
      <c r="K66" s="18">
        <f>VLOOKUP(C:C,TooliD!B:S,18,FALSE)</f>
        <v>28</v>
      </c>
      <c r="L66" s="19">
        <f t="shared" si="9"/>
        <v>-8</v>
      </c>
      <c r="M66" s="19" t="str">
        <f t="shared" si="1"/>
        <v>Shortfall</v>
      </c>
      <c r="N66" s="18"/>
    </row>
    <row r="67" spans="1:14" x14ac:dyDescent="0.25">
      <c r="A67" s="19" t="s">
        <v>157</v>
      </c>
      <c r="B67" s="18" t="s">
        <v>38</v>
      </c>
      <c r="C67" s="18" t="s">
        <v>39</v>
      </c>
      <c r="D67" s="19" t="s">
        <v>238</v>
      </c>
      <c r="E67" s="19">
        <f>VLOOKUP(C:C,Courts!B:C,2,FALSE)</f>
        <v>4</v>
      </c>
      <c r="F67" s="19">
        <f>VLOOKUP(C:C,Courts!B:E,4,FALSE)</f>
        <v>1</v>
      </c>
      <c r="G67" s="19">
        <f>VLOOKUP(C:C,Courts!B:D,3,FALSE)</f>
        <v>0</v>
      </c>
      <c r="H67" s="19">
        <f>VLOOKUP(C:C,Courts!B:F,5,FALSE)</f>
        <v>5</v>
      </c>
      <c r="I67" s="18" t="s">
        <v>212</v>
      </c>
      <c r="J67" s="19">
        <f>VLOOKUP(C:C,TooliD!B:W,22,FALSE)</f>
        <v>5</v>
      </c>
      <c r="K67" s="18">
        <f>VLOOKUP(C:C,TooliD!B:V,21,FALSE)</f>
        <v>3</v>
      </c>
      <c r="L67" s="19">
        <f t="shared" si="9"/>
        <v>-2</v>
      </c>
      <c r="M67" s="19" t="str">
        <f t="shared" ref="M67" si="10">IF(L67=0,"OK", IF(L67&gt;0,"Surplus","Shortfall"))</f>
        <v>Shortfall</v>
      </c>
      <c r="N67" s="18"/>
    </row>
    <row r="68" spans="1:14" x14ac:dyDescent="0.25">
      <c r="A68" s="19" t="s">
        <v>157</v>
      </c>
      <c r="B68" s="18" t="s">
        <v>38</v>
      </c>
      <c r="C68" s="18" t="s">
        <v>40</v>
      </c>
      <c r="D68" s="19" t="s">
        <v>238</v>
      </c>
      <c r="E68" s="19">
        <f>VLOOKUP(C:C,Courts!B:C,2,FALSE)</f>
        <v>2</v>
      </c>
      <c r="F68" s="19">
        <f>VLOOKUP(C:C,Courts!B:E,4,FALSE)</f>
        <v>1</v>
      </c>
      <c r="G68" s="19">
        <f>VLOOKUP(C:C,Courts!B:D,3,FALSE)</f>
        <v>0</v>
      </c>
      <c r="H68" s="19">
        <f>VLOOKUP(C:C,Courts!B:F,5,FALSE)</f>
        <v>3</v>
      </c>
      <c r="I68" s="18" t="s">
        <v>7</v>
      </c>
      <c r="J68" s="19">
        <f>VLOOKUP(C:C,TooliD!B:H,7,FALSE)</f>
        <v>3</v>
      </c>
      <c r="K68" s="19">
        <f>VLOOKUP(C:C,TooliD!B:G,6,FALSE)</f>
        <v>3</v>
      </c>
      <c r="L68" s="19">
        <f>K68-J68</f>
        <v>0</v>
      </c>
      <c r="M68" s="19" t="str">
        <f>IF(L68=0,"OK", IF(L68&gt;0,"Surplus","Shortfall"))</f>
        <v>OK</v>
      </c>
      <c r="N68" s="18"/>
    </row>
    <row r="69" spans="1:14" x14ac:dyDescent="0.25">
      <c r="A69" s="19" t="s">
        <v>157</v>
      </c>
      <c r="B69" s="18" t="s">
        <v>38</v>
      </c>
      <c r="C69" s="18" t="s">
        <v>40</v>
      </c>
      <c r="D69" s="19" t="s">
        <v>238</v>
      </c>
      <c r="E69" s="19">
        <f>VLOOKUP(C:C,Courts!B:C,2,FALSE)</f>
        <v>2</v>
      </c>
      <c r="F69" s="19">
        <f>VLOOKUP(C:C,Courts!B:E,4,FALSE)</f>
        <v>1</v>
      </c>
      <c r="G69" s="19">
        <f>VLOOKUP(C:C,Courts!B:D,3,FALSE)</f>
        <v>0</v>
      </c>
      <c r="H69" s="19">
        <f>VLOOKUP(C:C,Courts!B:F,5,FALSE)</f>
        <v>3</v>
      </c>
      <c r="I69" s="18" t="s">
        <v>241</v>
      </c>
      <c r="J69" s="19">
        <f>VLOOKUP(C:C,TooliD!B:K,7,FALSE)</f>
        <v>3</v>
      </c>
      <c r="K69" s="19">
        <f>VLOOKUP(C:C,TooliD!B:J,9,FALSE)</f>
        <v>3</v>
      </c>
      <c r="L69" s="19">
        <f t="shared" ref="L69:L73" si="11">K69-J69</f>
        <v>0</v>
      </c>
      <c r="M69" s="19" t="str">
        <f t="shared" ref="M69:M132" si="12">IF(L69=0,"OK", IF(L69&gt;0,"Surplus","Shortfall"))</f>
        <v>OK</v>
      </c>
      <c r="N69" s="18"/>
    </row>
    <row r="70" spans="1:14" x14ac:dyDescent="0.25">
      <c r="A70" s="19" t="s">
        <v>157</v>
      </c>
      <c r="B70" s="18" t="s">
        <v>38</v>
      </c>
      <c r="C70" s="18" t="s">
        <v>40</v>
      </c>
      <c r="D70" s="19" t="s">
        <v>238</v>
      </c>
      <c r="E70" s="19">
        <f>VLOOKUP(C:C,Courts!B:C,2,FALSE)</f>
        <v>2</v>
      </c>
      <c r="F70" s="19">
        <f>VLOOKUP(C:C,Courts!B:E,4,FALSE)</f>
        <v>1</v>
      </c>
      <c r="G70" s="19">
        <f>VLOOKUP(C:C,Courts!B:D,3,FALSE)</f>
        <v>0</v>
      </c>
      <c r="H70" s="19">
        <f>VLOOKUP(C:C,Courts!B:F,5,FALSE)</f>
        <v>3</v>
      </c>
      <c r="I70" s="18" t="s">
        <v>9</v>
      </c>
      <c r="J70" s="19">
        <f>VLOOKUP(C:C,TooliD!B:N,13,FALSE)</f>
        <v>3</v>
      </c>
      <c r="K70" s="18">
        <f>VLOOKUP(C:C,TooliD!B:M,12,FALSE)</f>
        <v>3</v>
      </c>
      <c r="L70" s="19">
        <f t="shared" si="11"/>
        <v>0</v>
      </c>
      <c r="M70" s="19" t="str">
        <f t="shared" si="12"/>
        <v>OK</v>
      </c>
      <c r="N70" s="18"/>
    </row>
    <row r="71" spans="1:14" x14ac:dyDescent="0.25">
      <c r="A71" s="19" t="s">
        <v>157</v>
      </c>
      <c r="B71" s="18" t="s">
        <v>38</v>
      </c>
      <c r="C71" s="18" t="s">
        <v>40</v>
      </c>
      <c r="D71" s="19" t="s">
        <v>238</v>
      </c>
      <c r="E71" s="19">
        <f>VLOOKUP(C:C,Courts!B:C,2,FALSE)</f>
        <v>2</v>
      </c>
      <c r="F71" s="19">
        <f>VLOOKUP(C:C,Courts!B:E,4,FALSE)</f>
        <v>1</v>
      </c>
      <c r="G71" s="19">
        <f>VLOOKUP(C:C,Courts!B:D,3,FALSE)</f>
        <v>0</v>
      </c>
      <c r="H71" s="19">
        <f>VLOOKUP(C:C,Courts!B:F,5,FALSE)</f>
        <v>3</v>
      </c>
      <c r="I71" s="18" t="s">
        <v>239</v>
      </c>
      <c r="J71" s="19">
        <f>VLOOKUP(C:C,TooliD!B:Q,16,FALSE)</f>
        <v>4</v>
      </c>
      <c r="K71" s="18">
        <f>VLOOKUP(C:C,TooliD!B:P,15,FALSE)</f>
        <v>4</v>
      </c>
      <c r="L71" s="19">
        <f t="shared" si="11"/>
        <v>0</v>
      </c>
      <c r="M71" s="19" t="str">
        <f t="shared" si="12"/>
        <v>OK</v>
      </c>
      <c r="N71" s="18"/>
    </row>
    <row r="72" spans="1:14" x14ac:dyDescent="0.25">
      <c r="A72" s="19" t="s">
        <v>157</v>
      </c>
      <c r="B72" s="18" t="s">
        <v>38</v>
      </c>
      <c r="C72" s="18" t="s">
        <v>40</v>
      </c>
      <c r="D72" s="19" t="s">
        <v>238</v>
      </c>
      <c r="E72" s="19">
        <f>VLOOKUP(C:C,Courts!B:C,2,FALSE)</f>
        <v>2</v>
      </c>
      <c r="F72" s="19">
        <f>VLOOKUP(C:C,Courts!B:E,4,FALSE)</f>
        <v>1</v>
      </c>
      <c r="G72" s="19">
        <f>VLOOKUP(C:C,Courts!B:D,3,FALSE)</f>
        <v>0</v>
      </c>
      <c r="H72" s="19">
        <f>VLOOKUP(C:C,Courts!B:F,5,FALSE)</f>
        <v>3</v>
      </c>
      <c r="I72" s="18" t="s">
        <v>11</v>
      </c>
      <c r="J72" s="19">
        <f>VLOOKUP(C:C,TooliD!B:T,19,FALSE)</f>
        <v>20</v>
      </c>
      <c r="K72" s="18">
        <f>VLOOKUP(C:C,TooliD!B:S,18,FALSE)</f>
        <v>20</v>
      </c>
      <c r="L72" s="19">
        <f t="shared" si="11"/>
        <v>0</v>
      </c>
      <c r="M72" s="19" t="str">
        <f t="shared" si="12"/>
        <v>OK</v>
      </c>
      <c r="N72" s="18"/>
    </row>
    <row r="73" spans="1:14" x14ac:dyDescent="0.25">
      <c r="A73" s="19" t="s">
        <v>157</v>
      </c>
      <c r="B73" s="18" t="s">
        <v>38</v>
      </c>
      <c r="C73" s="18" t="s">
        <v>40</v>
      </c>
      <c r="D73" s="19" t="s">
        <v>238</v>
      </c>
      <c r="E73" s="19">
        <f>VLOOKUP(C:C,Courts!B:C,2,FALSE)</f>
        <v>2</v>
      </c>
      <c r="F73" s="19">
        <f>VLOOKUP(C:C,Courts!B:E,4,FALSE)</f>
        <v>1</v>
      </c>
      <c r="G73" s="19">
        <f>VLOOKUP(C:C,Courts!B:D,3,FALSE)</f>
        <v>0</v>
      </c>
      <c r="H73" s="19">
        <f>VLOOKUP(C:C,Courts!B:F,5,FALSE)</f>
        <v>3</v>
      </c>
      <c r="I73" s="18" t="s">
        <v>212</v>
      </c>
      <c r="J73" s="19">
        <f>VLOOKUP(C:C,TooliD!B:W,22,FALSE)</f>
        <v>3</v>
      </c>
      <c r="K73" s="18">
        <f>VLOOKUP(C:C,TooliD!B:V,21,FALSE)</f>
        <v>3</v>
      </c>
      <c r="L73" s="19">
        <f t="shared" si="11"/>
        <v>0</v>
      </c>
      <c r="M73" s="19" t="str">
        <f t="shared" si="12"/>
        <v>OK</v>
      </c>
      <c r="N73" s="18"/>
    </row>
    <row r="74" spans="1:14" x14ac:dyDescent="0.25">
      <c r="A74" s="19" t="s">
        <v>157</v>
      </c>
      <c r="B74" s="18" t="s">
        <v>41</v>
      </c>
      <c r="C74" s="18" t="s">
        <v>41</v>
      </c>
      <c r="D74" s="19" t="s">
        <v>237</v>
      </c>
      <c r="E74" s="19">
        <f>VLOOKUP(C:C,Courts!B:C,2,FALSE)</f>
        <v>12</v>
      </c>
      <c r="F74" s="19">
        <f>VLOOKUP(C:C,Courts!B:E,4,FALSE)</f>
        <v>0</v>
      </c>
      <c r="G74" s="19">
        <f>VLOOKUP(C:C,Courts!B:D,3,FALSE)</f>
        <v>0</v>
      </c>
      <c r="H74" s="19">
        <f>VLOOKUP(C:C,Courts!B:F,5,FALSE)</f>
        <v>12</v>
      </c>
      <c r="I74" s="18" t="s">
        <v>7</v>
      </c>
      <c r="J74" s="19">
        <f>VLOOKUP(C:C,TooliD!B:H,7,FALSE)</f>
        <v>12</v>
      </c>
      <c r="K74" s="19">
        <f>VLOOKUP(C:C,TooliD!B:G,6,FALSE)</f>
        <v>14</v>
      </c>
      <c r="L74" s="19">
        <f>K74-J74</f>
        <v>2</v>
      </c>
      <c r="M74" s="19" t="str">
        <f>IF(L74=0,"OK", IF(L74&gt;0,"Surplus","Shortfall"))</f>
        <v>Surplus</v>
      </c>
      <c r="N74" s="18"/>
    </row>
    <row r="75" spans="1:14" x14ac:dyDescent="0.25">
      <c r="A75" s="19" t="s">
        <v>157</v>
      </c>
      <c r="B75" s="18" t="s">
        <v>41</v>
      </c>
      <c r="C75" s="18" t="s">
        <v>41</v>
      </c>
      <c r="D75" s="19" t="s">
        <v>237</v>
      </c>
      <c r="E75" s="19">
        <f>VLOOKUP(C:C,Courts!B:C,2,FALSE)</f>
        <v>12</v>
      </c>
      <c r="F75" s="19">
        <f>VLOOKUP(C:C,Courts!B:E,4,FALSE)</f>
        <v>0</v>
      </c>
      <c r="G75" s="19">
        <f>VLOOKUP(C:C,Courts!B:D,3,FALSE)</f>
        <v>0</v>
      </c>
      <c r="H75" s="19">
        <f>VLOOKUP(C:C,Courts!B:F,5,FALSE)</f>
        <v>12</v>
      </c>
      <c r="I75" s="18" t="s">
        <v>241</v>
      </c>
      <c r="J75" s="19">
        <f>VLOOKUP(C:C,TooliD!B:K,7,FALSE)</f>
        <v>12</v>
      </c>
      <c r="K75" s="19">
        <f>VLOOKUP(C:C,TooliD!B:J,9,FALSE)</f>
        <v>12</v>
      </c>
      <c r="L75" s="19">
        <f t="shared" ref="L75:L79" si="13">K75-J75</f>
        <v>0</v>
      </c>
      <c r="M75" s="19" t="str">
        <f t="shared" si="12"/>
        <v>OK</v>
      </c>
      <c r="N75" s="18"/>
    </row>
    <row r="76" spans="1:14" x14ac:dyDescent="0.25">
      <c r="A76" s="19" t="s">
        <v>157</v>
      </c>
      <c r="B76" s="18" t="s">
        <v>41</v>
      </c>
      <c r="C76" s="18" t="s">
        <v>41</v>
      </c>
      <c r="D76" s="19" t="s">
        <v>237</v>
      </c>
      <c r="E76" s="19">
        <f>VLOOKUP(C:C,Courts!B:C,2,FALSE)</f>
        <v>12</v>
      </c>
      <c r="F76" s="19">
        <f>VLOOKUP(C:C,Courts!B:E,4,FALSE)</f>
        <v>0</v>
      </c>
      <c r="G76" s="19">
        <f>VLOOKUP(C:C,Courts!B:D,3,FALSE)</f>
        <v>0</v>
      </c>
      <c r="H76" s="19">
        <f>VLOOKUP(C:C,Courts!B:F,5,FALSE)</f>
        <v>12</v>
      </c>
      <c r="I76" s="18" t="s">
        <v>9</v>
      </c>
      <c r="J76" s="19">
        <f>VLOOKUP(C:C,TooliD!B:N,13,FALSE)</f>
        <v>12</v>
      </c>
      <c r="K76" s="18">
        <f>VLOOKUP(C:C,TooliD!B:M,12,FALSE)</f>
        <v>13</v>
      </c>
      <c r="L76" s="19">
        <f t="shared" si="13"/>
        <v>1</v>
      </c>
      <c r="M76" s="19" t="str">
        <f t="shared" si="12"/>
        <v>Surplus</v>
      </c>
      <c r="N76" s="18"/>
    </row>
    <row r="77" spans="1:14" x14ac:dyDescent="0.25">
      <c r="A77" s="19" t="s">
        <v>157</v>
      </c>
      <c r="B77" s="18" t="s">
        <v>41</v>
      </c>
      <c r="C77" s="18" t="s">
        <v>41</v>
      </c>
      <c r="D77" s="19" t="s">
        <v>237</v>
      </c>
      <c r="E77" s="19">
        <f>VLOOKUP(C:C,Courts!B:C,2,FALSE)</f>
        <v>12</v>
      </c>
      <c r="F77" s="19">
        <f>VLOOKUP(C:C,Courts!B:E,4,FALSE)</f>
        <v>0</v>
      </c>
      <c r="G77" s="19">
        <f>VLOOKUP(C:C,Courts!B:D,3,FALSE)</f>
        <v>0</v>
      </c>
      <c r="H77" s="19">
        <f>VLOOKUP(C:C,Courts!B:F,5,FALSE)</f>
        <v>12</v>
      </c>
      <c r="I77" s="18" t="s">
        <v>239</v>
      </c>
      <c r="J77" s="19">
        <f>VLOOKUP(C:C,TooliD!B:Q,16,FALSE)</f>
        <v>24</v>
      </c>
      <c r="K77" s="18">
        <f>VLOOKUP(C:C,TooliD!B:P,15,FALSE)</f>
        <v>26</v>
      </c>
      <c r="L77" s="19">
        <f t="shared" si="13"/>
        <v>2</v>
      </c>
      <c r="M77" s="19" t="str">
        <f t="shared" si="12"/>
        <v>Surplus</v>
      </c>
      <c r="N77" s="18"/>
    </row>
    <row r="78" spans="1:14" x14ac:dyDescent="0.25">
      <c r="A78" s="19" t="s">
        <v>157</v>
      </c>
      <c r="B78" s="18" t="s">
        <v>41</v>
      </c>
      <c r="C78" s="18" t="s">
        <v>41</v>
      </c>
      <c r="D78" s="19" t="s">
        <v>237</v>
      </c>
      <c r="E78" s="19">
        <f>VLOOKUP(C:C,Courts!B:C,2,FALSE)</f>
        <v>12</v>
      </c>
      <c r="F78" s="19">
        <f>VLOOKUP(C:C,Courts!B:E,4,FALSE)</f>
        <v>0</v>
      </c>
      <c r="G78" s="19">
        <f>VLOOKUP(C:C,Courts!B:D,3,FALSE)</f>
        <v>0</v>
      </c>
      <c r="H78" s="19">
        <f>VLOOKUP(C:C,Courts!B:F,5,FALSE)</f>
        <v>12</v>
      </c>
      <c r="I78" s="18" t="s">
        <v>11</v>
      </c>
      <c r="J78" s="19">
        <f>VLOOKUP(C:C,TooliD!B:T,19,FALSE)</f>
        <v>96</v>
      </c>
      <c r="K78" s="18">
        <f>VLOOKUP(C:C,TooliD!B:S,18,FALSE)</f>
        <v>91</v>
      </c>
      <c r="L78" s="19">
        <f t="shared" si="13"/>
        <v>-5</v>
      </c>
      <c r="M78" s="19" t="str">
        <f t="shared" si="12"/>
        <v>Shortfall</v>
      </c>
      <c r="N78" s="18"/>
    </row>
    <row r="79" spans="1:14" x14ac:dyDescent="0.25">
      <c r="A79" s="19" t="s">
        <v>157</v>
      </c>
      <c r="B79" s="18" t="s">
        <v>41</v>
      </c>
      <c r="C79" s="18" t="s">
        <v>41</v>
      </c>
      <c r="D79" s="19" t="s">
        <v>237</v>
      </c>
      <c r="E79" s="19">
        <f>VLOOKUP(C:C,Courts!B:C,2,FALSE)</f>
        <v>12</v>
      </c>
      <c r="F79" s="19">
        <f>VLOOKUP(C:C,Courts!B:E,4,FALSE)</f>
        <v>0</v>
      </c>
      <c r="G79" s="19">
        <f>VLOOKUP(C:C,Courts!B:D,3,FALSE)</f>
        <v>0</v>
      </c>
      <c r="H79" s="19">
        <f>VLOOKUP(C:C,Courts!B:F,5,FALSE)</f>
        <v>12</v>
      </c>
      <c r="I79" s="18" t="s">
        <v>212</v>
      </c>
      <c r="J79" s="19">
        <f>VLOOKUP(C:C,TooliD!B:W,22,FALSE)</f>
        <v>12</v>
      </c>
      <c r="K79" s="18">
        <f>VLOOKUP(C:C,TooliD!B:V,21,FALSE)</f>
        <v>10</v>
      </c>
      <c r="L79" s="19">
        <f t="shared" si="13"/>
        <v>-2</v>
      </c>
      <c r="M79" s="19" t="str">
        <f t="shared" si="12"/>
        <v>Shortfall</v>
      </c>
      <c r="N79" s="18"/>
    </row>
    <row r="80" spans="1:14" x14ac:dyDescent="0.25">
      <c r="A80" s="19" t="s">
        <v>157</v>
      </c>
      <c r="B80" s="18" t="s">
        <v>41</v>
      </c>
      <c r="C80" s="18" t="s">
        <v>42</v>
      </c>
      <c r="D80" s="19" t="s">
        <v>238</v>
      </c>
      <c r="E80" s="19">
        <f>VLOOKUP(C:C,Courts!B:C,2,FALSE)</f>
        <v>7</v>
      </c>
      <c r="F80" s="19">
        <f>VLOOKUP(C:C,Courts!B:E,4,FALSE)</f>
        <v>1</v>
      </c>
      <c r="G80" s="19">
        <f>VLOOKUP(C:C,Courts!B:D,3,FALSE)</f>
        <v>0</v>
      </c>
      <c r="H80" s="19">
        <f>VLOOKUP(C:C,Courts!B:F,5,FALSE)</f>
        <v>8</v>
      </c>
      <c r="I80" s="18" t="s">
        <v>7</v>
      </c>
      <c r="J80" s="19">
        <f>VLOOKUP(C:C,TooliD!B:H,7,FALSE)</f>
        <v>8</v>
      </c>
      <c r="K80" s="19">
        <f>VLOOKUP(C:C,TooliD!B:G,6,FALSE)</f>
        <v>8</v>
      </c>
      <c r="L80" s="19">
        <f>K80-J80</f>
        <v>0</v>
      </c>
      <c r="M80" s="19" t="str">
        <f>IF(L80=0,"OK", IF(L80&gt;0,"Surplus","Shortfall"))</f>
        <v>OK</v>
      </c>
      <c r="N80" s="18"/>
    </row>
    <row r="81" spans="1:14" x14ac:dyDescent="0.25">
      <c r="A81" s="19" t="s">
        <v>157</v>
      </c>
      <c r="B81" s="18" t="s">
        <v>41</v>
      </c>
      <c r="C81" s="18" t="s">
        <v>42</v>
      </c>
      <c r="D81" s="19" t="s">
        <v>238</v>
      </c>
      <c r="E81" s="19">
        <f>VLOOKUP(C:C,Courts!B:C,2,FALSE)</f>
        <v>7</v>
      </c>
      <c r="F81" s="19">
        <f>VLOOKUP(C:C,Courts!B:E,4,FALSE)</f>
        <v>1</v>
      </c>
      <c r="G81" s="19">
        <f>VLOOKUP(C:C,Courts!B:D,3,FALSE)</f>
        <v>0</v>
      </c>
      <c r="H81" s="19">
        <f>VLOOKUP(C:C,Courts!B:F,5,FALSE)</f>
        <v>8</v>
      </c>
      <c r="I81" s="18" t="s">
        <v>241</v>
      </c>
      <c r="J81" s="19">
        <f>VLOOKUP(C:C,TooliD!B:K,7,FALSE)</f>
        <v>8</v>
      </c>
      <c r="K81" s="19">
        <f>VLOOKUP(C:C,TooliD!B:J,9,FALSE)</f>
        <v>5</v>
      </c>
      <c r="L81" s="19">
        <f t="shared" ref="L81:L85" si="14">K81-J81</f>
        <v>-3</v>
      </c>
      <c r="M81" s="19" t="str">
        <f t="shared" si="12"/>
        <v>Shortfall</v>
      </c>
      <c r="N81" s="18"/>
    </row>
    <row r="82" spans="1:14" x14ac:dyDescent="0.25">
      <c r="A82" s="19" t="s">
        <v>157</v>
      </c>
      <c r="B82" s="18" t="s">
        <v>41</v>
      </c>
      <c r="C82" s="18" t="s">
        <v>42</v>
      </c>
      <c r="D82" s="19" t="s">
        <v>238</v>
      </c>
      <c r="E82" s="19">
        <f>VLOOKUP(C:C,Courts!B:C,2,FALSE)</f>
        <v>7</v>
      </c>
      <c r="F82" s="19">
        <f>VLOOKUP(C:C,Courts!B:E,4,FALSE)</f>
        <v>1</v>
      </c>
      <c r="G82" s="19">
        <f>VLOOKUP(C:C,Courts!B:D,3,FALSE)</f>
        <v>0</v>
      </c>
      <c r="H82" s="19">
        <f>VLOOKUP(C:C,Courts!B:F,5,FALSE)</f>
        <v>8</v>
      </c>
      <c r="I82" s="18" t="s">
        <v>9</v>
      </c>
      <c r="J82" s="19">
        <f>VLOOKUP(C:C,TooliD!B:N,13,FALSE)</f>
        <v>8</v>
      </c>
      <c r="K82" s="18">
        <f>VLOOKUP(C:C,TooliD!B:M,12,FALSE)</f>
        <v>8</v>
      </c>
      <c r="L82" s="19">
        <f t="shared" si="14"/>
        <v>0</v>
      </c>
      <c r="M82" s="19" t="str">
        <f t="shared" si="12"/>
        <v>OK</v>
      </c>
      <c r="N82" s="18"/>
    </row>
    <row r="83" spans="1:14" x14ac:dyDescent="0.25">
      <c r="A83" s="19" t="s">
        <v>157</v>
      </c>
      <c r="B83" s="18" t="s">
        <v>41</v>
      </c>
      <c r="C83" s="18" t="s">
        <v>42</v>
      </c>
      <c r="D83" s="19" t="s">
        <v>238</v>
      </c>
      <c r="E83" s="19">
        <f>VLOOKUP(C:C,Courts!B:C,2,FALSE)</f>
        <v>7</v>
      </c>
      <c r="F83" s="19">
        <f>VLOOKUP(C:C,Courts!B:E,4,FALSE)</f>
        <v>1</v>
      </c>
      <c r="G83" s="19">
        <f>VLOOKUP(C:C,Courts!B:D,3,FALSE)</f>
        <v>0</v>
      </c>
      <c r="H83" s="19">
        <f>VLOOKUP(C:C,Courts!B:F,5,FALSE)</f>
        <v>8</v>
      </c>
      <c r="I83" s="18" t="s">
        <v>239</v>
      </c>
      <c r="J83" s="19">
        <f>VLOOKUP(C:C,TooliD!B:Q,16,FALSE)</f>
        <v>14</v>
      </c>
      <c r="K83" s="18">
        <f>VLOOKUP(C:C,TooliD!B:P,15,FALSE)</f>
        <v>15</v>
      </c>
      <c r="L83" s="19">
        <f t="shared" si="14"/>
        <v>1</v>
      </c>
      <c r="M83" s="19" t="str">
        <f t="shared" si="12"/>
        <v>Surplus</v>
      </c>
      <c r="N83" s="18"/>
    </row>
    <row r="84" spans="1:14" x14ac:dyDescent="0.25">
      <c r="A84" s="19" t="s">
        <v>157</v>
      </c>
      <c r="B84" s="18" t="s">
        <v>41</v>
      </c>
      <c r="C84" s="18" t="s">
        <v>42</v>
      </c>
      <c r="D84" s="19" t="s">
        <v>238</v>
      </c>
      <c r="E84" s="19">
        <f>VLOOKUP(C:C,Courts!B:C,2,FALSE)</f>
        <v>7</v>
      </c>
      <c r="F84" s="19">
        <f>VLOOKUP(C:C,Courts!B:E,4,FALSE)</f>
        <v>1</v>
      </c>
      <c r="G84" s="19">
        <f>VLOOKUP(C:C,Courts!B:D,3,FALSE)</f>
        <v>0</v>
      </c>
      <c r="H84" s="19">
        <f>VLOOKUP(C:C,Courts!B:F,5,FALSE)</f>
        <v>8</v>
      </c>
      <c r="I84" s="18" t="s">
        <v>11</v>
      </c>
      <c r="J84" s="19">
        <f>VLOOKUP(C:C,TooliD!B:T,19,FALSE)</f>
        <v>60</v>
      </c>
      <c r="K84" s="18">
        <f>VLOOKUP(C:C,TooliD!B:S,18,FALSE)</f>
        <v>44</v>
      </c>
      <c r="L84" s="19">
        <f t="shared" si="14"/>
        <v>-16</v>
      </c>
      <c r="M84" s="19" t="str">
        <f t="shared" si="12"/>
        <v>Shortfall</v>
      </c>
      <c r="N84" s="18"/>
    </row>
    <row r="85" spans="1:14" x14ac:dyDescent="0.25">
      <c r="A85" s="19" t="s">
        <v>157</v>
      </c>
      <c r="B85" s="18" t="s">
        <v>41</v>
      </c>
      <c r="C85" s="18" t="s">
        <v>42</v>
      </c>
      <c r="D85" s="19" t="s">
        <v>238</v>
      </c>
      <c r="E85" s="19">
        <f>VLOOKUP(C:C,Courts!B:C,2,FALSE)</f>
        <v>7</v>
      </c>
      <c r="F85" s="19">
        <f>VLOOKUP(C:C,Courts!B:E,4,FALSE)</f>
        <v>1</v>
      </c>
      <c r="G85" s="19">
        <f>VLOOKUP(C:C,Courts!B:D,3,FALSE)</f>
        <v>0</v>
      </c>
      <c r="H85" s="19">
        <f>VLOOKUP(C:C,Courts!B:F,5,FALSE)</f>
        <v>8</v>
      </c>
      <c r="I85" s="18" t="s">
        <v>212</v>
      </c>
      <c r="J85" s="19">
        <f>VLOOKUP(C:C,TooliD!B:W,22,FALSE)</f>
        <v>8</v>
      </c>
      <c r="K85" s="18">
        <f>VLOOKUP(C:C,TooliD!B:V,21,FALSE)</f>
        <v>7</v>
      </c>
      <c r="L85" s="19">
        <f t="shared" si="14"/>
        <v>-1</v>
      </c>
      <c r="M85" s="19" t="str">
        <f t="shared" si="12"/>
        <v>Shortfall</v>
      </c>
      <c r="N85" s="18"/>
    </row>
    <row r="86" spans="1:14" x14ac:dyDescent="0.25">
      <c r="A86" s="19" t="s">
        <v>157</v>
      </c>
      <c r="B86" s="18" t="s">
        <v>41</v>
      </c>
      <c r="C86" s="18" t="s">
        <v>43</v>
      </c>
      <c r="D86" s="19" t="s">
        <v>238</v>
      </c>
      <c r="E86" s="19">
        <f>VLOOKUP(C:C,Courts!B:C,2,FALSE)</f>
        <v>4</v>
      </c>
      <c r="F86" s="19">
        <f>VLOOKUP(C:C,Courts!B:E,4,FALSE)</f>
        <v>1</v>
      </c>
      <c r="G86" s="19">
        <f>VLOOKUP(C:C,Courts!B:D,3,FALSE)</f>
        <v>0</v>
      </c>
      <c r="H86" s="19">
        <f>VLOOKUP(C:C,Courts!B:F,5,FALSE)</f>
        <v>5</v>
      </c>
      <c r="I86" s="18" t="s">
        <v>7</v>
      </c>
      <c r="J86" s="19">
        <f>VLOOKUP(C:C,TooliD!B:H,7,FALSE)</f>
        <v>5</v>
      </c>
      <c r="K86" s="19">
        <f>VLOOKUP(C:C,TooliD!B:G,6,FALSE)</f>
        <v>5</v>
      </c>
      <c r="L86" s="19">
        <f>K86-J86</f>
        <v>0</v>
      </c>
      <c r="M86" s="19" t="str">
        <f>IF(L86=0,"OK", IF(L86&gt;0,"Surplus","Shortfall"))</f>
        <v>OK</v>
      </c>
      <c r="N86" s="18"/>
    </row>
    <row r="87" spans="1:14" x14ac:dyDescent="0.25">
      <c r="A87" s="19" t="s">
        <v>157</v>
      </c>
      <c r="B87" s="18" t="s">
        <v>41</v>
      </c>
      <c r="C87" s="18" t="s">
        <v>43</v>
      </c>
      <c r="D87" s="19" t="s">
        <v>238</v>
      </c>
      <c r="E87" s="19">
        <f>VLOOKUP(C:C,Courts!B:C,2,FALSE)</f>
        <v>4</v>
      </c>
      <c r="F87" s="19">
        <f>VLOOKUP(C:C,Courts!B:E,4,FALSE)</f>
        <v>1</v>
      </c>
      <c r="G87" s="19">
        <f>VLOOKUP(C:C,Courts!B:D,3,FALSE)</f>
        <v>0</v>
      </c>
      <c r="H87" s="19">
        <f>VLOOKUP(C:C,Courts!B:F,5,FALSE)</f>
        <v>5</v>
      </c>
      <c r="I87" s="18" t="s">
        <v>241</v>
      </c>
      <c r="J87" s="19">
        <f>VLOOKUP(C:C,TooliD!B:K,7,FALSE)</f>
        <v>5</v>
      </c>
      <c r="K87" s="19">
        <f>VLOOKUP(C:C,TooliD!B:J,9,FALSE)</f>
        <v>4</v>
      </c>
      <c r="L87" s="19">
        <f t="shared" ref="L87:L91" si="15">K87-J87</f>
        <v>-1</v>
      </c>
      <c r="M87" s="19" t="str">
        <f t="shared" si="12"/>
        <v>Shortfall</v>
      </c>
      <c r="N87" s="18"/>
    </row>
    <row r="88" spans="1:14" x14ac:dyDescent="0.25">
      <c r="A88" s="19" t="s">
        <v>157</v>
      </c>
      <c r="B88" s="18" t="s">
        <v>41</v>
      </c>
      <c r="C88" s="18" t="s">
        <v>43</v>
      </c>
      <c r="D88" s="19" t="s">
        <v>238</v>
      </c>
      <c r="E88" s="19">
        <f>VLOOKUP(C:C,Courts!B:C,2,FALSE)</f>
        <v>4</v>
      </c>
      <c r="F88" s="19">
        <f>VLOOKUP(C:C,Courts!B:E,4,FALSE)</f>
        <v>1</v>
      </c>
      <c r="G88" s="19">
        <f>VLOOKUP(C:C,Courts!B:D,3,FALSE)</f>
        <v>0</v>
      </c>
      <c r="H88" s="19">
        <f>VLOOKUP(C:C,Courts!B:F,5,FALSE)</f>
        <v>5</v>
      </c>
      <c r="I88" s="18" t="s">
        <v>9</v>
      </c>
      <c r="J88" s="19">
        <f>VLOOKUP(C:C,TooliD!B:N,13,FALSE)</f>
        <v>5</v>
      </c>
      <c r="K88" s="18">
        <f>VLOOKUP(C:C,TooliD!B:M,12,FALSE)</f>
        <v>5</v>
      </c>
      <c r="L88" s="19">
        <f t="shared" si="15"/>
        <v>0</v>
      </c>
      <c r="M88" s="19" t="str">
        <f t="shared" si="12"/>
        <v>OK</v>
      </c>
      <c r="N88" s="18"/>
    </row>
    <row r="89" spans="1:14" x14ac:dyDescent="0.25">
      <c r="A89" s="19" t="s">
        <v>157</v>
      </c>
      <c r="B89" s="18" t="s">
        <v>41</v>
      </c>
      <c r="C89" s="18" t="s">
        <v>43</v>
      </c>
      <c r="D89" s="19" t="s">
        <v>238</v>
      </c>
      <c r="E89" s="19">
        <f>VLOOKUP(C:C,Courts!B:C,2,FALSE)</f>
        <v>4</v>
      </c>
      <c r="F89" s="19">
        <f>VLOOKUP(C:C,Courts!B:E,4,FALSE)</f>
        <v>1</v>
      </c>
      <c r="G89" s="19">
        <f>VLOOKUP(C:C,Courts!B:D,3,FALSE)</f>
        <v>0</v>
      </c>
      <c r="H89" s="19">
        <f>VLOOKUP(C:C,Courts!B:F,5,FALSE)</f>
        <v>5</v>
      </c>
      <c r="I89" s="18" t="s">
        <v>239</v>
      </c>
      <c r="J89" s="19">
        <f>VLOOKUP(C:C,TooliD!B:Q,16,FALSE)</f>
        <v>8</v>
      </c>
      <c r="K89" s="18">
        <f>VLOOKUP(C:C,TooliD!B:P,15,FALSE)</f>
        <v>8</v>
      </c>
      <c r="L89" s="19">
        <f t="shared" si="15"/>
        <v>0</v>
      </c>
      <c r="M89" s="19" t="str">
        <f t="shared" si="12"/>
        <v>OK</v>
      </c>
      <c r="N89" s="18"/>
    </row>
    <row r="90" spans="1:14" x14ac:dyDescent="0.25">
      <c r="A90" s="19" t="s">
        <v>157</v>
      </c>
      <c r="B90" s="18" t="s">
        <v>41</v>
      </c>
      <c r="C90" s="18" t="s">
        <v>43</v>
      </c>
      <c r="D90" s="19" t="s">
        <v>238</v>
      </c>
      <c r="E90" s="19">
        <f>VLOOKUP(C:C,Courts!B:C,2,FALSE)</f>
        <v>4</v>
      </c>
      <c r="F90" s="19">
        <f>VLOOKUP(C:C,Courts!B:E,4,FALSE)</f>
        <v>1</v>
      </c>
      <c r="G90" s="19">
        <f>VLOOKUP(C:C,Courts!B:D,3,FALSE)</f>
        <v>0</v>
      </c>
      <c r="H90" s="19">
        <f>VLOOKUP(C:C,Courts!B:F,5,FALSE)</f>
        <v>5</v>
      </c>
      <c r="I90" s="18" t="s">
        <v>11</v>
      </c>
      <c r="J90" s="19">
        <f>VLOOKUP(C:C,TooliD!B:T,19,FALSE)</f>
        <v>36</v>
      </c>
      <c r="K90" s="18">
        <f>VLOOKUP(C:C,TooliD!B:S,18,FALSE)</f>
        <v>28</v>
      </c>
      <c r="L90" s="19">
        <f t="shared" si="15"/>
        <v>-8</v>
      </c>
      <c r="M90" s="19" t="str">
        <f t="shared" si="12"/>
        <v>Shortfall</v>
      </c>
      <c r="N90" s="18"/>
    </row>
    <row r="91" spans="1:14" x14ac:dyDescent="0.25">
      <c r="A91" s="19" t="s">
        <v>157</v>
      </c>
      <c r="B91" s="18" t="s">
        <v>41</v>
      </c>
      <c r="C91" s="18" t="s">
        <v>43</v>
      </c>
      <c r="D91" s="19" t="s">
        <v>238</v>
      </c>
      <c r="E91" s="19">
        <f>VLOOKUP(C:C,Courts!B:C,2,FALSE)</f>
        <v>4</v>
      </c>
      <c r="F91" s="19">
        <f>VLOOKUP(C:C,Courts!B:E,4,FALSE)</f>
        <v>1</v>
      </c>
      <c r="G91" s="19">
        <f>VLOOKUP(C:C,Courts!B:D,3,FALSE)</f>
        <v>0</v>
      </c>
      <c r="H91" s="19">
        <f>VLOOKUP(C:C,Courts!B:F,5,FALSE)</f>
        <v>5</v>
      </c>
      <c r="I91" s="18" t="s">
        <v>212</v>
      </c>
      <c r="J91" s="19">
        <f>VLOOKUP(C:C,TooliD!B:W,22,FALSE)</f>
        <v>5</v>
      </c>
      <c r="K91" s="18">
        <f>VLOOKUP(C:C,TooliD!B:V,21,FALSE)</f>
        <v>4</v>
      </c>
      <c r="L91" s="19">
        <f t="shared" si="15"/>
        <v>-1</v>
      </c>
      <c r="M91" s="19" t="str">
        <f t="shared" si="12"/>
        <v>Shortfall</v>
      </c>
      <c r="N91" s="18"/>
    </row>
    <row r="92" spans="1:14" x14ac:dyDescent="0.25">
      <c r="A92" s="19" t="s">
        <v>157</v>
      </c>
      <c r="B92" s="18" t="s">
        <v>44</v>
      </c>
      <c r="C92" s="18" t="s">
        <v>44</v>
      </c>
      <c r="D92" s="19" t="s">
        <v>237</v>
      </c>
      <c r="E92" s="19">
        <f>VLOOKUP(C:C,Courts!B:C,2,FALSE)</f>
        <v>16</v>
      </c>
      <c r="F92" s="19">
        <f>VLOOKUP(C:C,Courts!B:E,4,FALSE)</f>
        <v>0</v>
      </c>
      <c r="G92" s="19">
        <f>VLOOKUP(C:C,Courts!B:D,3,FALSE)</f>
        <v>0</v>
      </c>
      <c r="H92" s="19">
        <f>VLOOKUP(C:C,Courts!B:F,5,FALSE)</f>
        <v>16</v>
      </c>
      <c r="I92" s="18" t="s">
        <v>7</v>
      </c>
      <c r="J92" s="19">
        <f>VLOOKUP(C:C,TooliD!B:H,7,FALSE)</f>
        <v>16</v>
      </c>
      <c r="K92" s="19">
        <f>VLOOKUP(C:C,TooliD!B:G,6,FALSE)</f>
        <v>20</v>
      </c>
      <c r="L92" s="19">
        <f>K92-J92</f>
        <v>4</v>
      </c>
      <c r="M92" s="19" t="str">
        <f>IF(L92=0,"OK", IF(L92&gt;0,"Surplus","Shortfall"))</f>
        <v>Surplus</v>
      </c>
      <c r="N92" s="18"/>
    </row>
    <row r="93" spans="1:14" x14ac:dyDescent="0.25">
      <c r="A93" s="19" t="s">
        <v>157</v>
      </c>
      <c r="B93" s="18" t="s">
        <v>44</v>
      </c>
      <c r="C93" s="18" t="s">
        <v>44</v>
      </c>
      <c r="D93" s="19" t="s">
        <v>237</v>
      </c>
      <c r="E93" s="19">
        <f>VLOOKUP(C:C,Courts!B:C,2,FALSE)</f>
        <v>16</v>
      </c>
      <c r="F93" s="19">
        <f>VLOOKUP(C:C,Courts!B:E,4,FALSE)</f>
        <v>0</v>
      </c>
      <c r="G93" s="19">
        <f>VLOOKUP(C:C,Courts!B:D,3,FALSE)</f>
        <v>0</v>
      </c>
      <c r="H93" s="19">
        <f>VLOOKUP(C:C,Courts!B:F,5,FALSE)</f>
        <v>16</v>
      </c>
      <c r="I93" s="18" t="s">
        <v>241</v>
      </c>
      <c r="J93" s="19">
        <f>VLOOKUP(C:C,TooliD!B:K,7,FALSE)</f>
        <v>16</v>
      </c>
      <c r="K93" s="19">
        <f>VLOOKUP(C:C,TooliD!B:J,9,FALSE)</f>
        <v>15</v>
      </c>
      <c r="L93" s="19">
        <f t="shared" ref="L93:L97" si="16">K93-J93</f>
        <v>-1</v>
      </c>
      <c r="M93" s="19" t="str">
        <f t="shared" si="12"/>
        <v>Shortfall</v>
      </c>
      <c r="N93" s="18"/>
    </row>
    <row r="94" spans="1:14" x14ac:dyDescent="0.25">
      <c r="A94" s="19" t="s">
        <v>157</v>
      </c>
      <c r="B94" s="18" t="s">
        <v>44</v>
      </c>
      <c r="C94" s="18" t="s">
        <v>44</v>
      </c>
      <c r="D94" s="19" t="s">
        <v>237</v>
      </c>
      <c r="E94" s="19">
        <f>VLOOKUP(C:C,Courts!B:C,2,FALSE)</f>
        <v>16</v>
      </c>
      <c r="F94" s="19">
        <f>VLOOKUP(C:C,Courts!B:E,4,FALSE)</f>
        <v>0</v>
      </c>
      <c r="G94" s="19">
        <f>VLOOKUP(C:C,Courts!B:D,3,FALSE)</f>
        <v>0</v>
      </c>
      <c r="H94" s="19">
        <f>VLOOKUP(C:C,Courts!B:F,5,FALSE)</f>
        <v>16</v>
      </c>
      <c r="I94" s="18" t="s">
        <v>9</v>
      </c>
      <c r="J94" s="19">
        <f>VLOOKUP(C:C,TooliD!B:N,13,FALSE)</f>
        <v>16</v>
      </c>
      <c r="K94" s="18">
        <f>VLOOKUP(C:C,TooliD!B:M,12,FALSE)</f>
        <v>18</v>
      </c>
      <c r="L94" s="19">
        <f t="shared" si="16"/>
        <v>2</v>
      </c>
      <c r="M94" s="19" t="str">
        <f t="shared" si="12"/>
        <v>Surplus</v>
      </c>
      <c r="N94" s="18"/>
    </row>
    <row r="95" spans="1:14" x14ac:dyDescent="0.25">
      <c r="A95" s="19" t="s">
        <v>157</v>
      </c>
      <c r="B95" s="18" t="s">
        <v>44</v>
      </c>
      <c r="C95" s="18" t="s">
        <v>44</v>
      </c>
      <c r="D95" s="19" t="s">
        <v>237</v>
      </c>
      <c r="E95" s="19">
        <f>VLOOKUP(C:C,Courts!B:C,2,FALSE)</f>
        <v>16</v>
      </c>
      <c r="F95" s="19">
        <f>VLOOKUP(C:C,Courts!B:E,4,FALSE)</f>
        <v>0</v>
      </c>
      <c r="G95" s="19">
        <f>VLOOKUP(C:C,Courts!B:D,3,FALSE)</f>
        <v>0</v>
      </c>
      <c r="H95" s="19">
        <f>VLOOKUP(C:C,Courts!B:F,5,FALSE)</f>
        <v>16</v>
      </c>
      <c r="I95" s="18" t="s">
        <v>239</v>
      </c>
      <c r="J95" s="19">
        <f>VLOOKUP(C:C,TooliD!B:Q,16,FALSE)</f>
        <v>32</v>
      </c>
      <c r="K95" s="18">
        <f>VLOOKUP(C:C,TooliD!B:P,15,FALSE)</f>
        <v>34</v>
      </c>
      <c r="L95" s="19">
        <f t="shared" si="16"/>
        <v>2</v>
      </c>
      <c r="M95" s="19" t="str">
        <f t="shared" si="12"/>
        <v>Surplus</v>
      </c>
      <c r="N95" s="18"/>
    </row>
    <row r="96" spans="1:14" x14ac:dyDescent="0.25">
      <c r="A96" s="19" t="s">
        <v>157</v>
      </c>
      <c r="B96" s="18" t="s">
        <v>44</v>
      </c>
      <c r="C96" s="18" t="s">
        <v>44</v>
      </c>
      <c r="D96" s="19" t="s">
        <v>237</v>
      </c>
      <c r="E96" s="19">
        <f>VLOOKUP(C:C,Courts!B:C,2,FALSE)</f>
        <v>16</v>
      </c>
      <c r="F96" s="19">
        <f>VLOOKUP(C:C,Courts!B:E,4,FALSE)</f>
        <v>0</v>
      </c>
      <c r="G96" s="19">
        <f>VLOOKUP(C:C,Courts!B:D,3,FALSE)</f>
        <v>0</v>
      </c>
      <c r="H96" s="19">
        <f>VLOOKUP(C:C,Courts!B:F,5,FALSE)</f>
        <v>16</v>
      </c>
      <c r="I96" s="18" t="s">
        <v>11</v>
      </c>
      <c r="J96" s="19">
        <f>VLOOKUP(C:C,TooliD!B:T,19,FALSE)</f>
        <v>128</v>
      </c>
      <c r="K96" s="18">
        <f>VLOOKUP(C:C,TooliD!B:S,18,FALSE)</f>
        <v>120</v>
      </c>
      <c r="L96" s="19">
        <f t="shared" si="16"/>
        <v>-8</v>
      </c>
      <c r="M96" s="19" t="str">
        <f t="shared" si="12"/>
        <v>Shortfall</v>
      </c>
      <c r="N96" s="18"/>
    </row>
    <row r="97" spans="1:14" x14ac:dyDescent="0.25">
      <c r="A97" s="19" t="s">
        <v>157</v>
      </c>
      <c r="B97" s="18" t="s">
        <v>44</v>
      </c>
      <c r="C97" s="18" t="s">
        <v>44</v>
      </c>
      <c r="D97" s="19" t="s">
        <v>237</v>
      </c>
      <c r="E97" s="19">
        <f>VLOOKUP(C:C,Courts!B:C,2,FALSE)</f>
        <v>16</v>
      </c>
      <c r="F97" s="19">
        <f>VLOOKUP(C:C,Courts!B:E,4,FALSE)</f>
        <v>0</v>
      </c>
      <c r="G97" s="19">
        <f>VLOOKUP(C:C,Courts!B:D,3,FALSE)</f>
        <v>0</v>
      </c>
      <c r="H97" s="19">
        <f>VLOOKUP(C:C,Courts!B:F,5,FALSE)</f>
        <v>16</v>
      </c>
      <c r="I97" s="18" t="s">
        <v>212</v>
      </c>
      <c r="J97" s="19">
        <f>VLOOKUP(C:C,TooliD!B:W,22,FALSE)</f>
        <v>16</v>
      </c>
      <c r="K97" s="18">
        <f>VLOOKUP(C:C,TooliD!B:V,21,FALSE)</f>
        <v>15</v>
      </c>
      <c r="L97" s="19">
        <f t="shared" si="16"/>
        <v>-1</v>
      </c>
      <c r="M97" s="19" t="str">
        <f t="shared" si="12"/>
        <v>Shortfall</v>
      </c>
      <c r="N97" s="18"/>
    </row>
    <row r="98" spans="1:14" x14ac:dyDescent="0.25">
      <c r="A98" s="19" t="s">
        <v>157</v>
      </c>
      <c r="B98" s="18" t="s">
        <v>44</v>
      </c>
      <c r="C98" s="18" t="s">
        <v>45</v>
      </c>
      <c r="D98" s="19" t="s">
        <v>238</v>
      </c>
      <c r="E98" s="19">
        <f>VLOOKUP(C:C,Courts!B:C,2,FALSE)</f>
        <v>3</v>
      </c>
      <c r="F98" s="19">
        <f>VLOOKUP(C:C,Courts!B:E,4,FALSE)</f>
        <v>1</v>
      </c>
      <c r="G98" s="19">
        <f>VLOOKUP(C:C,Courts!B:D,3,FALSE)</f>
        <v>0</v>
      </c>
      <c r="H98" s="19">
        <f>VLOOKUP(C:C,Courts!B:F,5,FALSE)</f>
        <v>4</v>
      </c>
      <c r="I98" s="18" t="s">
        <v>7</v>
      </c>
      <c r="J98" s="19">
        <f>VLOOKUP(C:C,TooliD!B:H,7,FALSE)</f>
        <v>4</v>
      </c>
      <c r="K98" s="19">
        <f>VLOOKUP(C:C,TooliD!B:G,6,FALSE)</f>
        <v>4</v>
      </c>
      <c r="L98" s="19">
        <f>K98-J98</f>
        <v>0</v>
      </c>
      <c r="M98" s="19" t="str">
        <f>IF(L98=0,"OK", IF(L98&gt;0,"Surplus","Shortfall"))</f>
        <v>OK</v>
      </c>
      <c r="N98" s="18"/>
    </row>
    <row r="99" spans="1:14" x14ac:dyDescent="0.25">
      <c r="A99" s="19" t="s">
        <v>157</v>
      </c>
      <c r="B99" s="18" t="s">
        <v>44</v>
      </c>
      <c r="C99" s="18" t="s">
        <v>45</v>
      </c>
      <c r="D99" s="19" t="s">
        <v>238</v>
      </c>
      <c r="E99" s="19">
        <f>VLOOKUP(C:C,Courts!B:C,2,FALSE)</f>
        <v>3</v>
      </c>
      <c r="F99" s="19">
        <f>VLOOKUP(C:C,Courts!B:E,4,FALSE)</f>
        <v>1</v>
      </c>
      <c r="G99" s="19">
        <f>VLOOKUP(C:C,Courts!B:D,3,FALSE)</f>
        <v>0</v>
      </c>
      <c r="H99" s="19">
        <f>VLOOKUP(C:C,Courts!B:F,5,FALSE)</f>
        <v>4</v>
      </c>
      <c r="I99" s="18" t="s">
        <v>241</v>
      </c>
      <c r="J99" s="19">
        <f>VLOOKUP(C:C,TooliD!B:K,7,FALSE)</f>
        <v>4</v>
      </c>
      <c r="K99" s="19">
        <f>VLOOKUP(C:C,TooliD!B:J,9,FALSE)</f>
        <v>3</v>
      </c>
      <c r="L99" s="19">
        <f t="shared" ref="L99:L103" si="17">K99-J99</f>
        <v>-1</v>
      </c>
      <c r="M99" s="19" t="str">
        <f t="shared" si="12"/>
        <v>Shortfall</v>
      </c>
      <c r="N99" s="18"/>
    </row>
    <row r="100" spans="1:14" x14ac:dyDescent="0.25">
      <c r="A100" s="19" t="s">
        <v>157</v>
      </c>
      <c r="B100" s="18" t="s">
        <v>44</v>
      </c>
      <c r="C100" s="18" t="s">
        <v>45</v>
      </c>
      <c r="D100" s="19" t="s">
        <v>238</v>
      </c>
      <c r="E100" s="19">
        <f>VLOOKUP(C:C,Courts!B:C,2,FALSE)</f>
        <v>3</v>
      </c>
      <c r="F100" s="19">
        <f>VLOOKUP(C:C,Courts!B:E,4,FALSE)</f>
        <v>1</v>
      </c>
      <c r="G100" s="19">
        <f>VLOOKUP(C:C,Courts!B:D,3,FALSE)</f>
        <v>0</v>
      </c>
      <c r="H100" s="19">
        <f>VLOOKUP(C:C,Courts!B:F,5,FALSE)</f>
        <v>4</v>
      </c>
      <c r="I100" s="18" t="s">
        <v>9</v>
      </c>
      <c r="J100" s="19">
        <f>VLOOKUP(C:C,TooliD!B:N,13,FALSE)</f>
        <v>4</v>
      </c>
      <c r="K100" s="18">
        <f>VLOOKUP(C:C,TooliD!B:M,12,FALSE)</f>
        <v>4</v>
      </c>
      <c r="L100" s="19">
        <f t="shared" si="17"/>
        <v>0</v>
      </c>
      <c r="M100" s="19" t="str">
        <f t="shared" si="12"/>
        <v>OK</v>
      </c>
      <c r="N100" s="18"/>
    </row>
    <row r="101" spans="1:14" x14ac:dyDescent="0.25">
      <c r="A101" s="19" t="s">
        <v>157</v>
      </c>
      <c r="B101" s="18" t="s">
        <v>44</v>
      </c>
      <c r="C101" s="18" t="s">
        <v>45</v>
      </c>
      <c r="D101" s="19" t="s">
        <v>238</v>
      </c>
      <c r="E101" s="19">
        <f>VLOOKUP(C:C,Courts!B:C,2,FALSE)</f>
        <v>3</v>
      </c>
      <c r="F101" s="19">
        <f>VLOOKUP(C:C,Courts!B:E,4,FALSE)</f>
        <v>1</v>
      </c>
      <c r="G101" s="19">
        <f>VLOOKUP(C:C,Courts!B:D,3,FALSE)</f>
        <v>0</v>
      </c>
      <c r="H101" s="19">
        <f>VLOOKUP(C:C,Courts!B:F,5,FALSE)</f>
        <v>4</v>
      </c>
      <c r="I101" s="18" t="s">
        <v>239</v>
      </c>
      <c r="J101" s="19">
        <f>VLOOKUP(C:C,TooliD!B:Q,16,FALSE)</f>
        <v>6</v>
      </c>
      <c r="K101" s="18">
        <f>VLOOKUP(C:C,TooliD!B:P,15,FALSE)</f>
        <v>6</v>
      </c>
      <c r="L101" s="19">
        <f t="shared" si="17"/>
        <v>0</v>
      </c>
      <c r="M101" s="19" t="str">
        <f t="shared" si="12"/>
        <v>OK</v>
      </c>
      <c r="N101" s="18"/>
    </row>
    <row r="102" spans="1:14" x14ac:dyDescent="0.25">
      <c r="A102" s="19" t="s">
        <v>157</v>
      </c>
      <c r="B102" s="18" t="s">
        <v>44</v>
      </c>
      <c r="C102" s="18" t="s">
        <v>45</v>
      </c>
      <c r="D102" s="19" t="s">
        <v>238</v>
      </c>
      <c r="E102" s="19">
        <f>VLOOKUP(C:C,Courts!B:C,2,FALSE)</f>
        <v>3</v>
      </c>
      <c r="F102" s="19">
        <f>VLOOKUP(C:C,Courts!B:E,4,FALSE)</f>
        <v>1</v>
      </c>
      <c r="G102" s="19">
        <f>VLOOKUP(C:C,Courts!B:D,3,FALSE)</f>
        <v>0</v>
      </c>
      <c r="H102" s="19">
        <f>VLOOKUP(C:C,Courts!B:F,5,FALSE)</f>
        <v>4</v>
      </c>
      <c r="I102" s="18" t="s">
        <v>11</v>
      </c>
      <c r="J102" s="19">
        <f>VLOOKUP(C:C,TooliD!B:T,19,FALSE)</f>
        <v>28</v>
      </c>
      <c r="K102" s="18">
        <f>VLOOKUP(C:C,TooliD!B:S,18,FALSE)</f>
        <v>20</v>
      </c>
      <c r="L102" s="19">
        <f t="shared" si="17"/>
        <v>-8</v>
      </c>
      <c r="M102" s="19" t="str">
        <f t="shared" si="12"/>
        <v>Shortfall</v>
      </c>
      <c r="N102" s="18"/>
    </row>
    <row r="103" spans="1:14" x14ac:dyDescent="0.25">
      <c r="A103" s="19" t="s">
        <v>157</v>
      </c>
      <c r="B103" s="18" t="s">
        <v>44</v>
      </c>
      <c r="C103" s="18" t="s">
        <v>45</v>
      </c>
      <c r="D103" s="19" t="s">
        <v>238</v>
      </c>
      <c r="E103" s="19">
        <f>VLOOKUP(C:C,Courts!B:C,2,FALSE)</f>
        <v>3</v>
      </c>
      <c r="F103" s="19">
        <f>VLOOKUP(C:C,Courts!B:E,4,FALSE)</f>
        <v>1</v>
      </c>
      <c r="G103" s="19">
        <f>VLOOKUP(C:C,Courts!B:D,3,FALSE)</f>
        <v>0</v>
      </c>
      <c r="H103" s="19">
        <f>VLOOKUP(C:C,Courts!B:F,5,FALSE)</f>
        <v>4</v>
      </c>
      <c r="I103" s="18" t="s">
        <v>212</v>
      </c>
      <c r="J103" s="19">
        <f>VLOOKUP(C:C,TooliD!B:W,22,FALSE)</f>
        <v>4</v>
      </c>
      <c r="K103" s="18">
        <f>VLOOKUP(C:C,TooliD!B:V,21,FALSE)</f>
        <v>3</v>
      </c>
      <c r="L103" s="19">
        <f t="shared" si="17"/>
        <v>-1</v>
      </c>
      <c r="M103" s="19" t="str">
        <f t="shared" si="12"/>
        <v>Shortfall</v>
      </c>
      <c r="N103" s="18"/>
    </row>
    <row r="104" spans="1:14" x14ac:dyDescent="0.25">
      <c r="A104" s="19" t="s">
        <v>157</v>
      </c>
      <c r="B104" s="18" t="s">
        <v>44</v>
      </c>
      <c r="C104" s="18" t="s">
        <v>46</v>
      </c>
      <c r="D104" s="19" t="s">
        <v>238</v>
      </c>
      <c r="E104" s="19">
        <f>VLOOKUP(C:C,Courts!B:C,2,FALSE)</f>
        <v>3</v>
      </c>
      <c r="F104" s="19">
        <f>VLOOKUP(C:C,Courts!B:E,4,FALSE)</f>
        <v>1</v>
      </c>
      <c r="G104" s="19">
        <f>VLOOKUP(C:C,Courts!B:D,3,FALSE)</f>
        <v>0</v>
      </c>
      <c r="H104" s="19">
        <f>VLOOKUP(C:C,Courts!B:F,5,FALSE)</f>
        <v>4</v>
      </c>
      <c r="I104" s="18" t="s">
        <v>7</v>
      </c>
      <c r="J104" s="19">
        <f>VLOOKUP(C:C,TooliD!B:H,7,FALSE)</f>
        <v>4</v>
      </c>
      <c r="K104" s="19">
        <f>VLOOKUP(C:C,TooliD!B:G,6,FALSE)</f>
        <v>5</v>
      </c>
      <c r="L104" s="19">
        <f>K104-J104</f>
        <v>1</v>
      </c>
      <c r="M104" s="19" t="str">
        <f>IF(L104=0,"OK", IF(L104&gt;0,"Surplus","Shortfall"))</f>
        <v>Surplus</v>
      </c>
      <c r="N104" s="18"/>
    </row>
    <row r="105" spans="1:14" x14ac:dyDescent="0.25">
      <c r="A105" s="19" t="s">
        <v>157</v>
      </c>
      <c r="B105" s="18" t="s">
        <v>44</v>
      </c>
      <c r="C105" s="18" t="s">
        <v>46</v>
      </c>
      <c r="D105" s="19" t="s">
        <v>238</v>
      </c>
      <c r="E105" s="19">
        <f>VLOOKUP(C:C,Courts!B:C,2,FALSE)</f>
        <v>3</v>
      </c>
      <c r="F105" s="19">
        <f>VLOOKUP(C:C,Courts!B:E,4,FALSE)</f>
        <v>1</v>
      </c>
      <c r="G105" s="19">
        <f>VLOOKUP(C:C,Courts!B:D,3,FALSE)</f>
        <v>0</v>
      </c>
      <c r="H105" s="19">
        <f>VLOOKUP(C:C,Courts!B:F,5,FALSE)</f>
        <v>4</v>
      </c>
      <c r="I105" s="18" t="s">
        <v>241</v>
      </c>
      <c r="J105" s="19">
        <f>VLOOKUP(C:C,TooliD!B:K,7,FALSE)</f>
        <v>4</v>
      </c>
      <c r="K105" s="19">
        <f>VLOOKUP(C:C,TooliD!B:J,9,FALSE)</f>
        <v>4</v>
      </c>
      <c r="L105" s="19">
        <f t="shared" ref="L105:L109" si="18">K105-J105</f>
        <v>0</v>
      </c>
      <c r="M105" s="19" t="str">
        <f t="shared" si="12"/>
        <v>OK</v>
      </c>
      <c r="N105" s="18"/>
    </row>
    <row r="106" spans="1:14" x14ac:dyDescent="0.25">
      <c r="A106" s="19" t="s">
        <v>157</v>
      </c>
      <c r="B106" s="18" t="s">
        <v>44</v>
      </c>
      <c r="C106" s="18" t="s">
        <v>46</v>
      </c>
      <c r="D106" s="19" t="s">
        <v>238</v>
      </c>
      <c r="E106" s="19">
        <f>VLOOKUP(C:C,Courts!B:C,2,FALSE)</f>
        <v>3</v>
      </c>
      <c r="F106" s="19">
        <f>VLOOKUP(C:C,Courts!B:E,4,FALSE)</f>
        <v>1</v>
      </c>
      <c r="G106" s="19">
        <f>VLOOKUP(C:C,Courts!B:D,3,FALSE)</f>
        <v>0</v>
      </c>
      <c r="H106" s="19">
        <f>VLOOKUP(C:C,Courts!B:F,5,FALSE)</f>
        <v>4</v>
      </c>
      <c r="I106" s="18" t="s">
        <v>9</v>
      </c>
      <c r="J106" s="19">
        <f>VLOOKUP(C:C,TooliD!B:N,13,FALSE)</f>
        <v>4</v>
      </c>
      <c r="K106" s="18">
        <f>VLOOKUP(C:C,TooliD!B:M,12,FALSE)</f>
        <v>5</v>
      </c>
      <c r="L106" s="19">
        <f t="shared" si="18"/>
        <v>1</v>
      </c>
      <c r="M106" s="19" t="str">
        <f t="shared" si="12"/>
        <v>Surplus</v>
      </c>
      <c r="N106" s="18"/>
    </row>
    <row r="107" spans="1:14" x14ac:dyDescent="0.25">
      <c r="A107" s="19" t="s">
        <v>157</v>
      </c>
      <c r="B107" s="18" t="s">
        <v>44</v>
      </c>
      <c r="C107" s="18" t="s">
        <v>46</v>
      </c>
      <c r="D107" s="19" t="s">
        <v>238</v>
      </c>
      <c r="E107" s="19">
        <f>VLOOKUP(C:C,Courts!B:C,2,FALSE)</f>
        <v>3</v>
      </c>
      <c r="F107" s="19">
        <f>VLOOKUP(C:C,Courts!B:E,4,FALSE)</f>
        <v>1</v>
      </c>
      <c r="G107" s="19">
        <f>VLOOKUP(C:C,Courts!B:D,3,FALSE)</f>
        <v>0</v>
      </c>
      <c r="H107" s="19">
        <f>VLOOKUP(C:C,Courts!B:F,5,FALSE)</f>
        <v>4</v>
      </c>
      <c r="I107" s="18" t="s">
        <v>239</v>
      </c>
      <c r="J107" s="19">
        <f>VLOOKUP(C:C,TooliD!B:Q,16,FALSE)</f>
        <v>6</v>
      </c>
      <c r="K107" s="18">
        <f>VLOOKUP(C:C,TooliD!B:P,15,FALSE)</f>
        <v>8</v>
      </c>
      <c r="L107" s="19">
        <f t="shared" si="18"/>
        <v>2</v>
      </c>
      <c r="M107" s="19" t="str">
        <f t="shared" si="12"/>
        <v>Surplus</v>
      </c>
      <c r="N107" s="18"/>
    </row>
    <row r="108" spans="1:14" x14ac:dyDescent="0.25">
      <c r="A108" s="19" t="s">
        <v>157</v>
      </c>
      <c r="B108" s="18" t="s">
        <v>44</v>
      </c>
      <c r="C108" s="18" t="s">
        <v>46</v>
      </c>
      <c r="D108" s="19" t="s">
        <v>238</v>
      </c>
      <c r="E108" s="19">
        <f>VLOOKUP(C:C,Courts!B:C,2,FALSE)</f>
        <v>3</v>
      </c>
      <c r="F108" s="19">
        <f>VLOOKUP(C:C,Courts!B:E,4,FALSE)</f>
        <v>1</v>
      </c>
      <c r="G108" s="19">
        <f>VLOOKUP(C:C,Courts!B:D,3,FALSE)</f>
        <v>0</v>
      </c>
      <c r="H108" s="19">
        <f>VLOOKUP(C:C,Courts!B:F,5,FALSE)</f>
        <v>4</v>
      </c>
      <c r="I108" s="18" t="s">
        <v>11</v>
      </c>
      <c r="J108" s="19">
        <f>VLOOKUP(C:C,TooliD!B:T,19,FALSE)</f>
        <v>28</v>
      </c>
      <c r="K108" s="18">
        <f>VLOOKUP(C:C,TooliD!B:S,18,FALSE)</f>
        <v>28</v>
      </c>
      <c r="L108" s="19">
        <f t="shared" si="18"/>
        <v>0</v>
      </c>
      <c r="M108" s="19" t="str">
        <f t="shared" si="12"/>
        <v>OK</v>
      </c>
      <c r="N108" s="18"/>
    </row>
    <row r="109" spans="1:14" x14ac:dyDescent="0.25">
      <c r="A109" s="19" t="s">
        <v>157</v>
      </c>
      <c r="B109" s="18" t="s">
        <v>44</v>
      </c>
      <c r="C109" s="18" t="s">
        <v>46</v>
      </c>
      <c r="D109" s="19" t="s">
        <v>238</v>
      </c>
      <c r="E109" s="19">
        <f>VLOOKUP(C:C,Courts!B:C,2,FALSE)</f>
        <v>3</v>
      </c>
      <c r="F109" s="19">
        <f>VLOOKUP(C:C,Courts!B:E,4,FALSE)</f>
        <v>1</v>
      </c>
      <c r="G109" s="19">
        <f>VLOOKUP(C:C,Courts!B:D,3,FALSE)</f>
        <v>0</v>
      </c>
      <c r="H109" s="19">
        <f>VLOOKUP(C:C,Courts!B:F,5,FALSE)</f>
        <v>4</v>
      </c>
      <c r="I109" s="18" t="s">
        <v>212</v>
      </c>
      <c r="J109" s="19">
        <f>VLOOKUP(C:C,TooliD!B:W,22,FALSE)</f>
        <v>4</v>
      </c>
      <c r="K109" s="18">
        <f>VLOOKUP(C:C,TooliD!B:V,21,FALSE)</f>
        <v>4</v>
      </c>
      <c r="L109" s="19">
        <f t="shared" si="18"/>
        <v>0</v>
      </c>
      <c r="M109" s="19" t="str">
        <f t="shared" si="12"/>
        <v>OK</v>
      </c>
      <c r="N109" s="18"/>
    </row>
    <row r="110" spans="1:14" x14ac:dyDescent="0.25">
      <c r="A110" s="19" t="s">
        <v>157</v>
      </c>
      <c r="B110" s="18" t="s">
        <v>47</v>
      </c>
      <c r="C110" s="18" t="s">
        <v>47</v>
      </c>
      <c r="D110" s="19" t="s">
        <v>237</v>
      </c>
      <c r="E110" s="19">
        <f>VLOOKUP(C:C,Courts!B:C,2,FALSE)</f>
        <v>18</v>
      </c>
      <c r="F110" s="19">
        <f>VLOOKUP(C:C,Courts!B:E,4,FALSE)</f>
        <v>0</v>
      </c>
      <c r="G110" s="19">
        <f>VLOOKUP(C:C,Courts!B:D,3,FALSE)</f>
        <v>0</v>
      </c>
      <c r="H110" s="19">
        <f>VLOOKUP(C:C,Courts!B:F,5,FALSE)</f>
        <v>18</v>
      </c>
      <c r="I110" s="18" t="s">
        <v>7</v>
      </c>
      <c r="J110" s="19">
        <f>VLOOKUP(C:C,TooliD!B:H,7,FALSE)</f>
        <v>18</v>
      </c>
      <c r="K110" s="19">
        <f>VLOOKUP(C:C,TooliD!B:G,6,FALSE)</f>
        <v>21</v>
      </c>
      <c r="L110" s="19">
        <f>K110-J110</f>
        <v>3</v>
      </c>
      <c r="M110" s="19" t="str">
        <f>IF(L110=0,"OK", IF(L110&gt;0,"Surplus","Shortfall"))</f>
        <v>Surplus</v>
      </c>
      <c r="N110" s="18"/>
    </row>
    <row r="111" spans="1:14" x14ac:dyDescent="0.25">
      <c r="A111" s="19" t="s">
        <v>157</v>
      </c>
      <c r="B111" s="18" t="s">
        <v>47</v>
      </c>
      <c r="C111" s="18" t="s">
        <v>47</v>
      </c>
      <c r="D111" s="19" t="s">
        <v>237</v>
      </c>
      <c r="E111" s="19">
        <f>VLOOKUP(C:C,Courts!B:C,2,FALSE)</f>
        <v>18</v>
      </c>
      <c r="F111" s="19">
        <f>VLOOKUP(C:C,Courts!B:E,4,FALSE)</f>
        <v>0</v>
      </c>
      <c r="G111" s="19">
        <f>VLOOKUP(C:C,Courts!B:D,3,FALSE)</f>
        <v>0</v>
      </c>
      <c r="H111" s="19">
        <f>VLOOKUP(C:C,Courts!B:F,5,FALSE)</f>
        <v>18</v>
      </c>
      <c r="I111" s="18" t="s">
        <v>241</v>
      </c>
      <c r="J111" s="19">
        <f>VLOOKUP(C:C,TooliD!B:K,7,FALSE)</f>
        <v>18</v>
      </c>
      <c r="K111" s="19">
        <f>VLOOKUP(C:C,TooliD!B:J,9,FALSE)</f>
        <v>18</v>
      </c>
      <c r="L111" s="19">
        <f t="shared" ref="L111:L115" si="19">K111-J111</f>
        <v>0</v>
      </c>
      <c r="M111" s="19" t="str">
        <f t="shared" si="12"/>
        <v>OK</v>
      </c>
      <c r="N111" s="18"/>
    </row>
    <row r="112" spans="1:14" x14ac:dyDescent="0.25">
      <c r="A112" s="19" t="s">
        <v>157</v>
      </c>
      <c r="B112" s="18" t="s">
        <v>47</v>
      </c>
      <c r="C112" s="18" t="s">
        <v>47</v>
      </c>
      <c r="D112" s="19" t="s">
        <v>237</v>
      </c>
      <c r="E112" s="19">
        <f>VLOOKUP(C:C,Courts!B:C,2,FALSE)</f>
        <v>18</v>
      </c>
      <c r="F112" s="19">
        <f>VLOOKUP(C:C,Courts!B:E,4,FALSE)</f>
        <v>0</v>
      </c>
      <c r="G112" s="19">
        <f>VLOOKUP(C:C,Courts!B:D,3,FALSE)</f>
        <v>0</v>
      </c>
      <c r="H112" s="19">
        <f>VLOOKUP(C:C,Courts!B:F,5,FALSE)</f>
        <v>18</v>
      </c>
      <c r="I112" s="18" t="s">
        <v>9</v>
      </c>
      <c r="J112" s="19">
        <f>VLOOKUP(C:C,TooliD!B:N,13,FALSE)</f>
        <v>18</v>
      </c>
      <c r="K112" s="18">
        <f>VLOOKUP(C:C,TooliD!B:M,12,FALSE)</f>
        <v>19</v>
      </c>
      <c r="L112" s="19">
        <f t="shared" si="19"/>
        <v>1</v>
      </c>
      <c r="M112" s="19" t="str">
        <f t="shared" si="12"/>
        <v>Surplus</v>
      </c>
      <c r="N112" s="18"/>
    </row>
    <row r="113" spans="1:14" x14ac:dyDescent="0.25">
      <c r="A113" s="19" t="s">
        <v>157</v>
      </c>
      <c r="B113" s="18" t="s">
        <v>47</v>
      </c>
      <c r="C113" s="18" t="s">
        <v>47</v>
      </c>
      <c r="D113" s="19" t="s">
        <v>237</v>
      </c>
      <c r="E113" s="19">
        <f>VLOOKUP(C:C,Courts!B:C,2,FALSE)</f>
        <v>18</v>
      </c>
      <c r="F113" s="19">
        <f>VLOOKUP(C:C,Courts!B:E,4,FALSE)</f>
        <v>0</v>
      </c>
      <c r="G113" s="19">
        <f>VLOOKUP(C:C,Courts!B:D,3,FALSE)</f>
        <v>0</v>
      </c>
      <c r="H113" s="19">
        <f>VLOOKUP(C:C,Courts!B:F,5,FALSE)</f>
        <v>18</v>
      </c>
      <c r="I113" s="18" t="s">
        <v>239</v>
      </c>
      <c r="J113" s="19">
        <f>VLOOKUP(C:C,TooliD!B:Q,16,FALSE)</f>
        <v>36</v>
      </c>
      <c r="K113" s="18">
        <f>VLOOKUP(C:C,TooliD!B:P,15,FALSE)</f>
        <v>41</v>
      </c>
      <c r="L113" s="19">
        <f t="shared" si="19"/>
        <v>5</v>
      </c>
      <c r="M113" s="19" t="str">
        <f t="shared" si="12"/>
        <v>Surplus</v>
      </c>
      <c r="N113" s="18"/>
    </row>
    <row r="114" spans="1:14" x14ac:dyDescent="0.25">
      <c r="A114" s="19" t="s">
        <v>157</v>
      </c>
      <c r="B114" s="18" t="s">
        <v>47</v>
      </c>
      <c r="C114" s="18" t="s">
        <v>47</v>
      </c>
      <c r="D114" s="19" t="s">
        <v>237</v>
      </c>
      <c r="E114" s="19">
        <f>VLOOKUP(C:C,Courts!B:C,2,FALSE)</f>
        <v>18</v>
      </c>
      <c r="F114" s="19">
        <f>VLOOKUP(C:C,Courts!B:E,4,FALSE)</f>
        <v>0</v>
      </c>
      <c r="G114" s="19">
        <f>VLOOKUP(C:C,Courts!B:D,3,FALSE)</f>
        <v>0</v>
      </c>
      <c r="H114" s="19">
        <f>VLOOKUP(C:C,Courts!B:F,5,FALSE)</f>
        <v>18</v>
      </c>
      <c r="I114" s="18" t="s">
        <v>11</v>
      </c>
      <c r="J114" s="19">
        <f>VLOOKUP(C:C,TooliD!B:T,19,FALSE)</f>
        <v>144</v>
      </c>
      <c r="K114" s="18">
        <f>VLOOKUP(C:C,TooliD!B:S,18,FALSE)</f>
        <v>144</v>
      </c>
      <c r="L114" s="19">
        <f t="shared" si="19"/>
        <v>0</v>
      </c>
      <c r="M114" s="19" t="str">
        <f t="shared" si="12"/>
        <v>OK</v>
      </c>
      <c r="N114" s="18"/>
    </row>
    <row r="115" spans="1:14" x14ac:dyDescent="0.25">
      <c r="A115" s="19" t="s">
        <v>157</v>
      </c>
      <c r="B115" s="18" t="s">
        <v>47</v>
      </c>
      <c r="C115" s="18" t="s">
        <v>47</v>
      </c>
      <c r="D115" s="19" t="s">
        <v>237</v>
      </c>
      <c r="E115" s="19">
        <f>VLOOKUP(C:C,Courts!B:C,2,FALSE)</f>
        <v>18</v>
      </c>
      <c r="F115" s="19">
        <f>VLOOKUP(C:C,Courts!B:E,4,FALSE)</f>
        <v>0</v>
      </c>
      <c r="G115" s="19">
        <f>VLOOKUP(C:C,Courts!B:D,3,FALSE)</f>
        <v>0</v>
      </c>
      <c r="H115" s="19">
        <f>VLOOKUP(C:C,Courts!B:F,5,FALSE)</f>
        <v>18</v>
      </c>
      <c r="I115" s="18" t="s">
        <v>212</v>
      </c>
      <c r="J115" s="19">
        <f>VLOOKUP(C:C,TooliD!B:W,22,FALSE)</f>
        <v>18</v>
      </c>
      <c r="K115" s="18">
        <f>VLOOKUP(C:C,TooliD!B:V,21,FALSE)</f>
        <v>19</v>
      </c>
      <c r="L115" s="19">
        <f t="shared" si="19"/>
        <v>1</v>
      </c>
      <c r="M115" s="19" t="str">
        <f t="shared" si="12"/>
        <v>Surplus</v>
      </c>
      <c r="N115" s="18"/>
    </row>
    <row r="116" spans="1:14" x14ac:dyDescent="0.25">
      <c r="A116" s="19" t="s">
        <v>157</v>
      </c>
      <c r="B116" s="18" t="s">
        <v>47</v>
      </c>
      <c r="C116" s="18" t="s">
        <v>48</v>
      </c>
      <c r="D116" s="19" t="s">
        <v>238</v>
      </c>
      <c r="E116" s="19">
        <f>VLOOKUP(C:C,Courts!B:C,2,FALSE)</f>
        <v>9</v>
      </c>
      <c r="F116" s="19">
        <f>VLOOKUP(C:C,Courts!B:E,4,FALSE)</f>
        <v>1</v>
      </c>
      <c r="G116" s="19">
        <f>VLOOKUP(C:C,Courts!B:D,3,FALSE)</f>
        <v>0</v>
      </c>
      <c r="H116" s="19">
        <f>VLOOKUP(C:C,Courts!B:F,5,FALSE)</f>
        <v>10</v>
      </c>
      <c r="I116" s="18" t="s">
        <v>7</v>
      </c>
      <c r="J116" s="19">
        <f>VLOOKUP(C:C,TooliD!B:H,7,FALSE)</f>
        <v>10</v>
      </c>
      <c r="K116" s="19">
        <f>VLOOKUP(C:C,TooliD!B:G,6,FALSE)</f>
        <v>13</v>
      </c>
      <c r="L116" s="19">
        <f>K116-J116</f>
        <v>3</v>
      </c>
      <c r="M116" s="19" t="str">
        <f>IF(L116=0,"OK", IF(L116&gt;0,"Surplus","Shortfall"))</f>
        <v>Surplus</v>
      </c>
      <c r="N116" s="18"/>
    </row>
    <row r="117" spans="1:14" x14ac:dyDescent="0.25">
      <c r="A117" s="19" t="s">
        <v>157</v>
      </c>
      <c r="B117" s="18" t="s">
        <v>47</v>
      </c>
      <c r="C117" s="18" t="s">
        <v>48</v>
      </c>
      <c r="D117" s="19" t="s">
        <v>238</v>
      </c>
      <c r="E117" s="19">
        <f>VLOOKUP(C:C,Courts!B:C,2,FALSE)</f>
        <v>9</v>
      </c>
      <c r="F117" s="19">
        <f>VLOOKUP(C:C,Courts!B:E,4,FALSE)</f>
        <v>1</v>
      </c>
      <c r="G117" s="19">
        <f>VLOOKUP(C:C,Courts!B:D,3,FALSE)</f>
        <v>0</v>
      </c>
      <c r="H117" s="19">
        <f>VLOOKUP(C:C,Courts!B:F,5,FALSE)</f>
        <v>10</v>
      </c>
      <c r="I117" s="18" t="s">
        <v>241</v>
      </c>
      <c r="J117" s="19">
        <f>VLOOKUP(C:C,TooliD!B:K,7,FALSE)</f>
        <v>10</v>
      </c>
      <c r="K117" s="19">
        <f>VLOOKUP(C:C,TooliD!B:J,9,FALSE)</f>
        <v>11</v>
      </c>
      <c r="L117" s="19">
        <f t="shared" ref="L117:L121" si="20">K117-J117</f>
        <v>1</v>
      </c>
      <c r="M117" s="19" t="str">
        <f t="shared" si="12"/>
        <v>Surplus</v>
      </c>
      <c r="N117" s="18"/>
    </row>
    <row r="118" spans="1:14" x14ac:dyDescent="0.25">
      <c r="A118" s="19" t="s">
        <v>157</v>
      </c>
      <c r="B118" s="18" t="s">
        <v>47</v>
      </c>
      <c r="C118" s="18" t="s">
        <v>48</v>
      </c>
      <c r="D118" s="19" t="s">
        <v>238</v>
      </c>
      <c r="E118" s="19">
        <f>VLOOKUP(C:C,Courts!B:C,2,FALSE)</f>
        <v>9</v>
      </c>
      <c r="F118" s="19">
        <f>VLOOKUP(C:C,Courts!B:E,4,FALSE)</f>
        <v>1</v>
      </c>
      <c r="G118" s="19">
        <f>VLOOKUP(C:C,Courts!B:D,3,FALSE)</f>
        <v>0</v>
      </c>
      <c r="H118" s="19">
        <f>VLOOKUP(C:C,Courts!B:F,5,FALSE)</f>
        <v>10</v>
      </c>
      <c r="I118" s="18" t="s">
        <v>9</v>
      </c>
      <c r="J118" s="19">
        <f>VLOOKUP(C:C,TooliD!B:N,13,FALSE)</f>
        <v>10</v>
      </c>
      <c r="K118" s="18">
        <f>VLOOKUP(C:C,TooliD!B:M,12,FALSE)</f>
        <v>10</v>
      </c>
      <c r="L118" s="19">
        <f t="shared" si="20"/>
        <v>0</v>
      </c>
      <c r="M118" s="19" t="str">
        <f t="shared" si="12"/>
        <v>OK</v>
      </c>
      <c r="N118" s="18"/>
    </row>
    <row r="119" spans="1:14" x14ac:dyDescent="0.25">
      <c r="A119" s="19" t="s">
        <v>157</v>
      </c>
      <c r="B119" s="18" t="s">
        <v>47</v>
      </c>
      <c r="C119" s="18" t="s">
        <v>48</v>
      </c>
      <c r="D119" s="19" t="s">
        <v>238</v>
      </c>
      <c r="E119" s="19">
        <f>VLOOKUP(C:C,Courts!B:C,2,FALSE)</f>
        <v>9</v>
      </c>
      <c r="F119" s="19">
        <f>VLOOKUP(C:C,Courts!B:E,4,FALSE)</f>
        <v>1</v>
      </c>
      <c r="G119" s="19">
        <f>VLOOKUP(C:C,Courts!B:D,3,FALSE)</f>
        <v>0</v>
      </c>
      <c r="H119" s="19">
        <f>VLOOKUP(C:C,Courts!B:F,5,FALSE)</f>
        <v>10</v>
      </c>
      <c r="I119" s="18" t="s">
        <v>239</v>
      </c>
      <c r="J119" s="19">
        <f>VLOOKUP(C:C,TooliD!B:Q,16,FALSE)</f>
        <v>18</v>
      </c>
      <c r="K119" s="18">
        <f>VLOOKUP(C:C,TooliD!B:P,15,FALSE)</f>
        <v>19</v>
      </c>
      <c r="L119" s="19">
        <f t="shared" si="20"/>
        <v>1</v>
      </c>
      <c r="M119" s="19" t="str">
        <f t="shared" si="12"/>
        <v>Surplus</v>
      </c>
      <c r="N119" s="18"/>
    </row>
    <row r="120" spans="1:14" x14ac:dyDescent="0.25">
      <c r="A120" s="19" t="s">
        <v>157</v>
      </c>
      <c r="B120" s="18" t="s">
        <v>47</v>
      </c>
      <c r="C120" s="18" t="s">
        <v>48</v>
      </c>
      <c r="D120" s="19" t="s">
        <v>238</v>
      </c>
      <c r="E120" s="19">
        <f>VLOOKUP(C:C,Courts!B:C,2,FALSE)</f>
        <v>9</v>
      </c>
      <c r="F120" s="19">
        <f>VLOOKUP(C:C,Courts!B:E,4,FALSE)</f>
        <v>1</v>
      </c>
      <c r="G120" s="19">
        <f>VLOOKUP(C:C,Courts!B:D,3,FALSE)</f>
        <v>0</v>
      </c>
      <c r="H120" s="19">
        <f>VLOOKUP(C:C,Courts!B:F,5,FALSE)</f>
        <v>10</v>
      </c>
      <c r="I120" s="18" t="s">
        <v>11</v>
      </c>
      <c r="J120" s="19">
        <f>VLOOKUP(C:C,TooliD!B:T,19,FALSE)</f>
        <v>76</v>
      </c>
      <c r="K120" s="18">
        <f>VLOOKUP(C:C,TooliD!B:S,18,FALSE)</f>
        <v>84</v>
      </c>
      <c r="L120" s="19">
        <f t="shared" si="20"/>
        <v>8</v>
      </c>
      <c r="M120" s="19" t="str">
        <f t="shared" si="12"/>
        <v>Surplus</v>
      </c>
      <c r="N120" s="18"/>
    </row>
    <row r="121" spans="1:14" x14ac:dyDescent="0.25">
      <c r="A121" s="19" t="s">
        <v>157</v>
      </c>
      <c r="B121" s="18" t="s">
        <v>47</v>
      </c>
      <c r="C121" s="18" t="s">
        <v>48</v>
      </c>
      <c r="D121" s="19" t="s">
        <v>238</v>
      </c>
      <c r="E121" s="19">
        <f>VLOOKUP(C:C,Courts!B:C,2,FALSE)</f>
        <v>9</v>
      </c>
      <c r="F121" s="19">
        <f>VLOOKUP(C:C,Courts!B:E,4,FALSE)</f>
        <v>1</v>
      </c>
      <c r="G121" s="19">
        <f>VLOOKUP(C:C,Courts!B:D,3,FALSE)</f>
        <v>0</v>
      </c>
      <c r="H121" s="19">
        <f>VLOOKUP(C:C,Courts!B:F,5,FALSE)</f>
        <v>10</v>
      </c>
      <c r="I121" s="18" t="s">
        <v>212</v>
      </c>
      <c r="J121" s="19">
        <f>VLOOKUP(C:C,TooliD!B:W,22,FALSE)</f>
        <v>10</v>
      </c>
      <c r="K121" s="18">
        <f>VLOOKUP(C:C,TooliD!B:V,21,FALSE)</f>
        <v>9</v>
      </c>
      <c r="L121" s="19">
        <f t="shared" si="20"/>
        <v>-1</v>
      </c>
      <c r="M121" s="19" t="str">
        <f t="shared" si="12"/>
        <v>Shortfall</v>
      </c>
      <c r="N121" s="18"/>
    </row>
    <row r="122" spans="1:14" x14ac:dyDescent="0.25">
      <c r="A122" s="19" t="s">
        <v>157</v>
      </c>
      <c r="B122" s="18" t="s">
        <v>49</v>
      </c>
      <c r="C122" s="18" t="s">
        <v>49</v>
      </c>
      <c r="D122" s="19" t="s">
        <v>237</v>
      </c>
      <c r="E122" s="19">
        <f>VLOOKUP(C:C,Courts!B:C,2,FALSE)</f>
        <v>19</v>
      </c>
      <c r="F122" s="19">
        <f>VLOOKUP(C:C,Courts!B:E,4,FALSE)</f>
        <v>0</v>
      </c>
      <c r="G122" s="19">
        <f>VLOOKUP(C:C,Courts!B:D,3,FALSE)</f>
        <v>0</v>
      </c>
      <c r="H122" s="19">
        <f>VLOOKUP(C:C,Courts!B:F,5,FALSE)</f>
        <v>19</v>
      </c>
      <c r="I122" s="18" t="s">
        <v>7</v>
      </c>
      <c r="J122" s="19">
        <f>VLOOKUP(C:C,TooliD!B:H,7,FALSE)</f>
        <v>19</v>
      </c>
      <c r="K122" s="19">
        <f>VLOOKUP(C:C,TooliD!B:G,6,FALSE)</f>
        <v>22</v>
      </c>
      <c r="L122" s="19">
        <f>K122-J122</f>
        <v>3</v>
      </c>
      <c r="M122" s="19" t="str">
        <f>IF(L122=0,"OK", IF(L122&gt;0,"Surplus","Shortfall"))</f>
        <v>Surplus</v>
      </c>
      <c r="N122" s="18"/>
    </row>
    <row r="123" spans="1:14" x14ac:dyDescent="0.25">
      <c r="A123" s="19" t="s">
        <v>157</v>
      </c>
      <c r="B123" s="18" t="s">
        <v>49</v>
      </c>
      <c r="C123" s="18" t="s">
        <v>49</v>
      </c>
      <c r="D123" s="19" t="s">
        <v>237</v>
      </c>
      <c r="E123" s="19">
        <f>VLOOKUP(C:C,Courts!B:C,2,FALSE)</f>
        <v>19</v>
      </c>
      <c r="F123" s="19">
        <f>VLOOKUP(C:C,Courts!B:E,4,FALSE)</f>
        <v>0</v>
      </c>
      <c r="G123" s="19">
        <f>VLOOKUP(C:C,Courts!B:D,3,FALSE)</f>
        <v>0</v>
      </c>
      <c r="H123" s="19">
        <f>VLOOKUP(C:C,Courts!B:F,5,FALSE)</f>
        <v>19</v>
      </c>
      <c r="I123" s="18" t="s">
        <v>241</v>
      </c>
      <c r="J123" s="19">
        <f>VLOOKUP(C:C,TooliD!B:K,7,FALSE)</f>
        <v>19</v>
      </c>
      <c r="K123" s="19">
        <f>VLOOKUP(C:C,TooliD!B:J,9,FALSE)</f>
        <v>18</v>
      </c>
      <c r="L123" s="19">
        <f t="shared" ref="L123:L127" si="21">K123-J123</f>
        <v>-1</v>
      </c>
      <c r="M123" s="19" t="str">
        <f t="shared" si="12"/>
        <v>Shortfall</v>
      </c>
      <c r="N123" s="18"/>
    </row>
    <row r="124" spans="1:14" x14ac:dyDescent="0.25">
      <c r="A124" s="19" t="s">
        <v>157</v>
      </c>
      <c r="B124" s="18" t="s">
        <v>49</v>
      </c>
      <c r="C124" s="18" t="s">
        <v>49</v>
      </c>
      <c r="D124" s="19" t="s">
        <v>237</v>
      </c>
      <c r="E124" s="19">
        <f>VLOOKUP(C:C,Courts!B:C,2,FALSE)</f>
        <v>19</v>
      </c>
      <c r="F124" s="19">
        <f>VLOOKUP(C:C,Courts!B:E,4,FALSE)</f>
        <v>0</v>
      </c>
      <c r="G124" s="19">
        <f>VLOOKUP(C:C,Courts!B:D,3,FALSE)</f>
        <v>0</v>
      </c>
      <c r="H124" s="19">
        <f>VLOOKUP(C:C,Courts!B:F,5,FALSE)</f>
        <v>19</v>
      </c>
      <c r="I124" s="18" t="s">
        <v>9</v>
      </c>
      <c r="J124" s="19">
        <f>VLOOKUP(C:C,TooliD!B:N,13,FALSE)</f>
        <v>19</v>
      </c>
      <c r="K124" s="18">
        <f>VLOOKUP(C:C,TooliD!B:M,12,FALSE)</f>
        <v>21</v>
      </c>
      <c r="L124" s="19">
        <f t="shared" si="21"/>
        <v>2</v>
      </c>
      <c r="M124" s="19" t="str">
        <f t="shared" si="12"/>
        <v>Surplus</v>
      </c>
      <c r="N124" s="18"/>
    </row>
    <row r="125" spans="1:14" x14ac:dyDescent="0.25">
      <c r="A125" s="19" t="s">
        <v>157</v>
      </c>
      <c r="B125" s="18" t="s">
        <v>49</v>
      </c>
      <c r="C125" s="18" t="s">
        <v>49</v>
      </c>
      <c r="D125" s="19" t="s">
        <v>237</v>
      </c>
      <c r="E125" s="19">
        <f>VLOOKUP(C:C,Courts!B:C,2,FALSE)</f>
        <v>19</v>
      </c>
      <c r="F125" s="19">
        <f>VLOOKUP(C:C,Courts!B:E,4,FALSE)</f>
        <v>0</v>
      </c>
      <c r="G125" s="19">
        <f>VLOOKUP(C:C,Courts!B:D,3,FALSE)</f>
        <v>0</v>
      </c>
      <c r="H125" s="19">
        <f>VLOOKUP(C:C,Courts!B:F,5,FALSE)</f>
        <v>19</v>
      </c>
      <c r="I125" s="18" t="s">
        <v>239</v>
      </c>
      <c r="J125" s="19">
        <f>VLOOKUP(C:C,TooliD!B:Q,16,FALSE)</f>
        <v>38</v>
      </c>
      <c r="K125" s="18">
        <f>VLOOKUP(C:C,TooliD!B:P,15,FALSE)</f>
        <v>42</v>
      </c>
      <c r="L125" s="19">
        <f t="shared" si="21"/>
        <v>4</v>
      </c>
      <c r="M125" s="19" t="str">
        <f t="shared" si="12"/>
        <v>Surplus</v>
      </c>
      <c r="N125" s="18"/>
    </row>
    <row r="126" spans="1:14" x14ac:dyDescent="0.25">
      <c r="A126" s="19" t="s">
        <v>157</v>
      </c>
      <c r="B126" s="18" t="s">
        <v>49</v>
      </c>
      <c r="C126" s="18" t="s">
        <v>49</v>
      </c>
      <c r="D126" s="19" t="s">
        <v>237</v>
      </c>
      <c r="E126" s="19">
        <f>VLOOKUP(C:C,Courts!B:C,2,FALSE)</f>
        <v>19</v>
      </c>
      <c r="F126" s="19">
        <f>VLOOKUP(C:C,Courts!B:E,4,FALSE)</f>
        <v>0</v>
      </c>
      <c r="G126" s="19">
        <f>VLOOKUP(C:C,Courts!B:D,3,FALSE)</f>
        <v>0</v>
      </c>
      <c r="H126" s="19">
        <f>VLOOKUP(C:C,Courts!B:F,5,FALSE)</f>
        <v>19</v>
      </c>
      <c r="I126" s="18" t="s">
        <v>11</v>
      </c>
      <c r="J126" s="19">
        <f>VLOOKUP(C:C,TooliD!B:T,19,FALSE)</f>
        <v>152</v>
      </c>
      <c r="K126" s="18">
        <f>VLOOKUP(C:C,TooliD!B:S,18,FALSE)</f>
        <v>136</v>
      </c>
      <c r="L126" s="19">
        <f t="shared" si="21"/>
        <v>-16</v>
      </c>
      <c r="M126" s="19" t="str">
        <f t="shared" si="12"/>
        <v>Shortfall</v>
      </c>
      <c r="N126" s="18"/>
    </row>
    <row r="127" spans="1:14" x14ac:dyDescent="0.25">
      <c r="A127" s="19" t="s">
        <v>157</v>
      </c>
      <c r="B127" s="18" t="s">
        <v>49</v>
      </c>
      <c r="C127" s="18" t="s">
        <v>49</v>
      </c>
      <c r="D127" s="19" t="s">
        <v>237</v>
      </c>
      <c r="E127" s="19">
        <f>VLOOKUP(C:C,Courts!B:C,2,FALSE)</f>
        <v>19</v>
      </c>
      <c r="F127" s="19">
        <f>VLOOKUP(C:C,Courts!B:E,4,FALSE)</f>
        <v>0</v>
      </c>
      <c r="G127" s="19">
        <f>VLOOKUP(C:C,Courts!B:D,3,FALSE)</f>
        <v>0</v>
      </c>
      <c r="H127" s="19">
        <f>VLOOKUP(C:C,Courts!B:F,5,FALSE)</f>
        <v>19</v>
      </c>
      <c r="I127" s="18" t="s">
        <v>212</v>
      </c>
      <c r="J127" s="19">
        <f>VLOOKUP(C:C,TooliD!B:W,22,FALSE)</f>
        <v>19</v>
      </c>
      <c r="K127" s="18">
        <f>VLOOKUP(C:C,TooliD!B:V,21,FALSE)</f>
        <v>18</v>
      </c>
      <c r="L127" s="19">
        <f t="shared" si="21"/>
        <v>-1</v>
      </c>
      <c r="M127" s="19" t="str">
        <f t="shared" si="12"/>
        <v>Shortfall</v>
      </c>
      <c r="N127" s="18"/>
    </row>
    <row r="128" spans="1:14" x14ac:dyDescent="0.25">
      <c r="A128" s="19" t="s">
        <v>157</v>
      </c>
      <c r="B128" s="18" t="s">
        <v>49</v>
      </c>
      <c r="C128" s="18" t="s">
        <v>50</v>
      </c>
      <c r="D128" s="19" t="s">
        <v>238</v>
      </c>
      <c r="E128" s="19">
        <f>VLOOKUP(C:C,Courts!B:C,2,FALSE)</f>
        <v>4</v>
      </c>
      <c r="F128" s="19">
        <f>VLOOKUP(C:C,Courts!B:E,4,FALSE)</f>
        <v>1</v>
      </c>
      <c r="G128" s="19">
        <f>VLOOKUP(C:C,Courts!B:D,3,FALSE)</f>
        <v>0</v>
      </c>
      <c r="H128" s="19">
        <f>VLOOKUP(C:C,Courts!B:F,5,FALSE)</f>
        <v>5</v>
      </c>
      <c r="I128" s="18" t="s">
        <v>7</v>
      </c>
      <c r="J128" s="19">
        <f>VLOOKUP(C:C,TooliD!B:H,7,FALSE)</f>
        <v>5</v>
      </c>
      <c r="K128" s="19">
        <f>VLOOKUP(C:C,TooliD!B:G,6,FALSE)</f>
        <v>6</v>
      </c>
      <c r="L128" s="19">
        <f>K128-J128</f>
        <v>1</v>
      </c>
      <c r="M128" s="19" t="str">
        <f>IF(L128=0,"OK", IF(L128&gt;0,"Surplus","Shortfall"))</f>
        <v>Surplus</v>
      </c>
      <c r="N128" s="18"/>
    </row>
    <row r="129" spans="1:14" x14ac:dyDescent="0.25">
      <c r="A129" s="19" t="s">
        <v>157</v>
      </c>
      <c r="B129" s="18" t="s">
        <v>49</v>
      </c>
      <c r="C129" s="18" t="s">
        <v>50</v>
      </c>
      <c r="D129" s="19" t="s">
        <v>238</v>
      </c>
      <c r="E129" s="19">
        <f>VLOOKUP(C:C,Courts!B:C,2,FALSE)</f>
        <v>4</v>
      </c>
      <c r="F129" s="19">
        <f>VLOOKUP(C:C,Courts!B:E,4,FALSE)</f>
        <v>1</v>
      </c>
      <c r="G129" s="19">
        <f>VLOOKUP(C:C,Courts!B:D,3,FALSE)</f>
        <v>0</v>
      </c>
      <c r="H129" s="19">
        <f>VLOOKUP(C:C,Courts!B:F,5,FALSE)</f>
        <v>5</v>
      </c>
      <c r="I129" s="18" t="s">
        <v>241</v>
      </c>
      <c r="J129" s="19">
        <f>VLOOKUP(C:C,TooliD!B:K,7,FALSE)</f>
        <v>5</v>
      </c>
      <c r="K129" s="19">
        <f>VLOOKUP(C:C,TooliD!B:J,9,FALSE)</f>
        <v>6</v>
      </c>
      <c r="L129" s="19">
        <f t="shared" ref="L129:L133" si="22">K129-J129</f>
        <v>1</v>
      </c>
      <c r="M129" s="19" t="str">
        <f t="shared" si="12"/>
        <v>Surplus</v>
      </c>
      <c r="N129" s="18"/>
    </row>
    <row r="130" spans="1:14" x14ac:dyDescent="0.25">
      <c r="A130" s="19" t="s">
        <v>157</v>
      </c>
      <c r="B130" s="18" t="s">
        <v>49</v>
      </c>
      <c r="C130" s="18" t="s">
        <v>50</v>
      </c>
      <c r="D130" s="19" t="s">
        <v>238</v>
      </c>
      <c r="E130" s="19">
        <f>VLOOKUP(C:C,Courts!B:C,2,FALSE)</f>
        <v>4</v>
      </c>
      <c r="F130" s="19">
        <f>VLOOKUP(C:C,Courts!B:E,4,FALSE)</f>
        <v>1</v>
      </c>
      <c r="G130" s="19">
        <f>VLOOKUP(C:C,Courts!B:D,3,FALSE)</f>
        <v>0</v>
      </c>
      <c r="H130" s="19">
        <f>VLOOKUP(C:C,Courts!B:F,5,FALSE)</f>
        <v>5</v>
      </c>
      <c r="I130" s="18" t="s">
        <v>9</v>
      </c>
      <c r="J130" s="19">
        <f>VLOOKUP(C:C,TooliD!B:N,13,FALSE)</f>
        <v>5</v>
      </c>
      <c r="K130" s="18">
        <f>VLOOKUP(C:C,TooliD!B:M,12,FALSE)</f>
        <v>5</v>
      </c>
      <c r="L130" s="19">
        <f t="shared" si="22"/>
        <v>0</v>
      </c>
      <c r="M130" s="19" t="str">
        <f t="shared" si="12"/>
        <v>OK</v>
      </c>
      <c r="N130" s="18"/>
    </row>
    <row r="131" spans="1:14" x14ac:dyDescent="0.25">
      <c r="A131" s="19" t="s">
        <v>157</v>
      </c>
      <c r="B131" s="18" t="s">
        <v>49</v>
      </c>
      <c r="C131" s="18" t="s">
        <v>50</v>
      </c>
      <c r="D131" s="19" t="s">
        <v>238</v>
      </c>
      <c r="E131" s="19">
        <f>VLOOKUP(C:C,Courts!B:C,2,FALSE)</f>
        <v>4</v>
      </c>
      <c r="F131" s="19">
        <f>VLOOKUP(C:C,Courts!B:E,4,FALSE)</f>
        <v>1</v>
      </c>
      <c r="G131" s="19">
        <f>VLOOKUP(C:C,Courts!B:D,3,FALSE)</f>
        <v>0</v>
      </c>
      <c r="H131" s="19">
        <f>VLOOKUP(C:C,Courts!B:F,5,FALSE)</f>
        <v>5</v>
      </c>
      <c r="I131" s="18" t="s">
        <v>239</v>
      </c>
      <c r="J131" s="19">
        <f>VLOOKUP(C:C,TooliD!B:Q,16,FALSE)</f>
        <v>8</v>
      </c>
      <c r="K131" s="18">
        <f>VLOOKUP(C:C,TooliD!B:P,15,FALSE)</f>
        <v>10</v>
      </c>
      <c r="L131" s="19">
        <f t="shared" si="22"/>
        <v>2</v>
      </c>
      <c r="M131" s="19" t="str">
        <f t="shared" si="12"/>
        <v>Surplus</v>
      </c>
      <c r="N131" s="18"/>
    </row>
    <row r="132" spans="1:14" x14ac:dyDescent="0.25">
      <c r="A132" s="19" t="s">
        <v>157</v>
      </c>
      <c r="B132" s="18" t="s">
        <v>49</v>
      </c>
      <c r="C132" s="18" t="s">
        <v>50</v>
      </c>
      <c r="D132" s="19" t="s">
        <v>238</v>
      </c>
      <c r="E132" s="19">
        <f>VLOOKUP(C:C,Courts!B:C,2,FALSE)</f>
        <v>4</v>
      </c>
      <c r="F132" s="19">
        <f>VLOOKUP(C:C,Courts!B:E,4,FALSE)</f>
        <v>1</v>
      </c>
      <c r="G132" s="19">
        <f>VLOOKUP(C:C,Courts!B:D,3,FALSE)</f>
        <v>0</v>
      </c>
      <c r="H132" s="19">
        <f>VLOOKUP(C:C,Courts!B:F,5,FALSE)</f>
        <v>5</v>
      </c>
      <c r="I132" s="18" t="s">
        <v>11</v>
      </c>
      <c r="J132" s="19">
        <f>VLOOKUP(C:C,TooliD!B:T,19,FALSE)</f>
        <v>36</v>
      </c>
      <c r="K132" s="18">
        <f>VLOOKUP(C:C,TooliD!B:S,18,FALSE)</f>
        <v>44</v>
      </c>
      <c r="L132" s="19">
        <f t="shared" si="22"/>
        <v>8</v>
      </c>
      <c r="M132" s="19" t="str">
        <f t="shared" si="12"/>
        <v>Surplus</v>
      </c>
      <c r="N132" s="18"/>
    </row>
    <row r="133" spans="1:14" x14ac:dyDescent="0.25">
      <c r="A133" s="19" t="s">
        <v>157</v>
      </c>
      <c r="B133" s="18" t="s">
        <v>49</v>
      </c>
      <c r="C133" s="18" t="s">
        <v>50</v>
      </c>
      <c r="D133" s="19" t="s">
        <v>238</v>
      </c>
      <c r="E133" s="19">
        <f>VLOOKUP(C:C,Courts!B:C,2,FALSE)</f>
        <v>4</v>
      </c>
      <c r="F133" s="19">
        <f>VLOOKUP(C:C,Courts!B:E,4,FALSE)</f>
        <v>1</v>
      </c>
      <c r="G133" s="19">
        <f>VLOOKUP(C:C,Courts!B:D,3,FALSE)</f>
        <v>0</v>
      </c>
      <c r="H133" s="19">
        <f>VLOOKUP(C:C,Courts!B:F,5,FALSE)</f>
        <v>5</v>
      </c>
      <c r="I133" s="18" t="s">
        <v>212</v>
      </c>
      <c r="J133" s="19">
        <f>VLOOKUP(C:C,TooliD!B:W,22,FALSE)</f>
        <v>5</v>
      </c>
      <c r="K133" s="18">
        <f>VLOOKUP(C:C,TooliD!B:V,21,FALSE)</f>
        <v>6</v>
      </c>
      <c r="L133" s="19">
        <f t="shared" si="22"/>
        <v>1</v>
      </c>
      <c r="M133" s="19" t="str">
        <f t="shared" ref="M133" si="23">IF(L133=0,"OK", IF(L133&gt;0,"Surplus","Shortfall"))</f>
        <v>Surplus</v>
      </c>
      <c r="N133" s="18"/>
    </row>
    <row r="134" spans="1:14" x14ac:dyDescent="0.25">
      <c r="A134" s="19" t="s">
        <v>157</v>
      </c>
      <c r="B134" s="18" t="s">
        <v>49</v>
      </c>
      <c r="C134" s="18" t="s">
        <v>51</v>
      </c>
      <c r="D134" s="19" t="s">
        <v>238</v>
      </c>
      <c r="E134" s="19">
        <f>VLOOKUP(C:C,Courts!B:C,2,FALSE)</f>
        <v>3</v>
      </c>
      <c r="F134" s="19">
        <f>VLOOKUP(C:C,Courts!B:E,4,FALSE)</f>
        <v>1</v>
      </c>
      <c r="G134" s="19">
        <f>VLOOKUP(C:C,Courts!B:D,3,FALSE)</f>
        <v>0</v>
      </c>
      <c r="H134" s="19">
        <f>VLOOKUP(C:C,Courts!B:F,5,FALSE)</f>
        <v>4</v>
      </c>
      <c r="I134" s="18" t="s">
        <v>7</v>
      </c>
      <c r="J134" s="19">
        <f>VLOOKUP(C:C,TooliD!B:H,7,FALSE)</f>
        <v>4</v>
      </c>
      <c r="K134" s="19">
        <f>VLOOKUP(C:C,TooliD!B:G,6,FALSE)</f>
        <v>5</v>
      </c>
      <c r="L134" s="19">
        <f>K134-J134</f>
        <v>1</v>
      </c>
      <c r="M134" s="19" t="str">
        <f>IF(L134=0,"OK", IF(L134&gt;0,"Surplus","Shortfall"))</f>
        <v>Surplus</v>
      </c>
      <c r="N134" s="18"/>
    </row>
    <row r="135" spans="1:14" x14ac:dyDescent="0.25">
      <c r="A135" s="19" t="s">
        <v>157</v>
      </c>
      <c r="B135" s="18" t="s">
        <v>49</v>
      </c>
      <c r="C135" s="18" t="s">
        <v>51</v>
      </c>
      <c r="D135" s="19" t="s">
        <v>238</v>
      </c>
      <c r="E135" s="19">
        <f>VLOOKUP(C:C,Courts!B:C,2,FALSE)</f>
        <v>3</v>
      </c>
      <c r="F135" s="19">
        <f>VLOOKUP(C:C,Courts!B:E,4,FALSE)</f>
        <v>1</v>
      </c>
      <c r="G135" s="19">
        <f>VLOOKUP(C:C,Courts!B:D,3,FALSE)</f>
        <v>0</v>
      </c>
      <c r="H135" s="19">
        <f>VLOOKUP(C:C,Courts!B:F,5,FALSE)</f>
        <v>4</v>
      </c>
      <c r="I135" s="18" t="s">
        <v>241</v>
      </c>
      <c r="J135" s="19">
        <f>VLOOKUP(C:C,TooliD!B:K,7,FALSE)</f>
        <v>4</v>
      </c>
      <c r="K135" s="19">
        <f>VLOOKUP(C:C,TooliD!B:J,9,FALSE)</f>
        <v>4</v>
      </c>
      <c r="L135" s="19">
        <f t="shared" ref="L135:L139" si="24">K135-J135</f>
        <v>0</v>
      </c>
      <c r="M135" s="19" t="str">
        <f t="shared" ref="M135:M198" si="25">IF(L135=0,"OK", IF(L135&gt;0,"Surplus","Shortfall"))</f>
        <v>OK</v>
      </c>
      <c r="N135" s="18"/>
    </row>
    <row r="136" spans="1:14" x14ac:dyDescent="0.25">
      <c r="A136" s="19" t="s">
        <v>157</v>
      </c>
      <c r="B136" s="18" t="s">
        <v>49</v>
      </c>
      <c r="C136" s="18" t="s">
        <v>51</v>
      </c>
      <c r="D136" s="19" t="s">
        <v>238</v>
      </c>
      <c r="E136" s="19">
        <f>VLOOKUP(C:C,Courts!B:C,2,FALSE)</f>
        <v>3</v>
      </c>
      <c r="F136" s="19">
        <f>VLOOKUP(C:C,Courts!B:E,4,FALSE)</f>
        <v>1</v>
      </c>
      <c r="G136" s="19">
        <f>VLOOKUP(C:C,Courts!B:D,3,FALSE)</f>
        <v>0</v>
      </c>
      <c r="H136" s="19">
        <f>VLOOKUP(C:C,Courts!B:F,5,FALSE)</f>
        <v>4</v>
      </c>
      <c r="I136" s="18" t="s">
        <v>9</v>
      </c>
      <c r="J136" s="19">
        <f>VLOOKUP(C:C,TooliD!B:N,13,FALSE)</f>
        <v>4</v>
      </c>
      <c r="K136" s="18">
        <f>VLOOKUP(C:C,TooliD!B:M,12,FALSE)</f>
        <v>5</v>
      </c>
      <c r="L136" s="19">
        <f t="shared" si="24"/>
        <v>1</v>
      </c>
      <c r="M136" s="19" t="str">
        <f t="shared" si="25"/>
        <v>Surplus</v>
      </c>
      <c r="N136" s="18"/>
    </row>
    <row r="137" spans="1:14" x14ac:dyDescent="0.25">
      <c r="A137" s="19" t="s">
        <v>157</v>
      </c>
      <c r="B137" s="18" t="s">
        <v>49</v>
      </c>
      <c r="C137" s="18" t="s">
        <v>51</v>
      </c>
      <c r="D137" s="19" t="s">
        <v>238</v>
      </c>
      <c r="E137" s="19">
        <f>VLOOKUP(C:C,Courts!B:C,2,FALSE)</f>
        <v>3</v>
      </c>
      <c r="F137" s="19">
        <f>VLOOKUP(C:C,Courts!B:E,4,FALSE)</f>
        <v>1</v>
      </c>
      <c r="G137" s="19">
        <f>VLOOKUP(C:C,Courts!B:D,3,FALSE)</f>
        <v>0</v>
      </c>
      <c r="H137" s="19">
        <f>VLOOKUP(C:C,Courts!B:F,5,FALSE)</f>
        <v>4</v>
      </c>
      <c r="I137" s="18" t="s">
        <v>239</v>
      </c>
      <c r="J137" s="19">
        <f>VLOOKUP(C:C,TooliD!B:Q,16,FALSE)</f>
        <v>6</v>
      </c>
      <c r="K137" s="18">
        <f>VLOOKUP(C:C,TooliD!B:P,15,FALSE)</f>
        <v>8</v>
      </c>
      <c r="L137" s="19">
        <f t="shared" si="24"/>
        <v>2</v>
      </c>
      <c r="M137" s="19" t="str">
        <f t="shared" si="25"/>
        <v>Surplus</v>
      </c>
      <c r="N137" s="18"/>
    </row>
    <row r="138" spans="1:14" x14ac:dyDescent="0.25">
      <c r="A138" s="19" t="s">
        <v>157</v>
      </c>
      <c r="B138" s="18" t="s">
        <v>49</v>
      </c>
      <c r="C138" s="18" t="s">
        <v>51</v>
      </c>
      <c r="D138" s="19" t="s">
        <v>238</v>
      </c>
      <c r="E138" s="19">
        <f>VLOOKUP(C:C,Courts!B:C,2,FALSE)</f>
        <v>3</v>
      </c>
      <c r="F138" s="19">
        <f>VLOOKUP(C:C,Courts!B:E,4,FALSE)</f>
        <v>1</v>
      </c>
      <c r="G138" s="19">
        <f>VLOOKUP(C:C,Courts!B:D,3,FALSE)</f>
        <v>0</v>
      </c>
      <c r="H138" s="19">
        <f>VLOOKUP(C:C,Courts!B:F,5,FALSE)</f>
        <v>4</v>
      </c>
      <c r="I138" s="18" t="s">
        <v>11</v>
      </c>
      <c r="J138" s="19">
        <f>VLOOKUP(C:C,TooliD!B:T,19,FALSE)</f>
        <v>28</v>
      </c>
      <c r="K138" s="18">
        <f>VLOOKUP(C:C,TooliD!B:S,18,FALSE)</f>
        <v>28</v>
      </c>
      <c r="L138" s="19">
        <f t="shared" si="24"/>
        <v>0</v>
      </c>
      <c r="M138" s="19" t="str">
        <f t="shared" si="25"/>
        <v>OK</v>
      </c>
      <c r="N138" s="18"/>
    </row>
    <row r="139" spans="1:14" x14ac:dyDescent="0.25">
      <c r="A139" s="19" t="s">
        <v>157</v>
      </c>
      <c r="B139" s="18" t="s">
        <v>49</v>
      </c>
      <c r="C139" s="18" t="s">
        <v>51</v>
      </c>
      <c r="D139" s="19" t="s">
        <v>238</v>
      </c>
      <c r="E139" s="19">
        <f>VLOOKUP(C:C,Courts!B:C,2,FALSE)</f>
        <v>3</v>
      </c>
      <c r="F139" s="19">
        <f>VLOOKUP(C:C,Courts!B:E,4,FALSE)</f>
        <v>1</v>
      </c>
      <c r="G139" s="19">
        <f>VLOOKUP(C:C,Courts!B:D,3,FALSE)</f>
        <v>0</v>
      </c>
      <c r="H139" s="19">
        <f>VLOOKUP(C:C,Courts!B:F,5,FALSE)</f>
        <v>4</v>
      </c>
      <c r="I139" s="18" t="s">
        <v>212</v>
      </c>
      <c r="J139" s="19">
        <f>VLOOKUP(C:C,TooliD!B:W,22,FALSE)</f>
        <v>4</v>
      </c>
      <c r="K139" s="18">
        <f>VLOOKUP(C:C,TooliD!B:V,21,FALSE)</f>
        <v>4</v>
      </c>
      <c r="L139" s="19">
        <f t="shared" si="24"/>
        <v>0</v>
      </c>
      <c r="M139" s="19" t="str">
        <f t="shared" si="25"/>
        <v>OK</v>
      </c>
      <c r="N139" s="18"/>
    </row>
    <row r="140" spans="1:14" x14ac:dyDescent="0.25">
      <c r="A140" s="19" t="s">
        <v>157</v>
      </c>
      <c r="B140" s="18" t="s">
        <v>49</v>
      </c>
      <c r="C140" s="18" t="s">
        <v>52</v>
      </c>
      <c r="D140" s="19" t="s">
        <v>238</v>
      </c>
      <c r="E140" s="19">
        <f>VLOOKUP(C:C,Courts!B:C,2,FALSE)</f>
        <v>3</v>
      </c>
      <c r="F140" s="19">
        <f>VLOOKUP(C:C,Courts!B:E,4,FALSE)</f>
        <v>1</v>
      </c>
      <c r="G140" s="19">
        <f>VLOOKUP(C:C,Courts!B:D,3,FALSE)</f>
        <v>0</v>
      </c>
      <c r="H140" s="19">
        <f>VLOOKUP(C:C,Courts!B:F,5,FALSE)</f>
        <v>4</v>
      </c>
      <c r="I140" s="18" t="s">
        <v>7</v>
      </c>
      <c r="J140" s="19">
        <f>VLOOKUP(C:C,TooliD!B:H,7,FALSE)</f>
        <v>4</v>
      </c>
      <c r="K140" s="19">
        <f>VLOOKUP(C:C,TooliD!B:G,6,FALSE)</f>
        <v>4</v>
      </c>
      <c r="L140" s="19">
        <f>K140-J140</f>
        <v>0</v>
      </c>
      <c r="M140" s="19" t="str">
        <f>IF(L140=0,"OK", IF(L140&gt;0,"Surplus","Shortfall"))</f>
        <v>OK</v>
      </c>
      <c r="N140" s="18"/>
    </row>
    <row r="141" spans="1:14" x14ac:dyDescent="0.25">
      <c r="A141" s="19" t="s">
        <v>157</v>
      </c>
      <c r="B141" s="18" t="s">
        <v>49</v>
      </c>
      <c r="C141" s="18" t="s">
        <v>52</v>
      </c>
      <c r="D141" s="19" t="s">
        <v>238</v>
      </c>
      <c r="E141" s="19">
        <f>VLOOKUP(C:C,Courts!B:C,2,FALSE)</f>
        <v>3</v>
      </c>
      <c r="F141" s="19">
        <f>VLOOKUP(C:C,Courts!B:E,4,FALSE)</f>
        <v>1</v>
      </c>
      <c r="G141" s="19">
        <f>VLOOKUP(C:C,Courts!B:D,3,FALSE)</f>
        <v>0</v>
      </c>
      <c r="H141" s="19">
        <f>VLOOKUP(C:C,Courts!B:F,5,FALSE)</f>
        <v>4</v>
      </c>
      <c r="I141" s="18" t="s">
        <v>241</v>
      </c>
      <c r="J141" s="19">
        <f>VLOOKUP(C:C,TooliD!B:K,7,FALSE)</f>
        <v>4</v>
      </c>
      <c r="K141" s="19">
        <f>VLOOKUP(C:C,TooliD!B:J,9,FALSE)</f>
        <v>4</v>
      </c>
      <c r="L141" s="19">
        <f t="shared" ref="L141:L145" si="26">K141-J141</f>
        <v>0</v>
      </c>
      <c r="M141" s="19" t="str">
        <f t="shared" si="25"/>
        <v>OK</v>
      </c>
      <c r="N141" s="18"/>
    </row>
    <row r="142" spans="1:14" x14ac:dyDescent="0.25">
      <c r="A142" s="19" t="s">
        <v>157</v>
      </c>
      <c r="B142" s="18" t="s">
        <v>49</v>
      </c>
      <c r="C142" s="18" t="s">
        <v>52</v>
      </c>
      <c r="D142" s="19" t="s">
        <v>238</v>
      </c>
      <c r="E142" s="19">
        <f>VLOOKUP(C:C,Courts!B:C,2,FALSE)</f>
        <v>3</v>
      </c>
      <c r="F142" s="19">
        <f>VLOOKUP(C:C,Courts!B:E,4,FALSE)</f>
        <v>1</v>
      </c>
      <c r="G142" s="19">
        <f>VLOOKUP(C:C,Courts!B:D,3,FALSE)</f>
        <v>0</v>
      </c>
      <c r="H142" s="19">
        <f>VLOOKUP(C:C,Courts!B:F,5,FALSE)</f>
        <v>4</v>
      </c>
      <c r="I142" s="18" t="s">
        <v>9</v>
      </c>
      <c r="J142" s="19">
        <f>VLOOKUP(C:C,TooliD!B:N,13,FALSE)</f>
        <v>4</v>
      </c>
      <c r="K142" s="18">
        <f>VLOOKUP(C:C,TooliD!B:M,12,FALSE)</f>
        <v>4</v>
      </c>
      <c r="L142" s="19">
        <f t="shared" si="26"/>
        <v>0</v>
      </c>
      <c r="M142" s="19" t="str">
        <f t="shared" si="25"/>
        <v>OK</v>
      </c>
      <c r="N142" s="18"/>
    </row>
    <row r="143" spans="1:14" x14ac:dyDescent="0.25">
      <c r="A143" s="19" t="s">
        <v>157</v>
      </c>
      <c r="B143" s="18" t="s">
        <v>49</v>
      </c>
      <c r="C143" s="18" t="s">
        <v>52</v>
      </c>
      <c r="D143" s="19" t="s">
        <v>238</v>
      </c>
      <c r="E143" s="19">
        <f>VLOOKUP(C:C,Courts!B:C,2,FALSE)</f>
        <v>3</v>
      </c>
      <c r="F143" s="19">
        <f>VLOOKUP(C:C,Courts!B:E,4,FALSE)</f>
        <v>1</v>
      </c>
      <c r="G143" s="19">
        <f>VLOOKUP(C:C,Courts!B:D,3,FALSE)</f>
        <v>0</v>
      </c>
      <c r="H143" s="19">
        <f>VLOOKUP(C:C,Courts!B:F,5,FALSE)</f>
        <v>4</v>
      </c>
      <c r="I143" s="18" t="s">
        <v>239</v>
      </c>
      <c r="J143" s="19">
        <f>VLOOKUP(C:C,TooliD!B:Q,16,FALSE)</f>
        <v>6</v>
      </c>
      <c r="K143" s="18">
        <f>VLOOKUP(C:C,TooliD!B:P,15,FALSE)</f>
        <v>9</v>
      </c>
      <c r="L143" s="19">
        <f t="shared" si="26"/>
        <v>3</v>
      </c>
      <c r="M143" s="19" t="str">
        <f t="shared" si="25"/>
        <v>Surplus</v>
      </c>
      <c r="N143" s="18"/>
    </row>
    <row r="144" spans="1:14" x14ac:dyDescent="0.25">
      <c r="A144" s="19" t="s">
        <v>157</v>
      </c>
      <c r="B144" s="18" t="s">
        <v>49</v>
      </c>
      <c r="C144" s="18" t="s">
        <v>52</v>
      </c>
      <c r="D144" s="19" t="s">
        <v>238</v>
      </c>
      <c r="E144" s="19">
        <f>VLOOKUP(C:C,Courts!B:C,2,FALSE)</f>
        <v>3</v>
      </c>
      <c r="F144" s="19">
        <f>VLOOKUP(C:C,Courts!B:E,4,FALSE)</f>
        <v>1</v>
      </c>
      <c r="G144" s="19">
        <f>VLOOKUP(C:C,Courts!B:D,3,FALSE)</f>
        <v>0</v>
      </c>
      <c r="H144" s="19">
        <f>VLOOKUP(C:C,Courts!B:F,5,FALSE)</f>
        <v>4</v>
      </c>
      <c r="I144" s="18" t="s">
        <v>11</v>
      </c>
      <c r="J144" s="19">
        <f>VLOOKUP(C:C,TooliD!B:T,19,FALSE)</f>
        <v>28</v>
      </c>
      <c r="K144" s="18">
        <f>VLOOKUP(C:C,TooliD!B:S,18,FALSE)</f>
        <v>28</v>
      </c>
      <c r="L144" s="19">
        <f t="shared" si="26"/>
        <v>0</v>
      </c>
      <c r="M144" s="19" t="str">
        <f t="shared" si="25"/>
        <v>OK</v>
      </c>
      <c r="N144" s="18"/>
    </row>
    <row r="145" spans="1:14" x14ac:dyDescent="0.25">
      <c r="A145" s="19" t="s">
        <v>157</v>
      </c>
      <c r="B145" s="18" t="s">
        <v>49</v>
      </c>
      <c r="C145" s="18" t="s">
        <v>52</v>
      </c>
      <c r="D145" s="19" t="s">
        <v>238</v>
      </c>
      <c r="E145" s="19">
        <f>VLOOKUP(C:C,Courts!B:C,2,FALSE)</f>
        <v>3</v>
      </c>
      <c r="F145" s="19">
        <f>VLOOKUP(C:C,Courts!B:E,4,FALSE)</f>
        <v>1</v>
      </c>
      <c r="G145" s="19">
        <f>VLOOKUP(C:C,Courts!B:D,3,FALSE)</f>
        <v>0</v>
      </c>
      <c r="H145" s="19">
        <f>VLOOKUP(C:C,Courts!B:F,5,FALSE)</f>
        <v>4</v>
      </c>
      <c r="I145" s="18" t="s">
        <v>212</v>
      </c>
      <c r="J145" s="19">
        <f>VLOOKUP(C:C,TooliD!B:W,22,FALSE)</f>
        <v>4</v>
      </c>
      <c r="K145" s="18">
        <f>VLOOKUP(C:C,TooliD!B:V,21,FALSE)</f>
        <v>4</v>
      </c>
      <c r="L145" s="19">
        <f t="shared" si="26"/>
        <v>0</v>
      </c>
      <c r="M145" s="19" t="str">
        <f t="shared" si="25"/>
        <v>OK</v>
      </c>
      <c r="N145" s="18"/>
    </row>
    <row r="146" spans="1:14" x14ac:dyDescent="0.25">
      <c r="A146" s="19" t="s">
        <v>157</v>
      </c>
      <c r="B146" s="18" t="s">
        <v>53</v>
      </c>
      <c r="C146" s="18" t="s">
        <v>53</v>
      </c>
      <c r="D146" s="19" t="s">
        <v>237</v>
      </c>
      <c r="E146" s="19">
        <f>VLOOKUP(C:C,Courts!B:C,2,FALSE)</f>
        <v>45</v>
      </c>
      <c r="F146" s="19">
        <f>VLOOKUP(C:C,Courts!B:E,4,FALSE)</f>
        <v>0</v>
      </c>
      <c r="G146" s="19">
        <f>VLOOKUP(C:C,Courts!B:D,3,FALSE)</f>
        <v>0</v>
      </c>
      <c r="H146" s="19">
        <f>VLOOKUP(C:C,Courts!B:F,5,FALSE)</f>
        <v>45</v>
      </c>
      <c r="I146" s="18" t="s">
        <v>7</v>
      </c>
      <c r="J146" s="19">
        <f>VLOOKUP(C:C,TooliD!B:H,7,FALSE)</f>
        <v>45</v>
      </c>
      <c r="K146" s="19">
        <f>VLOOKUP(C:C,TooliD!B:G,6,FALSE)</f>
        <v>52</v>
      </c>
      <c r="L146" s="19">
        <f>K146-J146</f>
        <v>7</v>
      </c>
      <c r="M146" s="19" t="str">
        <f>IF(L146=0,"OK", IF(L146&gt;0,"Surplus","Shortfall"))</f>
        <v>Surplus</v>
      </c>
      <c r="N146" s="18"/>
    </row>
    <row r="147" spans="1:14" x14ac:dyDescent="0.25">
      <c r="A147" s="19" t="s">
        <v>157</v>
      </c>
      <c r="B147" s="18" t="s">
        <v>53</v>
      </c>
      <c r="C147" s="18" t="s">
        <v>53</v>
      </c>
      <c r="D147" s="19" t="s">
        <v>237</v>
      </c>
      <c r="E147" s="19">
        <f>VLOOKUP(C:C,Courts!B:C,2,FALSE)</f>
        <v>45</v>
      </c>
      <c r="F147" s="19">
        <f>VLOOKUP(C:C,Courts!B:E,4,FALSE)</f>
        <v>0</v>
      </c>
      <c r="G147" s="19">
        <f>VLOOKUP(C:C,Courts!B:D,3,FALSE)</f>
        <v>0</v>
      </c>
      <c r="H147" s="19">
        <f>VLOOKUP(C:C,Courts!B:F,5,FALSE)</f>
        <v>45</v>
      </c>
      <c r="I147" s="18" t="s">
        <v>241</v>
      </c>
      <c r="J147" s="19">
        <f>VLOOKUP(C:C,TooliD!B:K,7,FALSE)</f>
        <v>45</v>
      </c>
      <c r="K147" s="19">
        <f>VLOOKUP(C:C,TooliD!B:J,9,FALSE)</f>
        <v>37</v>
      </c>
      <c r="L147" s="19">
        <f t="shared" ref="L147:L151" si="27">K147-J147</f>
        <v>-8</v>
      </c>
      <c r="M147" s="19" t="str">
        <f t="shared" si="25"/>
        <v>Shortfall</v>
      </c>
      <c r="N147" s="18"/>
    </row>
    <row r="148" spans="1:14" x14ac:dyDescent="0.25">
      <c r="A148" s="19" t="s">
        <v>157</v>
      </c>
      <c r="B148" s="18" t="s">
        <v>53</v>
      </c>
      <c r="C148" s="18" t="s">
        <v>53</v>
      </c>
      <c r="D148" s="19" t="s">
        <v>237</v>
      </c>
      <c r="E148" s="19">
        <f>VLOOKUP(C:C,Courts!B:C,2,FALSE)</f>
        <v>45</v>
      </c>
      <c r="F148" s="19">
        <f>VLOOKUP(C:C,Courts!B:E,4,FALSE)</f>
        <v>0</v>
      </c>
      <c r="G148" s="19">
        <f>VLOOKUP(C:C,Courts!B:D,3,FALSE)</f>
        <v>0</v>
      </c>
      <c r="H148" s="19">
        <f>VLOOKUP(C:C,Courts!B:F,5,FALSE)</f>
        <v>45</v>
      </c>
      <c r="I148" s="18" t="s">
        <v>9</v>
      </c>
      <c r="J148" s="19">
        <f>VLOOKUP(C:C,TooliD!B:N,13,FALSE)</f>
        <v>45</v>
      </c>
      <c r="K148" s="18">
        <f>VLOOKUP(C:C,TooliD!B:M,12,FALSE)</f>
        <v>44</v>
      </c>
      <c r="L148" s="19">
        <f t="shared" si="27"/>
        <v>-1</v>
      </c>
      <c r="M148" s="19" t="str">
        <f t="shared" si="25"/>
        <v>Shortfall</v>
      </c>
      <c r="N148" s="18"/>
    </row>
    <row r="149" spans="1:14" x14ac:dyDescent="0.25">
      <c r="A149" s="19" t="s">
        <v>157</v>
      </c>
      <c r="B149" s="18" t="s">
        <v>53</v>
      </c>
      <c r="C149" s="18" t="s">
        <v>53</v>
      </c>
      <c r="D149" s="19" t="s">
        <v>237</v>
      </c>
      <c r="E149" s="19">
        <f>VLOOKUP(C:C,Courts!B:C,2,FALSE)</f>
        <v>45</v>
      </c>
      <c r="F149" s="19">
        <f>VLOOKUP(C:C,Courts!B:E,4,FALSE)</f>
        <v>0</v>
      </c>
      <c r="G149" s="19">
        <f>VLOOKUP(C:C,Courts!B:D,3,FALSE)</f>
        <v>0</v>
      </c>
      <c r="H149" s="19">
        <f>VLOOKUP(C:C,Courts!B:F,5,FALSE)</f>
        <v>45</v>
      </c>
      <c r="I149" s="18" t="s">
        <v>239</v>
      </c>
      <c r="J149" s="19">
        <f>VLOOKUP(C:C,TooliD!B:Q,16,FALSE)</f>
        <v>90</v>
      </c>
      <c r="K149" s="18">
        <f>VLOOKUP(C:C,TooliD!B:P,15,FALSE)</f>
        <v>92</v>
      </c>
      <c r="L149" s="19">
        <f t="shared" si="27"/>
        <v>2</v>
      </c>
      <c r="M149" s="19" t="str">
        <f t="shared" si="25"/>
        <v>Surplus</v>
      </c>
      <c r="N149" s="18"/>
    </row>
    <row r="150" spans="1:14" x14ac:dyDescent="0.25">
      <c r="A150" s="19" t="s">
        <v>157</v>
      </c>
      <c r="B150" s="18" t="s">
        <v>53</v>
      </c>
      <c r="C150" s="18" t="s">
        <v>53</v>
      </c>
      <c r="D150" s="19" t="s">
        <v>237</v>
      </c>
      <c r="E150" s="19">
        <f>VLOOKUP(C:C,Courts!B:C,2,FALSE)</f>
        <v>45</v>
      </c>
      <c r="F150" s="19">
        <f>VLOOKUP(C:C,Courts!B:E,4,FALSE)</f>
        <v>0</v>
      </c>
      <c r="G150" s="19">
        <f>VLOOKUP(C:C,Courts!B:D,3,FALSE)</f>
        <v>0</v>
      </c>
      <c r="H150" s="19">
        <f>VLOOKUP(C:C,Courts!B:F,5,FALSE)</f>
        <v>45</v>
      </c>
      <c r="I150" s="18" t="s">
        <v>11</v>
      </c>
      <c r="J150" s="19">
        <f>VLOOKUP(C:C,TooliD!B:T,19,FALSE)</f>
        <v>360</v>
      </c>
      <c r="K150" s="18">
        <f>VLOOKUP(C:C,TooliD!B:S,18,FALSE)</f>
        <v>299</v>
      </c>
      <c r="L150" s="19">
        <f t="shared" si="27"/>
        <v>-61</v>
      </c>
      <c r="M150" s="19" t="str">
        <f t="shared" si="25"/>
        <v>Shortfall</v>
      </c>
      <c r="N150" s="18"/>
    </row>
    <row r="151" spans="1:14" x14ac:dyDescent="0.25">
      <c r="A151" s="19" t="s">
        <v>157</v>
      </c>
      <c r="B151" s="18" t="s">
        <v>53</v>
      </c>
      <c r="C151" s="18" t="s">
        <v>53</v>
      </c>
      <c r="D151" s="19" t="s">
        <v>237</v>
      </c>
      <c r="E151" s="19">
        <f>VLOOKUP(C:C,Courts!B:C,2,FALSE)</f>
        <v>45</v>
      </c>
      <c r="F151" s="19">
        <f>VLOOKUP(C:C,Courts!B:E,4,FALSE)</f>
        <v>0</v>
      </c>
      <c r="G151" s="19">
        <f>VLOOKUP(C:C,Courts!B:D,3,FALSE)</f>
        <v>0</v>
      </c>
      <c r="H151" s="19">
        <f>VLOOKUP(C:C,Courts!B:F,5,FALSE)</f>
        <v>45</v>
      </c>
      <c r="I151" s="18" t="s">
        <v>212</v>
      </c>
      <c r="J151" s="19">
        <f>VLOOKUP(C:C,TooliD!B:W,22,FALSE)</f>
        <v>45</v>
      </c>
      <c r="K151" s="18">
        <f>VLOOKUP(C:C,TooliD!B:V,21,FALSE)</f>
        <v>41</v>
      </c>
      <c r="L151" s="19">
        <f t="shared" si="27"/>
        <v>-4</v>
      </c>
      <c r="M151" s="19" t="str">
        <f t="shared" si="25"/>
        <v>Shortfall</v>
      </c>
      <c r="N151" s="18"/>
    </row>
    <row r="152" spans="1:14" x14ac:dyDescent="0.25">
      <c r="A152" s="19" t="s">
        <v>157</v>
      </c>
      <c r="B152" s="18" t="s">
        <v>53</v>
      </c>
      <c r="C152" s="18" t="s">
        <v>54</v>
      </c>
      <c r="D152" s="19" t="s">
        <v>238</v>
      </c>
      <c r="E152" s="19">
        <f>VLOOKUP(C:C,Courts!B:C,2,FALSE)</f>
        <v>3</v>
      </c>
      <c r="F152" s="19">
        <f>VLOOKUP(C:C,Courts!B:E,4,FALSE)</f>
        <v>1</v>
      </c>
      <c r="G152" s="19">
        <f>VLOOKUP(C:C,Courts!B:D,3,FALSE)</f>
        <v>0</v>
      </c>
      <c r="H152" s="19">
        <f>VLOOKUP(C:C,Courts!B:F,5,FALSE)</f>
        <v>4</v>
      </c>
      <c r="I152" s="18" t="s">
        <v>7</v>
      </c>
      <c r="J152" s="19">
        <f>VLOOKUP(C:C,TooliD!B:H,7,FALSE)</f>
        <v>4</v>
      </c>
      <c r="K152" s="19">
        <f>VLOOKUP(C:C,TooliD!B:G,6,FALSE)</f>
        <v>5</v>
      </c>
      <c r="L152" s="19">
        <f>K152-J152</f>
        <v>1</v>
      </c>
      <c r="M152" s="19" t="str">
        <f>IF(L152=0,"OK", IF(L152&gt;0,"Surplus","Shortfall"))</f>
        <v>Surplus</v>
      </c>
      <c r="N152" s="18"/>
    </row>
    <row r="153" spans="1:14" x14ac:dyDescent="0.25">
      <c r="A153" s="19" t="s">
        <v>157</v>
      </c>
      <c r="B153" s="18" t="s">
        <v>53</v>
      </c>
      <c r="C153" s="18" t="s">
        <v>54</v>
      </c>
      <c r="D153" s="19" t="s">
        <v>238</v>
      </c>
      <c r="E153" s="19">
        <f>VLOOKUP(C:C,Courts!B:C,2,FALSE)</f>
        <v>3</v>
      </c>
      <c r="F153" s="19">
        <f>VLOOKUP(C:C,Courts!B:E,4,FALSE)</f>
        <v>1</v>
      </c>
      <c r="G153" s="19">
        <f>VLOOKUP(C:C,Courts!B:D,3,FALSE)</f>
        <v>0</v>
      </c>
      <c r="H153" s="19">
        <f>VLOOKUP(C:C,Courts!B:F,5,FALSE)</f>
        <v>4</v>
      </c>
      <c r="I153" s="18" t="s">
        <v>241</v>
      </c>
      <c r="J153" s="19">
        <f>VLOOKUP(C:C,TooliD!B:K,7,FALSE)</f>
        <v>4</v>
      </c>
      <c r="K153" s="19">
        <f>VLOOKUP(C:C,TooliD!B:J,9,FALSE)</f>
        <v>5</v>
      </c>
      <c r="L153" s="19">
        <f t="shared" ref="L153:L157" si="28">K153-J153</f>
        <v>1</v>
      </c>
      <c r="M153" s="19" t="str">
        <f t="shared" si="25"/>
        <v>Surplus</v>
      </c>
      <c r="N153" s="18"/>
    </row>
    <row r="154" spans="1:14" x14ac:dyDescent="0.25">
      <c r="A154" s="19" t="s">
        <v>157</v>
      </c>
      <c r="B154" s="18" t="s">
        <v>53</v>
      </c>
      <c r="C154" s="18" t="s">
        <v>54</v>
      </c>
      <c r="D154" s="19" t="s">
        <v>238</v>
      </c>
      <c r="E154" s="19">
        <f>VLOOKUP(C:C,Courts!B:C,2,FALSE)</f>
        <v>3</v>
      </c>
      <c r="F154" s="19">
        <f>VLOOKUP(C:C,Courts!B:E,4,FALSE)</f>
        <v>1</v>
      </c>
      <c r="G154" s="19">
        <f>VLOOKUP(C:C,Courts!B:D,3,FALSE)</f>
        <v>0</v>
      </c>
      <c r="H154" s="19">
        <f>VLOOKUP(C:C,Courts!B:F,5,FALSE)</f>
        <v>4</v>
      </c>
      <c r="I154" s="18" t="s">
        <v>9</v>
      </c>
      <c r="J154" s="19">
        <f>VLOOKUP(C:C,TooliD!B:N,13,FALSE)</f>
        <v>4</v>
      </c>
      <c r="K154" s="18">
        <f>VLOOKUP(C:C,TooliD!B:M,12,FALSE)</f>
        <v>4</v>
      </c>
      <c r="L154" s="19">
        <f t="shared" si="28"/>
        <v>0</v>
      </c>
      <c r="M154" s="19" t="str">
        <f t="shared" si="25"/>
        <v>OK</v>
      </c>
      <c r="N154" s="18"/>
    </row>
    <row r="155" spans="1:14" x14ac:dyDescent="0.25">
      <c r="A155" s="19" t="s">
        <v>157</v>
      </c>
      <c r="B155" s="18" t="s">
        <v>53</v>
      </c>
      <c r="C155" s="18" t="s">
        <v>54</v>
      </c>
      <c r="D155" s="19" t="s">
        <v>238</v>
      </c>
      <c r="E155" s="19">
        <f>VLOOKUP(C:C,Courts!B:C,2,FALSE)</f>
        <v>3</v>
      </c>
      <c r="F155" s="19">
        <f>VLOOKUP(C:C,Courts!B:E,4,FALSE)</f>
        <v>1</v>
      </c>
      <c r="G155" s="19">
        <f>VLOOKUP(C:C,Courts!B:D,3,FALSE)</f>
        <v>0</v>
      </c>
      <c r="H155" s="19">
        <f>VLOOKUP(C:C,Courts!B:F,5,FALSE)</f>
        <v>4</v>
      </c>
      <c r="I155" s="18" t="s">
        <v>239</v>
      </c>
      <c r="J155" s="19">
        <f>VLOOKUP(C:C,TooliD!B:Q,16,FALSE)</f>
        <v>6</v>
      </c>
      <c r="K155" s="18">
        <f>VLOOKUP(C:C,TooliD!B:P,15,FALSE)</f>
        <v>11</v>
      </c>
      <c r="L155" s="19">
        <f t="shared" si="28"/>
        <v>5</v>
      </c>
      <c r="M155" s="19" t="str">
        <f t="shared" si="25"/>
        <v>Surplus</v>
      </c>
      <c r="N155" s="18"/>
    </row>
    <row r="156" spans="1:14" x14ac:dyDescent="0.25">
      <c r="A156" s="19" t="s">
        <v>157</v>
      </c>
      <c r="B156" s="18" t="s">
        <v>53</v>
      </c>
      <c r="C156" s="18" t="s">
        <v>54</v>
      </c>
      <c r="D156" s="19" t="s">
        <v>238</v>
      </c>
      <c r="E156" s="19">
        <f>VLOOKUP(C:C,Courts!B:C,2,FALSE)</f>
        <v>3</v>
      </c>
      <c r="F156" s="19">
        <f>VLOOKUP(C:C,Courts!B:E,4,FALSE)</f>
        <v>1</v>
      </c>
      <c r="G156" s="19">
        <f>VLOOKUP(C:C,Courts!B:D,3,FALSE)</f>
        <v>0</v>
      </c>
      <c r="H156" s="19">
        <f>VLOOKUP(C:C,Courts!B:F,5,FALSE)</f>
        <v>4</v>
      </c>
      <c r="I156" s="18" t="s">
        <v>11</v>
      </c>
      <c r="J156" s="19">
        <f>VLOOKUP(C:C,TooliD!B:T,19,FALSE)</f>
        <v>28</v>
      </c>
      <c r="K156" s="18">
        <f>VLOOKUP(C:C,TooliD!B:S,18,FALSE)</f>
        <v>36</v>
      </c>
      <c r="L156" s="19">
        <f t="shared" si="28"/>
        <v>8</v>
      </c>
      <c r="M156" s="19" t="str">
        <f t="shared" si="25"/>
        <v>Surplus</v>
      </c>
      <c r="N156" s="18"/>
    </row>
    <row r="157" spans="1:14" x14ac:dyDescent="0.25">
      <c r="A157" s="19" t="s">
        <v>157</v>
      </c>
      <c r="B157" s="18" t="s">
        <v>53</v>
      </c>
      <c r="C157" s="18" t="s">
        <v>54</v>
      </c>
      <c r="D157" s="19" t="s">
        <v>238</v>
      </c>
      <c r="E157" s="19">
        <f>VLOOKUP(C:C,Courts!B:C,2,FALSE)</f>
        <v>3</v>
      </c>
      <c r="F157" s="19">
        <f>VLOOKUP(C:C,Courts!B:E,4,FALSE)</f>
        <v>1</v>
      </c>
      <c r="G157" s="19">
        <f>VLOOKUP(C:C,Courts!B:D,3,FALSE)</f>
        <v>0</v>
      </c>
      <c r="H157" s="19">
        <f>VLOOKUP(C:C,Courts!B:F,5,FALSE)</f>
        <v>4</v>
      </c>
      <c r="I157" s="18" t="s">
        <v>212</v>
      </c>
      <c r="J157" s="19">
        <f>VLOOKUP(C:C,TooliD!B:W,22,FALSE)</f>
        <v>4</v>
      </c>
      <c r="K157" s="18">
        <f>VLOOKUP(C:C,TooliD!B:V,21,FALSE)</f>
        <v>5</v>
      </c>
      <c r="L157" s="19">
        <f t="shared" si="28"/>
        <v>1</v>
      </c>
      <c r="M157" s="19" t="str">
        <f t="shared" si="25"/>
        <v>Surplus</v>
      </c>
      <c r="N157" s="18"/>
    </row>
    <row r="158" spans="1:14" x14ac:dyDescent="0.25">
      <c r="A158" s="19" t="s">
        <v>157</v>
      </c>
      <c r="B158" s="18" t="s">
        <v>53</v>
      </c>
      <c r="C158" s="18" t="s">
        <v>55</v>
      </c>
      <c r="D158" s="19" t="s">
        <v>238</v>
      </c>
      <c r="E158" s="19">
        <f>VLOOKUP(C:C,Courts!B:C,2,FALSE)</f>
        <v>5</v>
      </c>
      <c r="F158" s="19">
        <f>VLOOKUP(C:C,Courts!B:E,4,FALSE)</f>
        <v>1</v>
      </c>
      <c r="G158" s="19">
        <f>VLOOKUP(C:C,Courts!B:D,3,FALSE)</f>
        <v>0</v>
      </c>
      <c r="H158" s="19">
        <f>VLOOKUP(C:C,Courts!B:F,5,FALSE)</f>
        <v>6</v>
      </c>
      <c r="I158" s="18" t="s">
        <v>7</v>
      </c>
      <c r="J158" s="19">
        <f>VLOOKUP(C:C,TooliD!B:H,7,FALSE)</f>
        <v>6</v>
      </c>
      <c r="K158" s="19">
        <f>VLOOKUP(C:C,TooliD!B:G,6,FALSE)</f>
        <v>7</v>
      </c>
      <c r="L158" s="19">
        <f>K158-J158</f>
        <v>1</v>
      </c>
      <c r="M158" s="19" t="str">
        <f>IF(L158=0,"OK", IF(L158&gt;0,"Surplus","Shortfall"))</f>
        <v>Surplus</v>
      </c>
      <c r="N158" s="18"/>
    </row>
    <row r="159" spans="1:14" x14ac:dyDescent="0.25">
      <c r="A159" s="19" t="s">
        <v>157</v>
      </c>
      <c r="B159" s="18" t="s">
        <v>53</v>
      </c>
      <c r="C159" s="18" t="s">
        <v>55</v>
      </c>
      <c r="D159" s="19" t="s">
        <v>238</v>
      </c>
      <c r="E159" s="19">
        <f>VLOOKUP(C:C,Courts!B:C,2,FALSE)</f>
        <v>5</v>
      </c>
      <c r="F159" s="19">
        <f>VLOOKUP(C:C,Courts!B:E,4,FALSE)</f>
        <v>1</v>
      </c>
      <c r="G159" s="19">
        <f>VLOOKUP(C:C,Courts!B:D,3,FALSE)</f>
        <v>0</v>
      </c>
      <c r="H159" s="19">
        <f>VLOOKUP(C:C,Courts!B:F,5,FALSE)</f>
        <v>6</v>
      </c>
      <c r="I159" s="18" t="s">
        <v>241</v>
      </c>
      <c r="J159" s="19">
        <f>VLOOKUP(C:C,TooliD!B:K,7,FALSE)</f>
        <v>6</v>
      </c>
      <c r="K159" s="19">
        <f>VLOOKUP(C:C,TooliD!B:J,9,FALSE)</f>
        <v>5</v>
      </c>
      <c r="L159" s="19">
        <f t="shared" ref="L159:L163" si="29">K159-J159</f>
        <v>-1</v>
      </c>
      <c r="M159" s="19" t="str">
        <f t="shared" si="25"/>
        <v>Shortfall</v>
      </c>
      <c r="N159" s="18"/>
    </row>
    <row r="160" spans="1:14" x14ac:dyDescent="0.25">
      <c r="A160" s="19" t="s">
        <v>157</v>
      </c>
      <c r="B160" s="18" t="s">
        <v>53</v>
      </c>
      <c r="C160" s="18" t="s">
        <v>55</v>
      </c>
      <c r="D160" s="19" t="s">
        <v>238</v>
      </c>
      <c r="E160" s="19">
        <f>VLOOKUP(C:C,Courts!B:C,2,FALSE)</f>
        <v>5</v>
      </c>
      <c r="F160" s="19">
        <f>VLOOKUP(C:C,Courts!B:E,4,FALSE)</f>
        <v>1</v>
      </c>
      <c r="G160" s="19">
        <f>VLOOKUP(C:C,Courts!B:D,3,FALSE)</f>
        <v>0</v>
      </c>
      <c r="H160" s="19">
        <f>VLOOKUP(C:C,Courts!B:F,5,FALSE)</f>
        <v>6</v>
      </c>
      <c r="I160" s="18" t="s">
        <v>9</v>
      </c>
      <c r="J160" s="19">
        <f>VLOOKUP(C:C,TooliD!B:N,13,FALSE)</f>
        <v>6</v>
      </c>
      <c r="K160" s="18">
        <f>VLOOKUP(C:C,TooliD!B:M,12,FALSE)</f>
        <v>7</v>
      </c>
      <c r="L160" s="19">
        <f t="shared" si="29"/>
        <v>1</v>
      </c>
      <c r="M160" s="19" t="str">
        <f t="shared" si="25"/>
        <v>Surplus</v>
      </c>
      <c r="N160" s="18"/>
    </row>
    <row r="161" spans="1:14" x14ac:dyDescent="0.25">
      <c r="A161" s="19" t="s">
        <v>157</v>
      </c>
      <c r="B161" s="18" t="s">
        <v>53</v>
      </c>
      <c r="C161" s="18" t="s">
        <v>55</v>
      </c>
      <c r="D161" s="19" t="s">
        <v>238</v>
      </c>
      <c r="E161" s="19">
        <f>VLOOKUP(C:C,Courts!B:C,2,FALSE)</f>
        <v>5</v>
      </c>
      <c r="F161" s="19">
        <f>VLOOKUP(C:C,Courts!B:E,4,FALSE)</f>
        <v>1</v>
      </c>
      <c r="G161" s="19">
        <f>VLOOKUP(C:C,Courts!B:D,3,FALSE)</f>
        <v>0</v>
      </c>
      <c r="H161" s="19">
        <f>VLOOKUP(C:C,Courts!B:F,5,FALSE)</f>
        <v>6</v>
      </c>
      <c r="I161" s="18" t="s">
        <v>239</v>
      </c>
      <c r="J161" s="19">
        <f>VLOOKUP(C:C,TooliD!B:Q,16,FALSE)</f>
        <v>10</v>
      </c>
      <c r="K161" s="18">
        <f>VLOOKUP(C:C,TooliD!B:P,15,FALSE)</f>
        <v>12</v>
      </c>
      <c r="L161" s="19">
        <f t="shared" si="29"/>
        <v>2</v>
      </c>
      <c r="M161" s="19" t="str">
        <f t="shared" si="25"/>
        <v>Surplus</v>
      </c>
      <c r="N161" s="18"/>
    </row>
    <row r="162" spans="1:14" x14ac:dyDescent="0.25">
      <c r="A162" s="19" t="s">
        <v>157</v>
      </c>
      <c r="B162" s="18" t="s">
        <v>53</v>
      </c>
      <c r="C162" s="18" t="s">
        <v>55</v>
      </c>
      <c r="D162" s="19" t="s">
        <v>238</v>
      </c>
      <c r="E162" s="19">
        <f>VLOOKUP(C:C,Courts!B:C,2,FALSE)</f>
        <v>5</v>
      </c>
      <c r="F162" s="19">
        <f>VLOOKUP(C:C,Courts!B:E,4,FALSE)</f>
        <v>1</v>
      </c>
      <c r="G162" s="19">
        <f>VLOOKUP(C:C,Courts!B:D,3,FALSE)</f>
        <v>0</v>
      </c>
      <c r="H162" s="19">
        <f>VLOOKUP(C:C,Courts!B:F,5,FALSE)</f>
        <v>6</v>
      </c>
      <c r="I162" s="18" t="s">
        <v>11</v>
      </c>
      <c r="J162" s="19">
        <f>VLOOKUP(C:C,TooliD!B:T,19,FALSE)</f>
        <v>44</v>
      </c>
      <c r="K162" s="18">
        <f>VLOOKUP(C:C,TooliD!B:S,18,FALSE)</f>
        <v>36</v>
      </c>
      <c r="L162" s="19">
        <f t="shared" si="29"/>
        <v>-8</v>
      </c>
      <c r="M162" s="19" t="str">
        <f t="shared" si="25"/>
        <v>Shortfall</v>
      </c>
      <c r="N162" s="18"/>
    </row>
    <row r="163" spans="1:14" x14ac:dyDescent="0.25">
      <c r="A163" s="19" t="s">
        <v>157</v>
      </c>
      <c r="B163" s="18" t="s">
        <v>53</v>
      </c>
      <c r="C163" s="18" t="s">
        <v>55</v>
      </c>
      <c r="D163" s="19" t="s">
        <v>238</v>
      </c>
      <c r="E163" s="19">
        <f>VLOOKUP(C:C,Courts!B:C,2,FALSE)</f>
        <v>5</v>
      </c>
      <c r="F163" s="19">
        <f>VLOOKUP(C:C,Courts!B:E,4,FALSE)</f>
        <v>1</v>
      </c>
      <c r="G163" s="19">
        <f>VLOOKUP(C:C,Courts!B:D,3,FALSE)</f>
        <v>0</v>
      </c>
      <c r="H163" s="19">
        <f>VLOOKUP(C:C,Courts!B:F,5,FALSE)</f>
        <v>6</v>
      </c>
      <c r="I163" s="18" t="s">
        <v>212</v>
      </c>
      <c r="J163" s="19">
        <f>VLOOKUP(C:C,TooliD!B:W,22,FALSE)</f>
        <v>6</v>
      </c>
      <c r="K163" s="18">
        <f>VLOOKUP(C:C,TooliD!B:V,21,FALSE)</f>
        <v>5</v>
      </c>
      <c r="L163" s="19">
        <f t="shared" si="29"/>
        <v>-1</v>
      </c>
      <c r="M163" s="19" t="str">
        <f t="shared" si="25"/>
        <v>Shortfall</v>
      </c>
      <c r="N163" s="18"/>
    </row>
    <row r="164" spans="1:14" x14ac:dyDescent="0.25">
      <c r="A164" s="19" t="s">
        <v>157</v>
      </c>
      <c r="B164" s="18" t="s">
        <v>56</v>
      </c>
      <c r="C164" s="18" t="s">
        <v>56</v>
      </c>
      <c r="D164" s="19" t="s">
        <v>237</v>
      </c>
      <c r="E164" s="19">
        <f>VLOOKUP(C:C,Courts!B:C,2,FALSE)</f>
        <v>10</v>
      </c>
      <c r="F164" s="19">
        <f>VLOOKUP(C:C,Courts!B:E,4,FALSE)</f>
        <v>0</v>
      </c>
      <c r="G164" s="19">
        <f>VLOOKUP(C:C,Courts!B:D,3,FALSE)</f>
        <v>0</v>
      </c>
      <c r="H164" s="19">
        <f>VLOOKUP(C:C,Courts!B:F,5,FALSE)</f>
        <v>10</v>
      </c>
      <c r="I164" s="18" t="s">
        <v>7</v>
      </c>
      <c r="J164" s="19">
        <f>VLOOKUP(C:C,TooliD!B:H,7,FALSE)</f>
        <v>10</v>
      </c>
      <c r="K164" s="19">
        <f>VLOOKUP(C:C,TooliD!B:G,6,FALSE)</f>
        <v>15</v>
      </c>
      <c r="L164" s="19">
        <f>K164-J164</f>
        <v>5</v>
      </c>
      <c r="M164" s="19" t="str">
        <f>IF(L164=0,"OK", IF(L164&gt;0,"Surplus","Shortfall"))</f>
        <v>Surplus</v>
      </c>
      <c r="N164" s="18"/>
    </row>
    <row r="165" spans="1:14" x14ac:dyDescent="0.25">
      <c r="A165" s="19" t="s">
        <v>157</v>
      </c>
      <c r="B165" s="18" t="s">
        <v>56</v>
      </c>
      <c r="C165" s="18" t="s">
        <v>56</v>
      </c>
      <c r="D165" s="19" t="s">
        <v>237</v>
      </c>
      <c r="E165" s="19">
        <f>VLOOKUP(C:C,Courts!B:C,2,FALSE)</f>
        <v>10</v>
      </c>
      <c r="F165" s="19">
        <f>VLOOKUP(C:C,Courts!B:E,4,FALSE)</f>
        <v>0</v>
      </c>
      <c r="G165" s="19">
        <f>VLOOKUP(C:C,Courts!B:D,3,FALSE)</f>
        <v>0</v>
      </c>
      <c r="H165" s="19">
        <f>VLOOKUP(C:C,Courts!B:F,5,FALSE)</f>
        <v>10</v>
      </c>
      <c r="I165" s="18" t="s">
        <v>241</v>
      </c>
      <c r="J165" s="19">
        <f>VLOOKUP(C:C,TooliD!B:K,7,FALSE)</f>
        <v>10</v>
      </c>
      <c r="K165" s="19">
        <f>VLOOKUP(C:C,TooliD!B:J,9,FALSE)</f>
        <v>12</v>
      </c>
      <c r="L165" s="19">
        <f t="shared" ref="L165:L169" si="30">K165-J165</f>
        <v>2</v>
      </c>
      <c r="M165" s="19" t="str">
        <f t="shared" si="25"/>
        <v>Surplus</v>
      </c>
      <c r="N165" s="18"/>
    </row>
    <row r="166" spans="1:14" x14ac:dyDescent="0.25">
      <c r="A166" s="19" t="s">
        <v>157</v>
      </c>
      <c r="B166" s="18" t="s">
        <v>56</v>
      </c>
      <c r="C166" s="18" t="s">
        <v>56</v>
      </c>
      <c r="D166" s="19" t="s">
        <v>237</v>
      </c>
      <c r="E166" s="19">
        <f>VLOOKUP(C:C,Courts!B:C,2,FALSE)</f>
        <v>10</v>
      </c>
      <c r="F166" s="19">
        <f>VLOOKUP(C:C,Courts!B:E,4,FALSE)</f>
        <v>0</v>
      </c>
      <c r="G166" s="19">
        <f>VLOOKUP(C:C,Courts!B:D,3,FALSE)</f>
        <v>0</v>
      </c>
      <c r="H166" s="19">
        <f>VLOOKUP(C:C,Courts!B:F,5,FALSE)</f>
        <v>10</v>
      </c>
      <c r="I166" s="18" t="s">
        <v>9</v>
      </c>
      <c r="J166" s="19">
        <f>VLOOKUP(C:C,TooliD!B:N,13,FALSE)</f>
        <v>10</v>
      </c>
      <c r="K166" s="18">
        <f>VLOOKUP(C:C,TooliD!B:M,12,FALSE)</f>
        <v>13</v>
      </c>
      <c r="L166" s="19">
        <f t="shared" si="30"/>
        <v>3</v>
      </c>
      <c r="M166" s="19" t="str">
        <f t="shared" si="25"/>
        <v>Surplus</v>
      </c>
      <c r="N166" s="18"/>
    </row>
    <row r="167" spans="1:14" x14ac:dyDescent="0.25">
      <c r="A167" s="19" t="s">
        <v>157</v>
      </c>
      <c r="B167" s="18" t="s">
        <v>56</v>
      </c>
      <c r="C167" s="18" t="s">
        <v>56</v>
      </c>
      <c r="D167" s="19" t="s">
        <v>237</v>
      </c>
      <c r="E167" s="19">
        <f>VLOOKUP(C:C,Courts!B:C,2,FALSE)</f>
        <v>10</v>
      </c>
      <c r="F167" s="19">
        <f>VLOOKUP(C:C,Courts!B:E,4,FALSE)</f>
        <v>0</v>
      </c>
      <c r="G167" s="19">
        <f>VLOOKUP(C:C,Courts!B:D,3,FALSE)</f>
        <v>0</v>
      </c>
      <c r="H167" s="19">
        <f>VLOOKUP(C:C,Courts!B:F,5,FALSE)</f>
        <v>10</v>
      </c>
      <c r="I167" s="18" t="s">
        <v>239</v>
      </c>
      <c r="J167" s="19">
        <f>VLOOKUP(C:C,TooliD!B:Q,16,FALSE)</f>
        <v>20</v>
      </c>
      <c r="K167" s="18">
        <f>VLOOKUP(C:C,TooliD!B:P,15,FALSE)</f>
        <v>30</v>
      </c>
      <c r="L167" s="19">
        <f t="shared" si="30"/>
        <v>10</v>
      </c>
      <c r="M167" s="19" t="str">
        <f t="shared" si="25"/>
        <v>Surplus</v>
      </c>
      <c r="N167" s="18"/>
    </row>
    <row r="168" spans="1:14" x14ac:dyDescent="0.25">
      <c r="A168" s="19" t="s">
        <v>157</v>
      </c>
      <c r="B168" s="18" t="s">
        <v>56</v>
      </c>
      <c r="C168" s="18" t="s">
        <v>56</v>
      </c>
      <c r="D168" s="19" t="s">
        <v>237</v>
      </c>
      <c r="E168" s="19">
        <f>VLOOKUP(C:C,Courts!B:C,2,FALSE)</f>
        <v>10</v>
      </c>
      <c r="F168" s="19">
        <f>VLOOKUP(C:C,Courts!B:E,4,FALSE)</f>
        <v>0</v>
      </c>
      <c r="G168" s="19">
        <f>VLOOKUP(C:C,Courts!B:D,3,FALSE)</f>
        <v>0</v>
      </c>
      <c r="H168" s="19">
        <f>VLOOKUP(C:C,Courts!B:F,5,FALSE)</f>
        <v>10</v>
      </c>
      <c r="I168" s="18" t="s">
        <v>11</v>
      </c>
      <c r="J168" s="19">
        <f>VLOOKUP(C:C,TooliD!B:T,19,FALSE)</f>
        <v>80</v>
      </c>
      <c r="K168" s="18">
        <f>VLOOKUP(C:C,TooliD!B:S,18,FALSE)</f>
        <v>96</v>
      </c>
      <c r="L168" s="19">
        <f t="shared" si="30"/>
        <v>16</v>
      </c>
      <c r="M168" s="19" t="str">
        <f t="shared" si="25"/>
        <v>Surplus</v>
      </c>
      <c r="N168" s="18"/>
    </row>
    <row r="169" spans="1:14" x14ac:dyDescent="0.25">
      <c r="A169" s="19" t="s">
        <v>157</v>
      </c>
      <c r="B169" s="18" t="s">
        <v>56</v>
      </c>
      <c r="C169" s="18" t="s">
        <v>56</v>
      </c>
      <c r="D169" s="19" t="s">
        <v>237</v>
      </c>
      <c r="E169" s="19">
        <f>VLOOKUP(C:C,Courts!B:C,2,FALSE)</f>
        <v>10</v>
      </c>
      <c r="F169" s="19">
        <f>VLOOKUP(C:C,Courts!B:E,4,FALSE)</f>
        <v>0</v>
      </c>
      <c r="G169" s="19">
        <f>VLOOKUP(C:C,Courts!B:D,3,FALSE)</f>
        <v>0</v>
      </c>
      <c r="H169" s="19">
        <f>VLOOKUP(C:C,Courts!B:F,5,FALSE)</f>
        <v>10</v>
      </c>
      <c r="I169" s="18" t="s">
        <v>212</v>
      </c>
      <c r="J169" s="19">
        <f>VLOOKUP(C:C,TooliD!B:W,22,FALSE)</f>
        <v>10</v>
      </c>
      <c r="K169" s="18">
        <f>VLOOKUP(C:C,TooliD!B:V,21,FALSE)</f>
        <v>14</v>
      </c>
      <c r="L169" s="19">
        <f t="shared" si="30"/>
        <v>4</v>
      </c>
      <c r="M169" s="19" t="str">
        <f t="shared" si="25"/>
        <v>Surplus</v>
      </c>
      <c r="N169" s="18"/>
    </row>
    <row r="170" spans="1:14" x14ac:dyDescent="0.25">
      <c r="A170" s="19" t="s">
        <v>157</v>
      </c>
      <c r="B170" s="18" t="s">
        <v>56</v>
      </c>
      <c r="C170" s="18" t="s">
        <v>57</v>
      </c>
      <c r="D170" s="19" t="s">
        <v>238</v>
      </c>
      <c r="E170" s="19">
        <f>VLOOKUP(C:C,Courts!B:C,2,FALSE)</f>
        <v>4</v>
      </c>
      <c r="F170" s="19">
        <f>VLOOKUP(C:C,Courts!B:E,4,FALSE)</f>
        <v>1</v>
      </c>
      <c r="G170" s="19">
        <f>VLOOKUP(C:C,Courts!B:D,3,FALSE)</f>
        <v>0</v>
      </c>
      <c r="H170" s="19">
        <f>VLOOKUP(C:C,Courts!B:F,5,FALSE)</f>
        <v>5</v>
      </c>
      <c r="I170" s="18" t="s">
        <v>7</v>
      </c>
      <c r="J170" s="19">
        <f>VLOOKUP(C:C,TooliD!B:H,7,FALSE)</f>
        <v>5</v>
      </c>
      <c r="K170" s="19">
        <f>VLOOKUP(C:C,TooliD!B:G,6,FALSE)</f>
        <v>6</v>
      </c>
      <c r="L170" s="19">
        <f>K170-J170</f>
        <v>1</v>
      </c>
      <c r="M170" s="19" t="str">
        <f>IF(L170=0,"OK", IF(L170&gt;0,"Surplus","Shortfall"))</f>
        <v>Surplus</v>
      </c>
      <c r="N170" s="18"/>
    </row>
    <row r="171" spans="1:14" x14ac:dyDescent="0.25">
      <c r="A171" s="19" t="s">
        <v>157</v>
      </c>
      <c r="B171" s="18" t="s">
        <v>56</v>
      </c>
      <c r="C171" s="18" t="s">
        <v>57</v>
      </c>
      <c r="D171" s="19" t="s">
        <v>238</v>
      </c>
      <c r="E171" s="19">
        <f>VLOOKUP(C:C,Courts!B:C,2,FALSE)</f>
        <v>4</v>
      </c>
      <c r="F171" s="19">
        <f>VLOOKUP(C:C,Courts!B:E,4,FALSE)</f>
        <v>1</v>
      </c>
      <c r="G171" s="19">
        <f>VLOOKUP(C:C,Courts!B:D,3,FALSE)</f>
        <v>0</v>
      </c>
      <c r="H171" s="19">
        <f>VLOOKUP(C:C,Courts!B:F,5,FALSE)</f>
        <v>5</v>
      </c>
      <c r="I171" s="18" t="s">
        <v>241</v>
      </c>
      <c r="J171" s="19">
        <f>VLOOKUP(C:C,TooliD!B:K,7,FALSE)</f>
        <v>5</v>
      </c>
      <c r="K171" s="19">
        <f>VLOOKUP(C:C,TooliD!B:J,9,FALSE)</f>
        <v>4</v>
      </c>
      <c r="L171" s="19">
        <f t="shared" ref="L171:L175" si="31">K171-J171</f>
        <v>-1</v>
      </c>
      <c r="M171" s="19" t="str">
        <f t="shared" si="25"/>
        <v>Shortfall</v>
      </c>
      <c r="N171" s="18"/>
    </row>
    <row r="172" spans="1:14" x14ac:dyDescent="0.25">
      <c r="A172" s="19" t="s">
        <v>157</v>
      </c>
      <c r="B172" s="18" t="s">
        <v>56</v>
      </c>
      <c r="C172" s="18" t="s">
        <v>57</v>
      </c>
      <c r="D172" s="19" t="s">
        <v>238</v>
      </c>
      <c r="E172" s="19">
        <f>VLOOKUP(C:C,Courts!B:C,2,FALSE)</f>
        <v>4</v>
      </c>
      <c r="F172" s="19">
        <f>VLOOKUP(C:C,Courts!B:E,4,FALSE)</f>
        <v>1</v>
      </c>
      <c r="G172" s="19">
        <f>VLOOKUP(C:C,Courts!B:D,3,FALSE)</f>
        <v>0</v>
      </c>
      <c r="H172" s="19">
        <f>VLOOKUP(C:C,Courts!B:F,5,FALSE)</f>
        <v>5</v>
      </c>
      <c r="I172" s="18" t="s">
        <v>9</v>
      </c>
      <c r="J172" s="19">
        <f>VLOOKUP(C:C,TooliD!B:N,13,FALSE)</f>
        <v>5</v>
      </c>
      <c r="K172" s="18">
        <f>VLOOKUP(C:C,TooliD!B:M,12,FALSE)</f>
        <v>6</v>
      </c>
      <c r="L172" s="19">
        <f t="shared" si="31"/>
        <v>1</v>
      </c>
      <c r="M172" s="19" t="str">
        <f t="shared" si="25"/>
        <v>Surplus</v>
      </c>
      <c r="N172" s="18"/>
    </row>
    <row r="173" spans="1:14" x14ac:dyDescent="0.25">
      <c r="A173" s="19" t="s">
        <v>157</v>
      </c>
      <c r="B173" s="18" t="s">
        <v>56</v>
      </c>
      <c r="C173" s="18" t="s">
        <v>57</v>
      </c>
      <c r="D173" s="19" t="s">
        <v>238</v>
      </c>
      <c r="E173" s="19">
        <f>VLOOKUP(C:C,Courts!B:C,2,FALSE)</f>
        <v>4</v>
      </c>
      <c r="F173" s="19">
        <f>VLOOKUP(C:C,Courts!B:E,4,FALSE)</f>
        <v>1</v>
      </c>
      <c r="G173" s="19">
        <f>VLOOKUP(C:C,Courts!B:D,3,FALSE)</f>
        <v>0</v>
      </c>
      <c r="H173" s="19">
        <f>VLOOKUP(C:C,Courts!B:F,5,FALSE)</f>
        <v>5</v>
      </c>
      <c r="I173" s="18" t="s">
        <v>239</v>
      </c>
      <c r="J173" s="19">
        <f>VLOOKUP(C:C,TooliD!B:Q,16,FALSE)</f>
        <v>8</v>
      </c>
      <c r="K173" s="18">
        <f>VLOOKUP(C:C,TooliD!B:P,15,FALSE)</f>
        <v>10</v>
      </c>
      <c r="L173" s="19">
        <f t="shared" si="31"/>
        <v>2</v>
      </c>
      <c r="M173" s="19" t="str">
        <f t="shared" si="25"/>
        <v>Surplus</v>
      </c>
      <c r="N173" s="18"/>
    </row>
    <row r="174" spans="1:14" x14ac:dyDescent="0.25">
      <c r="A174" s="19" t="s">
        <v>157</v>
      </c>
      <c r="B174" s="18" t="s">
        <v>56</v>
      </c>
      <c r="C174" s="18" t="s">
        <v>57</v>
      </c>
      <c r="D174" s="19" t="s">
        <v>238</v>
      </c>
      <c r="E174" s="19">
        <f>VLOOKUP(C:C,Courts!B:C,2,FALSE)</f>
        <v>4</v>
      </c>
      <c r="F174" s="19">
        <f>VLOOKUP(C:C,Courts!B:E,4,FALSE)</f>
        <v>1</v>
      </c>
      <c r="G174" s="19">
        <f>VLOOKUP(C:C,Courts!B:D,3,FALSE)</f>
        <v>0</v>
      </c>
      <c r="H174" s="19">
        <f>VLOOKUP(C:C,Courts!B:F,5,FALSE)</f>
        <v>5</v>
      </c>
      <c r="I174" s="18" t="s">
        <v>11</v>
      </c>
      <c r="J174" s="19">
        <f>VLOOKUP(C:C,TooliD!B:T,19,FALSE)</f>
        <v>36</v>
      </c>
      <c r="K174" s="18">
        <f>VLOOKUP(C:C,TooliD!B:S,18,FALSE)</f>
        <v>28</v>
      </c>
      <c r="L174" s="19">
        <f t="shared" si="31"/>
        <v>-8</v>
      </c>
      <c r="M174" s="19" t="str">
        <f t="shared" si="25"/>
        <v>Shortfall</v>
      </c>
      <c r="N174" s="18"/>
    </row>
    <row r="175" spans="1:14" x14ac:dyDescent="0.25">
      <c r="A175" s="19" t="s">
        <v>157</v>
      </c>
      <c r="B175" s="18" t="s">
        <v>56</v>
      </c>
      <c r="C175" s="18" t="s">
        <v>57</v>
      </c>
      <c r="D175" s="19" t="s">
        <v>238</v>
      </c>
      <c r="E175" s="19">
        <f>VLOOKUP(C:C,Courts!B:C,2,FALSE)</f>
        <v>4</v>
      </c>
      <c r="F175" s="19">
        <f>VLOOKUP(C:C,Courts!B:E,4,FALSE)</f>
        <v>1</v>
      </c>
      <c r="G175" s="19">
        <f>VLOOKUP(C:C,Courts!B:D,3,FALSE)</f>
        <v>0</v>
      </c>
      <c r="H175" s="19">
        <f>VLOOKUP(C:C,Courts!B:F,5,FALSE)</f>
        <v>5</v>
      </c>
      <c r="I175" s="18" t="s">
        <v>212</v>
      </c>
      <c r="J175" s="19">
        <f>VLOOKUP(C:C,TooliD!B:W,22,FALSE)</f>
        <v>5</v>
      </c>
      <c r="K175" s="18">
        <f>VLOOKUP(C:C,TooliD!B:V,21,FALSE)</f>
        <v>5</v>
      </c>
      <c r="L175" s="19">
        <f t="shared" si="31"/>
        <v>0</v>
      </c>
      <c r="M175" s="19" t="str">
        <f t="shared" si="25"/>
        <v>OK</v>
      </c>
      <c r="N175" s="18"/>
    </row>
    <row r="176" spans="1:14" x14ac:dyDescent="0.25">
      <c r="A176" s="19" t="s">
        <v>157</v>
      </c>
      <c r="B176" s="18" t="s">
        <v>56</v>
      </c>
      <c r="C176" s="18" t="s">
        <v>58</v>
      </c>
      <c r="D176" s="19" t="s">
        <v>238</v>
      </c>
      <c r="E176" s="19">
        <f>VLOOKUP(C:C,Courts!B:C,2,FALSE)</f>
        <v>3</v>
      </c>
      <c r="F176" s="19">
        <f>VLOOKUP(C:C,Courts!B:E,4,FALSE)</f>
        <v>1</v>
      </c>
      <c r="G176" s="19">
        <f>VLOOKUP(C:C,Courts!B:D,3,FALSE)</f>
        <v>0</v>
      </c>
      <c r="H176" s="19">
        <f>VLOOKUP(C:C,Courts!B:F,5,FALSE)</f>
        <v>4</v>
      </c>
      <c r="I176" s="18" t="s">
        <v>7</v>
      </c>
      <c r="J176" s="19">
        <f>VLOOKUP(C:C,TooliD!B:H,7,FALSE)</f>
        <v>4</v>
      </c>
      <c r="K176" s="19">
        <f>VLOOKUP(C:C,TooliD!B:G,6,FALSE)</f>
        <v>4</v>
      </c>
      <c r="L176" s="19">
        <f>K176-J176</f>
        <v>0</v>
      </c>
      <c r="M176" s="19" t="str">
        <f>IF(L176=0,"OK", IF(L176&gt;0,"Surplus","Shortfall"))</f>
        <v>OK</v>
      </c>
      <c r="N176" s="18"/>
    </row>
    <row r="177" spans="1:14" x14ac:dyDescent="0.25">
      <c r="A177" s="19" t="s">
        <v>157</v>
      </c>
      <c r="B177" s="18" t="s">
        <v>56</v>
      </c>
      <c r="C177" s="18" t="s">
        <v>58</v>
      </c>
      <c r="D177" s="19" t="s">
        <v>238</v>
      </c>
      <c r="E177" s="19">
        <f>VLOOKUP(C:C,Courts!B:C,2,FALSE)</f>
        <v>3</v>
      </c>
      <c r="F177" s="19">
        <f>VLOOKUP(C:C,Courts!B:E,4,FALSE)</f>
        <v>1</v>
      </c>
      <c r="G177" s="19">
        <f>VLOOKUP(C:C,Courts!B:D,3,FALSE)</f>
        <v>0</v>
      </c>
      <c r="H177" s="19">
        <f>VLOOKUP(C:C,Courts!B:F,5,FALSE)</f>
        <v>4</v>
      </c>
      <c r="I177" s="18" t="s">
        <v>241</v>
      </c>
      <c r="J177" s="19">
        <f>VLOOKUP(C:C,TooliD!B:K,7,FALSE)</f>
        <v>4</v>
      </c>
      <c r="K177" s="19">
        <f>VLOOKUP(C:C,TooliD!B:J,9,FALSE)</f>
        <v>3</v>
      </c>
      <c r="L177" s="19">
        <f t="shared" ref="L177:L181" si="32">K177-J177</f>
        <v>-1</v>
      </c>
      <c r="M177" s="19" t="str">
        <f t="shared" si="25"/>
        <v>Shortfall</v>
      </c>
      <c r="N177" s="18"/>
    </row>
    <row r="178" spans="1:14" x14ac:dyDescent="0.25">
      <c r="A178" s="19" t="s">
        <v>157</v>
      </c>
      <c r="B178" s="18" t="s">
        <v>56</v>
      </c>
      <c r="C178" s="18" t="s">
        <v>58</v>
      </c>
      <c r="D178" s="19" t="s">
        <v>238</v>
      </c>
      <c r="E178" s="19">
        <f>VLOOKUP(C:C,Courts!B:C,2,FALSE)</f>
        <v>3</v>
      </c>
      <c r="F178" s="19">
        <f>VLOOKUP(C:C,Courts!B:E,4,FALSE)</f>
        <v>1</v>
      </c>
      <c r="G178" s="19">
        <f>VLOOKUP(C:C,Courts!B:D,3,FALSE)</f>
        <v>0</v>
      </c>
      <c r="H178" s="19">
        <f>VLOOKUP(C:C,Courts!B:F,5,FALSE)</f>
        <v>4</v>
      </c>
      <c r="I178" s="18" t="s">
        <v>9</v>
      </c>
      <c r="J178" s="19">
        <f>VLOOKUP(C:C,TooliD!B:N,13,FALSE)</f>
        <v>4</v>
      </c>
      <c r="K178" s="18">
        <f>VLOOKUP(C:C,TooliD!B:M,12,FALSE)</f>
        <v>4</v>
      </c>
      <c r="L178" s="19">
        <f t="shared" si="32"/>
        <v>0</v>
      </c>
      <c r="M178" s="19" t="str">
        <f t="shared" si="25"/>
        <v>OK</v>
      </c>
      <c r="N178" s="18"/>
    </row>
    <row r="179" spans="1:14" x14ac:dyDescent="0.25">
      <c r="A179" s="19" t="s">
        <v>157</v>
      </c>
      <c r="B179" s="18" t="s">
        <v>56</v>
      </c>
      <c r="C179" s="18" t="s">
        <v>58</v>
      </c>
      <c r="D179" s="19" t="s">
        <v>238</v>
      </c>
      <c r="E179" s="19">
        <f>VLOOKUP(C:C,Courts!B:C,2,FALSE)</f>
        <v>3</v>
      </c>
      <c r="F179" s="19">
        <f>VLOOKUP(C:C,Courts!B:E,4,FALSE)</f>
        <v>1</v>
      </c>
      <c r="G179" s="19">
        <f>VLOOKUP(C:C,Courts!B:D,3,FALSE)</f>
        <v>0</v>
      </c>
      <c r="H179" s="19">
        <f>VLOOKUP(C:C,Courts!B:F,5,FALSE)</f>
        <v>4</v>
      </c>
      <c r="I179" s="18" t="s">
        <v>239</v>
      </c>
      <c r="J179" s="19">
        <f>VLOOKUP(C:C,TooliD!B:Q,16,FALSE)</f>
        <v>6</v>
      </c>
      <c r="K179" s="18">
        <f>VLOOKUP(C:C,TooliD!B:P,15,FALSE)</f>
        <v>6</v>
      </c>
      <c r="L179" s="19">
        <f t="shared" si="32"/>
        <v>0</v>
      </c>
      <c r="M179" s="19" t="str">
        <f t="shared" si="25"/>
        <v>OK</v>
      </c>
      <c r="N179" s="18"/>
    </row>
    <row r="180" spans="1:14" x14ac:dyDescent="0.25">
      <c r="A180" s="19" t="s">
        <v>157</v>
      </c>
      <c r="B180" s="18" t="s">
        <v>56</v>
      </c>
      <c r="C180" s="18" t="s">
        <v>58</v>
      </c>
      <c r="D180" s="19" t="s">
        <v>238</v>
      </c>
      <c r="E180" s="19">
        <f>VLOOKUP(C:C,Courts!B:C,2,FALSE)</f>
        <v>3</v>
      </c>
      <c r="F180" s="19">
        <f>VLOOKUP(C:C,Courts!B:E,4,FALSE)</f>
        <v>1</v>
      </c>
      <c r="G180" s="19">
        <f>VLOOKUP(C:C,Courts!B:D,3,FALSE)</f>
        <v>0</v>
      </c>
      <c r="H180" s="19">
        <f>VLOOKUP(C:C,Courts!B:F,5,FALSE)</f>
        <v>4</v>
      </c>
      <c r="I180" s="18" t="s">
        <v>11</v>
      </c>
      <c r="J180" s="19">
        <f>VLOOKUP(C:C,TooliD!B:T,19,FALSE)</f>
        <v>28</v>
      </c>
      <c r="K180" s="18">
        <f>VLOOKUP(C:C,TooliD!B:S,18,FALSE)</f>
        <v>20</v>
      </c>
      <c r="L180" s="19">
        <f t="shared" si="32"/>
        <v>-8</v>
      </c>
      <c r="M180" s="19" t="str">
        <f t="shared" si="25"/>
        <v>Shortfall</v>
      </c>
      <c r="N180" s="18"/>
    </row>
    <row r="181" spans="1:14" x14ac:dyDescent="0.25">
      <c r="A181" s="19" t="s">
        <v>157</v>
      </c>
      <c r="B181" s="18" t="s">
        <v>56</v>
      </c>
      <c r="C181" s="18" t="s">
        <v>58</v>
      </c>
      <c r="D181" s="19" t="s">
        <v>238</v>
      </c>
      <c r="E181" s="19">
        <f>VLOOKUP(C:C,Courts!B:C,2,FALSE)</f>
        <v>3</v>
      </c>
      <c r="F181" s="19">
        <f>VLOOKUP(C:C,Courts!B:E,4,FALSE)</f>
        <v>1</v>
      </c>
      <c r="G181" s="19">
        <f>VLOOKUP(C:C,Courts!B:D,3,FALSE)</f>
        <v>0</v>
      </c>
      <c r="H181" s="19">
        <f>VLOOKUP(C:C,Courts!B:F,5,FALSE)</f>
        <v>4</v>
      </c>
      <c r="I181" s="18" t="s">
        <v>212</v>
      </c>
      <c r="J181" s="19">
        <f>VLOOKUP(C:C,TooliD!B:W,22,FALSE)</f>
        <v>4</v>
      </c>
      <c r="K181" s="18">
        <f>VLOOKUP(C:C,TooliD!B:V,21,FALSE)</f>
        <v>3</v>
      </c>
      <c r="L181" s="19">
        <f t="shared" si="32"/>
        <v>-1</v>
      </c>
      <c r="M181" s="19" t="str">
        <f t="shared" si="25"/>
        <v>Shortfall</v>
      </c>
      <c r="N181" s="18"/>
    </row>
    <row r="182" spans="1:14" x14ac:dyDescent="0.25">
      <c r="A182" s="19" t="s">
        <v>157</v>
      </c>
      <c r="B182" s="18" t="s">
        <v>56</v>
      </c>
      <c r="C182" s="18" t="s">
        <v>59</v>
      </c>
      <c r="D182" s="19" t="s">
        <v>238</v>
      </c>
      <c r="E182" s="19">
        <f>VLOOKUP(C:C,Courts!B:C,2,FALSE)</f>
        <v>1</v>
      </c>
      <c r="F182" s="19">
        <f>VLOOKUP(C:C,Courts!B:E,4,FALSE)</f>
        <v>1</v>
      </c>
      <c r="G182" s="19">
        <f>VLOOKUP(C:C,Courts!B:D,3,FALSE)</f>
        <v>0</v>
      </c>
      <c r="H182" s="19">
        <f>VLOOKUP(C:C,Courts!B:F,5,FALSE)</f>
        <v>2</v>
      </c>
      <c r="I182" s="18" t="s">
        <v>7</v>
      </c>
      <c r="J182" s="19">
        <f>VLOOKUP(C:C,TooliD!B:H,7,FALSE)</f>
        <v>2</v>
      </c>
      <c r="K182" s="19">
        <f>VLOOKUP(C:C,TooliD!B:G,6,FALSE)</f>
        <v>3</v>
      </c>
      <c r="L182" s="19">
        <f>K182-J182</f>
        <v>1</v>
      </c>
      <c r="M182" s="19" t="str">
        <f>IF(L182=0,"OK", IF(L182&gt;0,"Surplus","Shortfall"))</f>
        <v>Surplus</v>
      </c>
      <c r="N182" s="18"/>
    </row>
    <row r="183" spans="1:14" x14ac:dyDescent="0.25">
      <c r="A183" s="19" t="s">
        <v>157</v>
      </c>
      <c r="B183" s="18" t="s">
        <v>56</v>
      </c>
      <c r="C183" s="18" t="s">
        <v>59</v>
      </c>
      <c r="D183" s="19" t="s">
        <v>238</v>
      </c>
      <c r="E183" s="19">
        <f>VLOOKUP(C:C,Courts!B:C,2,FALSE)</f>
        <v>1</v>
      </c>
      <c r="F183" s="19">
        <f>VLOOKUP(C:C,Courts!B:E,4,FALSE)</f>
        <v>1</v>
      </c>
      <c r="G183" s="19">
        <f>VLOOKUP(C:C,Courts!B:D,3,FALSE)</f>
        <v>0</v>
      </c>
      <c r="H183" s="19">
        <f>VLOOKUP(C:C,Courts!B:F,5,FALSE)</f>
        <v>2</v>
      </c>
      <c r="I183" s="18" t="s">
        <v>241</v>
      </c>
      <c r="J183" s="19">
        <f>VLOOKUP(C:C,TooliD!B:K,7,FALSE)</f>
        <v>2</v>
      </c>
      <c r="K183" s="19">
        <f>VLOOKUP(C:C,TooliD!B:J,9,FALSE)</f>
        <v>2</v>
      </c>
      <c r="L183" s="19">
        <f t="shared" ref="L183:L187" si="33">K183-J183</f>
        <v>0</v>
      </c>
      <c r="M183" s="19" t="str">
        <f t="shared" si="25"/>
        <v>OK</v>
      </c>
      <c r="N183" s="18"/>
    </row>
    <row r="184" spans="1:14" x14ac:dyDescent="0.25">
      <c r="A184" s="19" t="s">
        <v>157</v>
      </c>
      <c r="B184" s="18" t="s">
        <v>56</v>
      </c>
      <c r="C184" s="18" t="s">
        <v>59</v>
      </c>
      <c r="D184" s="19" t="s">
        <v>238</v>
      </c>
      <c r="E184" s="19">
        <f>VLOOKUP(C:C,Courts!B:C,2,FALSE)</f>
        <v>1</v>
      </c>
      <c r="F184" s="19">
        <f>VLOOKUP(C:C,Courts!B:E,4,FALSE)</f>
        <v>1</v>
      </c>
      <c r="G184" s="19">
        <f>VLOOKUP(C:C,Courts!B:D,3,FALSE)</f>
        <v>0</v>
      </c>
      <c r="H184" s="19">
        <f>VLOOKUP(C:C,Courts!B:F,5,FALSE)</f>
        <v>2</v>
      </c>
      <c r="I184" s="18" t="s">
        <v>9</v>
      </c>
      <c r="J184" s="19">
        <f>VLOOKUP(C:C,TooliD!B:N,13,FALSE)</f>
        <v>2</v>
      </c>
      <c r="K184" s="18">
        <f>VLOOKUP(C:C,TooliD!B:M,12,FALSE)</f>
        <v>3</v>
      </c>
      <c r="L184" s="19">
        <f t="shared" si="33"/>
        <v>1</v>
      </c>
      <c r="M184" s="19" t="str">
        <f t="shared" si="25"/>
        <v>Surplus</v>
      </c>
      <c r="N184" s="18"/>
    </row>
    <row r="185" spans="1:14" x14ac:dyDescent="0.25">
      <c r="A185" s="19" t="s">
        <v>157</v>
      </c>
      <c r="B185" s="18" t="s">
        <v>56</v>
      </c>
      <c r="C185" s="18" t="s">
        <v>59</v>
      </c>
      <c r="D185" s="19" t="s">
        <v>238</v>
      </c>
      <c r="E185" s="19">
        <f>VLOOKUP(C:C,Courts!B:C,2,FALSE)</f>
        <v>1</v>
      </c>
      <c r="F185" s="19">
        <f>VLOOKUP(C:C,Courts!B:E,4,FALSE)</f>
        <v>1</v>
      </c>
      <c r="G185" s="19">
        <f>VLOOKUP(C:C,Courts!B:D,3,FALSE)</f>
        <v>0</v>
      </c>
      <c r="H185" s="19">
        <f>VLOOKUP(C:C,Courts!B:F,5,FALSE)</f>
        <v>2</v>
      </c>
      <c r="I185" s="18" t="s">
        <v>239</v>
      </c>
      <c r="J185" s="19">
        <f>VLOOKUP(C:C,TooliD!B:Q,16,FALSE)</f>
        <v>2</v>
      </c>
      <c r="K185" s="18">
        <f>VLOOKUP(C:C,TooliD!B:P,15,FALSE)</f>
        <v>4</v>
      </c>
      <c r="L185" s="19">
        <f t="shared" si="33"/>
        <v>2</v>
      </c>
      <c r="M185" s="19" t="str">
        <f t="shared" si="25"/>
        <v>Surplus</v>
      </c>
      <c r="N185" s="18"/>
    </row>
    <row r="186" spans="1:14" x14ac:dyDescent="0.25">
      <c r="A186" s="19" t="s">
        <v>157</v>
      </c>
      <c r="B186" s="18" t="s">
        <v>56</v>
      </c>
      <c r="C186" s="18" t="s">
        <v>59</v>
      </c>
      <c r="D186" s="19" t="s">
        <v>238</v>
      </c>
      <c r="E186" s="19">
        <f>VLOOKUP(C:C,Courts!B:C,2,FALSE)</f>
        <v>1</v>
      </c>
      <c r="F186" s="19">
        <f>VLOOKUP(C:C,Courts!B:E,4,FALSE)</f>
        <v>1</v>
      </c>
      <c r="G186" s="19">
        <f>VLOOKUP(C:C,Courts!B:D,3,FALSE)</f>
        <v>0</v>
      </c>
      <c r="H186" s="19">
        <f>VLOOKUP(C:C,Courts!B:F,5,FALSE)</f>
        <v>2</v>
      </c>
      <c r="I186" s="18" t="s">
        <v>11</v>
      </c>
      <c r="J186" s="19">
        <f>VLOOKUP(C:C,TooliD!B:T,19,FALSE)</f>
        <v>12</v>
      </c>
      <c r="K186" s="18">
        <f>VLOOKUP(C:C,TooliD!B:S,18,FALSE)</f>
        <v>14</v>
      </c>
      <c r="L186" s="19">
        <f t="shared" si="33"/>
        <v>2</v>
      </c>
      <c r="M186" s="19" t="str">
        <f t="shared" si="25"/>
        <v>Surplus</v>
      </c>
      <c r="N186" s="18"/>
    </row>
    <row r="187" spans="1:14" x14ac:dyDescent="0.25">
      <c r="A187" s="19" t="s">
        <v>157</v>
      </c>
      <c r="B187" s="18" t="s">
        <v>56</v>
      </c>
      <c r="C187" s="18" t="s">
        <v>59</v>
      </c>
      <c r="D187" s="19" t="s">
        <v>238</v>
      </c>
      <c r="E187" s="19">
        <f>VLOOKUP(C:C,Courts!B:C,2,FALSE)</f>
        <v>1</v>
      </c>
      <c r="F187" s="19">
        <f>VLOOKUP(C:C,Courts!B:E,4,FALSE)</f>
        <v>1</v>
      </c>
      <c r="G187" s="19">
        <f>VLOOKUP(C:C,Courts!B:D,3,FALSE)</f>
        <v>0</v>
      </c>
      <c r="H187" s="19">
        <f>VLOOKUP(C:C,Courts!B:F,5,FALSE)</f>
        <v>2</v>
      </c>
      <c r="I187" s="18" t="s">
        <v>212</v>
      </c>
      <c r="J187" s="19">
        <f>VLOOKUP(C:C,TooliD!B:W,22,FALSE)</f>
        <v>2</v>
      </c>
      <c r="K187" s="18">
        <f>VLOOKUP(C:C,TooliD!B:V,21,FALSE)</f>
        <v>2</v>
      </c>
      <c r="L187" s="19">
        <f t="shared" si="33"/>
        <v>0</v>
      </c>
      <c r="M187" s="19" t="str">
        <f t="shared" si="25"/>
        <v>OK</v>
      </c>
      <c r="N187" s="18"/>
    </row>
    <row r="188" spans="1:14" x14ac:dyDescent="0.25">
      <c r="A188" s="19" t="s">
        <v>157</v>
      </c>
      <c r="B188" s="18" t="s">
        <v>60</v>
      </c>
      <c r="C188" s="18" t="s">
        <v>60</v>
      </c>
      <c r="D188" s="19" t="s">
        <v>237</v>
      </c>
      <c r="E188" s="19">
        <f>VLOOKUP(C:C,Courts!B:C,2,FALSE)</f>
        <v>73</v>
      </c>
      <c r="F188" s="19">
        <f>VLOOKUP(C:C,Courts!B:E,4,FALSE)</f>
        <v>0</v>
      </c>
      <c r="G188" s="19">
        <f>VLOOKUP(C:C,Courts!B:D,3,FALSE)</f>
        <v>0</v>
      </c>
      <c r="H188" s="19">
        <f>VLOOKUP(C:C,Courts!B:F,5,FALSE)</f>
        <v>73</v>
      </c>
      <c r="I188" s="18" t="s">
        <v>7</v>
      </c>
      <c r="J188" s="19">
        <f>VLOOKUP(C:C,TooliD!B:H,7,FALSE)</f>
        <v>73</v>
      </c>
      <c r="K188" s="19">
        <f>VLOOKUP(C:C,TooliD!B:G,6,FALSE)</f>
        <v>86</v>
      </c>
      <c r="L188" s="19">
        <f>K188-J188</f>
        <v>13</v>
      </c>
      <c r="M188" s="19" t="str">
        <f>IF(L188=0,"OK", IF(L188&gt;0,"Surplus","Shortfall"))</f>
        <v>Surplus</v>
      </c>
      <c r="N188" s="18"/>
    </row>
    <row r="189" spans="1:14" x14ac:dyDescent="0.25">
      <c r="A189" s="19" t="s">
        <v>157</v>
      </c>
      <c r="B189" s="18" t="s">
        <v>60</v>
      </c>
      <c r="C189" s="18" t="s">
        <v>60</v>
      </c>
      <c r="D189" s="19" t="s">
        <v>237</v>
      </c>
      <c r="E189" s="19">
        <f>VLOOKUP(C:C,Courts!B:C,2,FALSE)</f>
        <v>73</v>
      </c>
      <c r="F189" s="19">
        <f>VLOOKUP(C:C,Courts!B:E,4,FALSE)</f>
        <v>0</v>
      </c>
      <c r="G189" s="19">
        <f>VLOOKUP(C:C,Courts!B:D,3,FALSE)</f>
        <v>0</v>
      </c>
      <c r="H189" s="19">
        <f>VLOOKUP(C:C,Courts!B:F,5,FALSE)</f>
        <v>73</v>
      </c>
      <c r="I189" s="18" t="s">
        <v>241</v>
      </c>
      <c r="J189" s="19">
        <f>VLOOKUP(C:C,TooliD!B:K,7,FALSE)</f>
        <v>73</v>
      </c>
      <c r="K189" s="19">
        <f>VLOOKUP(C:C,TooliD!B:J,9,FALSE)</f>
        <v>69</v>
      </c>
      <c r="L189" s="19">
        <f t="shared" ref="L189:L193" si="34">K189-J189</f>
        <v>-4</v>
      </c>
      <c r="M189" s="19" t="str">
        <f t="shared" si="25"/>
        <v>Shortfall</v>
      </c>
      <c r="N189" s="18"/>
    </row>
    <row r="190" spans="1:14" x14ac:dyDescent="0.25">
      <c r="A190" s="19" t="s">
        <v>157</v>
      </c>
      <c r="B190" s="18" t="s">
        <v>60</v>
      </c>
      <c r="C190" s="18" t="s">
        <v>60</v>
      </c>
      <c r="D190" s="19" t="s">
        <v>237</v>
      </c>
      <c r="E190" s="19">
        <f>VLOOKUP(C:C,Courts!B:C,2,FALSE)</f>
        <v>73</v>
      </c>
      <c r="F190" s="19">
        <f>VLOOKUP(C:C,Courts!B:E,4,FALSE)</f>
        <v>0</v>
      </c>
      <c r="G190" s="19">
        <f>VLOOKUP(C:C,Courts!B:D,3,FALSE)</f>
        <v>0</v>
      </c>
      <c r="H190" s="19">
        <f>VLOOKUP(C:C,Courts!B:F,5,FALSE)</f>
        <v>73</v>
      </c>
      <c r="I190" s="18" t="s">
        <v>9</v>
      </c>
      <c r="J190" s="19">
        <f>VLOOKUP(C:C,TooliD!B:N,13,FALSE)</f>
        <v>73</v>
      </c>
      <c r="K190" s="18">
        <f>VLOOKUP(C:C,TooliD!B:M,12,FALSE)</f>
        <v>76</v>
      </c>
      <c r="L190" s="19">
        <f t="shared" si="34"/>
        <v>3</v>
      </c>
      <c r="M190" s="19" t="str">
        <f t="shared" si="25"/>
        <v>Surplus</v>
      </c>
      <c r="N190" s="18"/>
    </row>
    <row r="191" spans="1:14" x14ac:dyDescent="0.25">
      <c r="A191" s="19" t="s">
        <v>157</v>
      </c>
      <c r="B191" s="18" t="s">
        <v>60</v>
      </c>
      <c r="C191" s="18" t="s">
        <v>60</v>
      </c>
      <c r="D191" s="19" t="s">
        <v>237</v>
      </c>
      <c r="E191" s="19">
        <f>VLOOKUP(C:C,Courts!B:C,2,FALSE)</f>
        <v>73</v>
      </c>
      <c r="F191" s="19">
        <f>VLOOKUP(C:C,Courts!B:E,4,FALSE)</f>
        <v>0</v>
      </c>
      <c r="G191" s="19">
        <f>VLOOKUP(C:C,Courts!B:D,3,FALSE)</f>
        <v>0</v>
      </c>
      <c r="H191" s="19">
        <f>VLOOKUP(C:C,Courts!B:F,5,FALSE)</f>
        <v>73</v>
      </c>
      <c r="I191" s="18" t="s">
        <v>239</v>
      </c>
      <c r="J191" s="19">
        <f>VLOOKUP(C:C,TooliD!B:Q,16,FALSE)</f>
        <v>146</v>
      </c>
      <c r="K191" s="18">
        <f>VLOOKUP(C:C,TooliD!B:P,15,FALSE)</f>
        <v>150</v>
      </c>
      <c r="L191" s="19">
        <f t="shared" si="34"/>
        <v>4</v>
      </c>
      <c r="M191" s="19" t="str">
        <f t="shared" si="25"/>
        <v>Surplus</v>
      </c>
      <c r="N191" s="18"/>
    </row>
    <row r="192" spans="1:14" x14ac:dyDescent="0.25">
      <c r="A192" s="19" t="s">
        <v>157</v>
      </c>
      <c r="B192" s="18" t="s">
        <v>60</v>
      </c>
      <c r="C192" s="18" t="s">
        <v>60</v>
      </c>
      <c r="D192" s="19" t="s">
        <v>237</v>
      </c>
      <c r="E192" s="19">
        <f>VLOOKUP(C:C,Courts!B:C,2,FALSE)</f>
        <v>73</v>
      </c>
      <c r="F192" s="19">
        <f>VLOOKUP(C:C,Courts!B:E,4,FALSE)</f>
        <v>0</v>
      </c>
      <c r="G192" s="19">
        <f>VLOOKUP(C:C,Courts!B:D,3,FALSE)</f>
        <v>0</v>
      </c>
      <c r="H192" s="19">
        <f>VLOOKUP(C:C,Courts!B:F,5,FALSE)</f>
        <v>73</v>
      </c>
      <c r="I192" s="18" t="s">
        <v>11</v>
      </c>
      <c r="J192" s="19">
        <f>VLOOKUP(C:C,TooliD!B:T,19,FALSE)</f>
        <v>584</v>
      </c>
      <c r="K192" s="18">
        <f>VLOOKUP(C:C,TooliD!B:S,18,FALSE)</f>
        <v>552</v>
      </c>
      <c r="L192" s="19">
        <f t="shared" si="34"/>
        <v>-32</v>
      </c>
      <c r="M192" s="19" t="str">
        <f t="shared" si="25"/>
        <v>Shortfall</v>
      </c>
      <c r="N192" s="18"/>
    </row>
    <row r="193" spans="1:14" x14ac:dyDescent="0.25">
      <c r="A193" s="19" t="s">
        <v>157</v>
      </c>
      <c r="B193" s="18" t="s">
        <v>60</v>
      </c>
      <c r="C193" s="18" t="s">
        <v>60</v>
      </c>
      <c r="D193" s="19" t="s">
        <v>237</v>
      </c>
      <c r="E193" s="19">
        <f>VLOOKUP(C:C,Courts!B:C,2,FALSE)</f>
        <v>73</v>
      </c>
      <c r="F193" s="19">
        <f>VLOOKUP(C:C,Courts!B:E,4,FALSE)</f>
        <v>0</v>
      </c>
      <c r="G193" s="19">
        <f>VLOOKUP(C:C,Courts!B:D,3,FALSE)</f>
        <v>0</v>
      </c>
      <c r="H193" s="19">
        <f>VLOOKUP(C:C,Courts!B:F,5,FALSE)</f>
        <v>73</v>
      </c>
      <c r="I193" s="18" t="s">
        <v>212</v>
      </c>
      <c r="J193" s="19">
        <f>VLOOKUP(C:C,TooliD!B:W,22,FALSE)</f>
        <v>73</v>
      </c>
      <c r="K193" s="18">
        <f>VLOOKUP(C:C,TooliD!B:V,21,FALSE)</f>
        <v>74</v>
      </c>
      <c r="L193" s="19">
        <f t="shared" si="34"/>
        <v>1</v>
      </c>
      <c r="M193" s="19" t="str">
        <f t="shared" si="25"/>
        <v>Surplus</v>
      </c>
      <c r="N193" s="18"/>
    </row>
    <row r="194" spans="1:14" x14ac:dyDescent="0.25">
      <c r="A194" s="19" t="s">
        <v>157</v>
      </c>
      <c r="B194" s="18" t="s">
        <v>60</v>
      </c>
      <c r="C194" s="18" t="s">
        <v>61</v>
      </c>
      <c r="D194" s="19" t="s">
        <v>238</v>
      </c>
      <c r="E194" s="19">
        <f>VLOOKUP(C:C,Courts!B:C,2,FALSE)</f>
        <v>3</v>
      </c>
      <c r="F194" s="19">
        <f>VLOOKUP(C:C,Courts!B:E,4,FALSE)</f>
        <v>1</v>
      </c>
      <c r="G194" s="19">
        <f>VLOOKUP(C:C,Courts!B:D,3,FALSE)</f>
        <v>0</v>
      </c>
      <c r="H194" s="19">
        <f>VLOOKUP(C:C,Courts!B:F,5,FALSE)</f>
        <v>4</v>
      </c>
      <c r="I194" s="18" t="s">
        <v>7</v>
      </c>
      <c r="J194" s="19">
        <f>VLOOKUP(C:C,TooliD!B:H,7,FALSE)</f>
        <v>4</v>
      </c>
      <c r="K194" s="19">
        <f>VLOOKUP(C:C,TooliD!B:G,6,FALSE)</f>
        <v>4</v>
      </c>
      <c r="L194" s="19">
        <f>K194-J194</f>
        <v>0</v>
      </c>
      <c r="M194" s="19" t="str">
        <f>IF(L194=0,"OK", IF(L194&gt;0,"Surplus","Shortfall"))</f>
        <v>OK</v>
      </c>
      <c r="N194" s="18"/>
    </row>
    <row r="195" spans="1:14" x14ac:dyDescent="0.25">
      <c r="A195" s="19" t="s">
        <v>157</v>
      </c>
      <c r="B195" s="18" t="s">
        <v>60</v>
      </c>
      <c r="C195" s="18" t="s">
        <v>61</v>
      </c>
      <c r="D195" s="19" t="s">
        <v>238</v>
      </c>
      <c r="E195" s="19">
        <f>VLOOKUP(C:C,Courts!B:C,2,FALSE)</f>
        <v>3</v>
      </c>
      <c r="F195" s="19">
        <f>VLOOKUP(C:C,Courts!B:E,4,FALSE)</f>
        <v>1</v>
      </c>
      <c r="G195" s="19">
        <f>VLOOKUP(C:C,Courts!B:D,3,FALSE)</f>
        <v>0</v>
      </c>
      <c r="H195" s="19">
        <f>VLOOKUP(C:C,Courts!B:F,5,FALSE)</f>
        <v>4</v>
      </c>
      <c r="I195" s="18" t="s">
        <v>241</v>
      </c>
      <c r="J195" s="19">
        <f>VLOOKUP(C:C,TooliD!B:K,7,FALSE)</f>
        <v>4</v>
      </c>
      <c r="K195" s="19">
        <f>VLOOKUP(C:C,TooliD!B:J,9,FALSE)</f>
        <v>4</v>
      </c>
      <c r="L195" s="19">
        <f t="shared" ref="L195:L199" si="35">K195-J195</f>
        <v>0</v>
      </c>
      <c r="M195" s="19" t="str">
        <f t="shared" si="25"/>
        <v>OK</v>
      </c>
      <c r="N195" s="18"/>
    </row>
    <row r="196" spans="1:14" x14ac:dyDescent="0.25">
      <c r="A196" s="19" t="s">
        <v>157</v>
      </c>
      <c r="B196" s="18" t="s">
        <v>60</v>
      </c>
      <c r="C196" s="18" t="s">
        <v>61</v>
      </c>
      <c r="D196" s="19" t="s">
        <v>238</v>
      </c>
      <c r="E196" s="19">
        <f>VLOOKUP(C:C,Courts!B:C,2,FALSE)</f>
        <v>3</v>
      </c>
      <c r="F196" s="19">
        <f>VLOOKUP(C:C,Courts!B:E,4,FALSE)</f>
        <v>1</v>
      </c>
      <c r="G196" s="19">
        <f>VLOOKUP(C:C,Courts!B:D,3,FALSE)</f>
        <v>0</v>
      </c>
      <c r="H196" s="19">
        <f>VLOOKUP(C:C,Courts!B:F,5,FALSE)</f>
        <v>4</v>
      </c>
      <c r="I196" s="18" t="s">
        <v>9</v>
      </c>
      <c r="J196" s="19">
        <f>VLOOKUP(C:C,TooliD!B:N,13,FALSE)</f>
        <v>4</v>
      </c>
      <c r="K196" s="18">
        <f>VLOOKUP(C:C,TooliD!B:M,12,FALSE)</f>
        <v>4</v>
      </c>
      <c r="L196" s="19">
        <f t="shared" si="35"/>
        <v>0</v>
      </c>
      <c r="M196" s="19" t="str">
        <f t="shared" si="25"/>
        <v>OK</v>
      </c>
      <c r="N196" s="18"/>
    </row>
    <row r="197" spans="1:14" x14ac:dyDescent="0.25">
      <c r="A197" s="19" t="s">
        <v>157</v>
      </c>
      <c r="B197" s="18" t="s">
        <v>60</v>
      </c>
      <c r="C197" s="18" t="s">
        <v>61</v>
      </c>
      <c r="D197" s="19" t="s">
        <v>238</v>
      </c>
      <c r="E197" s="19">
        <f>VLOOKUP(C:C,Courts!B:C,2,FALSE)</f>
        <v>3</v>
      </c>
      <c r="F197" s="19">
        <f>VLOOKUP(C:C,Courts!B:E,4,FALSE)</f>
        <v>1</v>
      </c>
      <c r="G197" s="19">
        <f>VLOOKUP(C:C,Courts!B:D,3,FALSE)</f>
        <v>0</v>
      </c>
      <c r="H197" s="19">
        <f>VLOOKUP(C:C,Courts!B:F,5,FALSE)</f>
        <v>4</v>
      </c>
      <c r="I197" s="18" t="s">
        <v>239</v>
      </c>
      <c r="J197" s="19">
        <f>VLOOKUP(C:C,TooliD!B:Q,16,FALSE)</f>
        <v>6</v>
      </c>
      <c r="K197" s="18">
        <f>VLOOKUP(C:C,TooliD!B:P,15,FALSE)</f>
        <v>8</v>
      </c>
      <c r="L197" s="19">
        <f t="shared" si="35"/>
        <v>2</v>
      </c>
      <c r="M197" s="19" t="str">
        <f t="shared" si="25"/>
        <v>Surplus</v>
      </c>
      <c r="N197" s="18"/>
    </row>
    <row r="198" spans="1:14" x14ac:dyDescent="0.25">
      <c r="A198" s="19" t="s">
        <v>157</v>
      </c>
      <c r="B198" s="18" t="s">
        <v>60</v>
      </c>
      <c r="C198" s="18" t="s">
        <v>61</v>
      </c>
      <c r="D198" s="19" t="s">
        <v>238</v>
      </c>
      <c r="E198" s="19">
        <f>VLOOKUP(C:C,Courts!B:C,2,FALSE)</f>
        <v>3</v>
      </c>
      <c r="F198" s="19">
        <f>VLOOKUP(C:C,Courts!B:E,4,FALSE)</f>
        <v>1</v>
      </c>
      <c r="G198" s="19">
        <f>VLOOKUP(C:C,Courts!B:D,3,FALSE)</f>
        <v>0</v>
      </c>
      <c r="H198" s="19">
        <f>VLOOKUP(C:C,Courts!B:F,5,FALSE)</f>
        <v>4</v>
      </c>
      <c r="I198" s="18" t="s">
        <v>11</v>
      </c>
      <c r="J198" s="19">
        <f>VLOOKUP(C:C,TooliD!B:T,19,FALSE)</f>
        <v>28</v>
      </c>
      <c r="K198" s="18">
        <f>VLOOKUP(C:C,TooliD!B:S,18,FALSE)</f>
        <v>28</v>
      </c>
      <c r="L198" s="19">
        <f t="shared" si="35"/>
        <v>0</v>
      </c>
      <c r="M198" s="19" t="str">
        <f t="shared" si="25"/>
        <v>OK</v>
      </c>
      <c r="N198" s="18"/>
    </row>
    <row r="199" spans="1:14" x14ac:dyDescent="0.25">
      <c r="A199" s="19" t="s">
        <v>157</v>
      </c>
      <c r="B199" s="18" t="s">
        <v>60</v>
      </c>
      <c r="C199" s="18" t="s">
        <v>61</v>
      </c>
      <c r="D199" s="19" t="s">
        <v>238</v>
      </c>
      <c r="E199" s="19">
        <f>VLOOKUP(C:C,Courts!B:C,2,FALSE)</f>
        <v>3</v>
      </c>
      <c r="F199" s="19">
        <f>VLOOKUP(C:C,Courts!B:E,4,FALSE)</f>
        <v>1</v>
      </c>
      <c r="G199" s="19">
        <f>VLOOKUP(C:C,Courts!B:D,3,FALSE)</f>
        <v>0</v>
      </c>
      <c r="H199" s="19">
        <f>VLOOKUP(C:C,Courts!B:F,5,FALSE)</f>
        <v>4</v>
      </c>
      <c r="I199" s="18" t="s">
        <v>212</v>
      </c>
      <c r="J199" s="19">
        <f>VLOOKUP(C:C,TooliD!B:W,22,FALSE)</f>
        <v>4</v>
      </c>
      <c r="K199" s="18">
        <f>VLOOKUP(C:C,TooliD!B:V,21,FALSE)</f>
        <v>4</v>
      </c>
      <c r="L199" s="19">
        <f t="shared" si="35"/>
        <v>0</v>
      </c>
      <c r="M199" s="19" t="str">
        <f t="shared" ref="M199" si="36">IF(L199=0,"OK", IF(L199&gt;0,"Surplus","Shortfall"))</f>
        <v>OK</v>
      </c>
      <c r="N199" s="18"/>
    </row>
    <row r="200" spans="1:14" x14ac:dyDescent="0.25">
      <c r="A200" s="19" t="s">
        <v>157</v>
      </c>
      <c r="B200" s="18" t="s">
        <v>60</v>
      </c>
      <c r="C200" s="18" t="s">
        <v>62</v>
      </c>
      <c r="D200" s="19" t="s">
        <v>238</v>
      </c>
      <c r="E200" s="19">
        <f>VLOOKUP(C:C,Courts!B:C,2,FALSE)</f>
        <v>4</v>
      </c>
      <c r="F200" s="19">
        <f>VLOOKUP(C:C,Courts!B:E,4,FALSE)</f>
        <v>1</v>
      </c>
      <c r="G200" s="19">
        <f>VLOOKUP(C:C,Courts!B:D,3,FALSE)</f>
        <v>0</v>
      </c>
      <c r="H200" s="19">
        <f>VLOOKUP(C:C,Courts!B:F,5,FALSE)</f>
        <v>5</v>
      </c>
      <c r="I200" s="18" t="s">
        <v>7</v>
      </c>
      <c r="J200" s="19">
        <f>VLOOKUP(C:C,TooliD!B:H,7,FALSE)</f>
        <v>5</v>
      </c>
      <c r="K200" s="19">
        <f>VLOOKUP(C:C,TooliD!B:G,6,FALSE)</f>
        <v>5</v>
      </c>
      <c r="L200" s="19">
        <f>K200-J200</f>
        <v>0</v>
      </c>
      <c r="M200" s="19" t="str">
        <f>IF(L200=0,"OK", IF(L200&gt;0,"Surplus","Shortfall"))</f>
        <v>OK</v>
      </c>
      <c r="N200" s="18"/>
    </row>
    <row r="201" spans="1:14" x14ac:dyDescent="0.25">
      <c r="A201" s="19" t="s">
        <v>157</v>
      </c>
      <c r="B201" s="18" t="s">
        <v>60</v>
      </c>
      <c r="C201" s="18" t="s">
        <v>62</v>
      </c>
      <c r="D201" s="19" t="s">
        <v>238</v>
      </c>
      <c r="E201" s="19">
        <f>VLOOKUP(C:C,Courts!B:C,2,FALSE)</f>
        <v>4</v>
      </c>
      <c r="F201" s="19">
        <f>VLOOKUP(C:C,Courts!B:E,4,FALSE)</f>
        <v>1</v>
      </c>
      <c r="G201" s="19">
        <f>VLOOKUP(C:C,Courts!B:D,3,FALSE)</f>
        <v>0</v>
      </c>
      <c r="H201" s="19">
        <f>VLOOKUP(C:C,Courts!B:F,5,FALSE)</f>
        <v>5</v>
      </c>
      <c r="I201" s="18" t="s">
        <v>241</v>
      </c>
      <c r="J201" s="19">
        <f>VLOOKUP(C:C,TooliD!B:K,7,FALSE)</f>
        <v>5</v>
      </c>
      <c r="K201" s="19">
        <f>VLOOKUP(C:C,TooliD!B:J,9,FALSE)</f>
        <v>4</v>
      </c>
      <c r="L201" s="19">
        <f t="shared" ref="L201:L205" si="37">K201-J201</f>
        <v>-1</v>
      </c>
      <c r="M201" s="19" t="str">
        <f t="shared" ref="M201:M270" si="38">IF(L201=0,"OK", IF(L201&gt;0,"Surplus","Shortfall"))</f>
        <v>Shortfall</v>
      </c>
      <c r="N201" s="18"/>
    </row>
    <row r="202" spans="1:14" x14ac:dyDescent="0.25">
      <c r="A202" s="19" t="s">
        <v>157</v>
      </c>
      <c r="B202" s="18" t="s">
        <v>60</v>
      </c>
      <c r="C202" s="18" t="s">
        <v>62</v>
      </c>
      <c r="D202" s="19" t="s">
        <v>238</v>
      </c>
      <c r="E202" s="19">
        <f>VLOOKUP(C:C,Courts!B:C,2,FALSE)</f>
        <v>4</v>
      </c>
      <c r="F202" s="19">
        <f>VLOOKUP(C:C,Courts!B:E,4,FALSE)</f>
        <v>1</v>
      </c>
      <c r="G202" s="19">
        <f>VLOOKUP(C:C,Courts!B:D,3,FALSE)</f>
        <v>0</v>
      </c>
      <c r="H202" s="19">
        <f>VLOOKUP(C:C,Courts!B:F,5,FALSE)</f>
        <v>5</v>
      </c>
      <c r="I202" s="18" t="s">
        <v>9</v>
      </c>
      <c r="J202" s="19">
        <f>VLOOKUP(C:C,TooliD!B:N,13,FALSE)</f>
        <v>5</v>
      </c>
      <c r="K202" s="18">
        <f>VLOOKUP(C:C,TooliD!B:M,12,FALSE)</f>
        <v>5</v>
      </c>
      <c r="L202" s="19">
        <f t="shared" si="37"/>
        <v>0</v>
      </c>
      <c r="M202" s="19" t="str">
        <f t="shared" si="38"/>
        <v>OK</v>
      </c>
      <c r="N202" s="18"/>
    </row>
    <row r="203" spans="1:14" x14ac:dyDescent="0.25">
      <c r="A203" s="19" t="s">
        <v>157</v>
      </c>
      <c r="B203" s="18" t="s">
        <v>60</v>
      </c>
      <c r="C203" s="18" t="s">
        <v>62</v>
      </c>
      <c r="D203" s="19" t="s">
        <v>238</v>
      </c>
      <c r="E203" s="19">
        <f>VLOOKUP(C:C,Courts!B:C,2,FALSE)</f>
        <v>4</v>
      </c>
      <c r="F203" s="19">
        <f>VLOOKUP(C:C,Courts!B:E,4,FALSE)</f>
        <v>1</v>
      </c>
      <c r="G203" s="19">
        <f>VLOOKUP(C:C,Courts!B:D,3,FALSE)</f>
        <v>0</v>
      </c>
      <c r="H203" s="19">
        <f>VLOOKUP(C:C,Courts!B:F,5,FALSE)</f>
        <v>5</v>
      </c>
      <c r="I203" s="18" t="s">
        <v>239</v>
      </c>
      <c r="J203" s="19">
        <f>VLOOKUP(C:C,TooliD!B:Q,16,FALSE)</f>
        <v>8</v>
      </c>
      <c r="K203" s="18">
        <f>VLOOKUP(C:C,TooliD!B:P,15,FALSE)</f>
        <v>9</v>
      </c>
      <c r="L203" s="19">
        <f t="shared" si="37"/>
        <v>1</v>
      </c>
      <c r="M203" s="19" t="str">
        <f t="shared" si="38"/>
        <v>Surplus</v>
      </c>
      <c r="N203" s="18"/>
    </row>
    <row r="204" spans="1:14" x14ac:dyDescent="0.25">
      <c r="A204" s="19" t="s">
        <v>157</v>
      </c>
      <c r="B204" s="18" t="s">
        <v>60</v>
      </c>
      <c r="C204" s="18" t="s">
        <v>62</v>
      </c>
      <c r="D204" s="19" t="s">
        <v>238</v>
      </c>
      <c r="E204" s="19">
        <f>VLOOKUP(C:C,Courts!B:C,2,FALSE)</f>
        <v>4</v>
      </c>
      <c r="F204" s="19">
        <f>VLOOKUP(C:C,Courts!B:E,4,FALSE)</f>
        <v>1</v>
      </c>
      <c r="G204" s="19">
        <f>VLOOKUP(C:C,Courts!B:D,3,FALSE)</f>
        <v>0</v>
      </c>
      <c r="H204" s="19">
        <f>VLOOKUP(C:C,Courts!B:F,5,FALSE)</f>
        <v>5</v>
      </c>
      <c r="I204" s="18" t="s">
        <v>11</v>
      </c>
      <c r="J204" s="19">
        <f>VLOOKUP(C:C,TooliD!B:T,19,FALSE)</f>
        <v>36</v>
      </c>
      <c r="K204" s="18">
        <f>VLOOKUP(C:C,TooliD!B:S,18,FALSE)</f>
        <v>29</v>
      </c>
      <c r="L204" s="19">
        <f t="shared" si="37"/>
        <v>-7</v>
      </c>
      <c r="M204" s="19" t="str">
        <f t="shared" si="38"/>
        <v>Shortfall</v>
      </c>
      <c r="N204" s="18"/>
    </row>
    <row r="205" spans="1:14" x14ac:dyDescent="0.25">
      <c r="A205" s="19" t="s">
        <v>157</v>
      </c>
      <c r="B205" s="18" t="s">
        <v>60</v>
      </c>
      <c r="C205" s="18" t="s">
        <v>62</v>
      </c>
      <c r="D205" s="19" t="s">
        <v>238</v>
      </c>
      <c r="E205" s="19">
        <f>VLOOKUP(C:C,Courts!B:C,2,FALSE)</f>
        <v>4</v>
      </c>
      <c r="F205" s="19">
        <f>VLOOKUP(C:C,Courts!B:E,4,FALSE)</f>
        <v>1</v>
      </c>
      <c r="G205" s="19">
        <f>VLOOKUP(C:C,Courts!B:D,3,FALSE)</f>
        <v>0</v>
      </c>
      <c r="H205" s="19">
        <f>VLOOKUP(C:C,Courts!B:F,5,FALSE)</f>
        <v>5</v>
      </c>
      <c r="I205" s="18" t="s">
        <v>212</v>
      </c>
      <c r="J205" s="19">
        <f>VLOOKUP(C:C,TooliD!B:W,22,FALSE)</f>
        <v>5</v>
      </c>
      <c r="K205" s="18">
        <f>VLOOKUP(C:C,TooliD!B:V,21,FALSE)</f>
        <v>5</v>
      </c>
      <c r="L205" s="19">
        <f t="shared" si="37"/>
        <v>0</v>
      </c>
      <c r="M205" s="19" t="str">
        <f t="shared" si="38"/>
        <v>OK</v>
      </c>
      <c r="N205" s="18"/>
    </row>
    <row r="206" spans="1:14" x14ac:dyDescent="0.25">
      <c r="A206" s="19" t="s">
        <v>157</v>
      </c>
      <c r="B206" s="18" t="s">
        <v>60</v>
      </c>
      <c r="C206" s="18" t="s">
        <v>63</v>
      </c>
      <c r="D206" s="19" t="s">
        <v>238</v>
      </c>
      <c r="E206" s="19">
        <f>VLOOKUP(C:C,Courts!B:C,2,FALSE)</f>
        <v>6</v>
      </c>
      <c r="F206" s="19">
        <f>VLOOKUP(C:C,Courts!B:E,4,FALSE)</f>
        <v>1</v>
      </c>
      <c r="G206" s="19">
        <f>VLOOKUP(C:C,Courts!B:D,3,FALSE)</f>
        <v>0</v>
      </c>
      <c r="H206" s="19">
        <f>VLOOKUP(C:C,Courts!B:F,5,FALSE)</f>
        <v>7</v>
      </c>
      <c r="I206" s="18" t="s">
        <v>7</v>
      </c>
      <c r="J206" s="19">
        <f>VLOOKUP(C:C,TooliD!B:H,7,FALSE)</f>
        <v>7</v>
      </c>
      <c r="K206" s="19">
        <f>VLOOKUP(C:C,TooliD!B:G,6,FALSE)</f>
        <v>8</v>
      </c>
      <c r="L206" s="19">
        <f>K206-J206</f>
        <v>1</v>
      </c>
      <c r="M206" s="19" t="str">
        <f>IF(L206=0,"OK", IF(L206&gt;0,"Surplus","Shortfall"))</f>
        <v>Surplus</v>
      </c>
      <c r="N206" s="18"/>
    </row>
    <row r="207" spans="1:14" x14ac:dyDescent="0.25">
      <c r="A207" s="19" t="s">
        <v>157</v>
      </c>
      <c r="B207" s="18" t="s">
        <v>60</v>
      </c>
      <c r="C207" s="18" t="s">
        <v>63</v>
      </c>
      <c r="D207" s="19" t="s">
        <v>238</v>
      </c>
      <c r="E207" s="19">
        <f>VLOOKUP(C:C,Courts!B:C,2,FALSE)</f>
        <v>6</v>
      </c>
      <c r="F207" s="19">
        <f>VLOOKUP(C:C,Courts!B:E,4,FALSE)</f>
        <v>1</v>
      </c>
      <c r="G207" s="19">
        <f>VLOOKUP(C:C,Courts!B:D,3,FALSE)</f>
        <v>0</v>
      </c>
      <c r="H207" s="19">
        <f>VLOOKUP(C:C,Courts!B:F,5,FALSE)</f>
        <v>7</v>
      </c>
      <c r="I207" s="18" t="s">
        <v>241</v>
      </c>
      <c r="J207" s="19">
        <f>VLOOKUP(C:C,TooliD!B:K,7,FALSE)</f>
        <v>7</v>
      </c>
      <c r="K207" s="19">
        <f>VLOOKUP(C:C,TooliD!B:J,9,FALSE)</f>
        <v>5</v>
      </c>
      <c r="L207" s="19">
        <f t="shared" ref="L207:L211" si="39">K207-J207</f>
        <v>-2</v>
      </c>
      <c r="M207" s="19" t="str">
        <f t="shared" si="38"/>
        <v>Shortfall</v>
      </c>
      <c r="N207" s="18"/>
    </row>
    <row r="208" spans="1:14" x14ac:dyDescent="0.25">
      <c r="A208" s="19" t="s">
        <v>157</v>
      </c>
      <c r="B208" s="18" t="s">
        <v>60</v>
      </c>
      <c r="C208" s="18" t="s">
        <v>63</v>
      </c>
      <c r="D208" s="19" t="s">
        <v>238</v>
      </c>
      <c r="E208" s="19">
        <f>VLOOKUP(C:C,Courts!B:C,2,FALSE)</f>
        <v>6</v>
      </c>
      <c r="F208" s="19">
        <f>VLOOKUP(C:C,Courts!B:E,4,FALSE)</f>
        <v>1</v>
      </c>
      <c r="G208" s="19">
        <f>VLOOKUP(C:C,Courts!B:D,3,FALSE)</f>
        <v>0</v>
      </c>
      <c r="H208" s="19">
        <f>VLOOKUP(C:C,Courts!B:F,5,FALSE)</f>
        <v>7</v>
      </c>
      <c r="I208" s="18" t="s">
        <v>9</v>
      </c>
      <c r="J208" s="19">
        <f>VLOOKUP(C:C,TooliD!B:N,13,FALSE)</f>
        <v>7</v>
      </c>
      <c r="K208" s="18">
        <f>VLOOKUP(C:C,TooliD!B:M,12,FALSE)</f>
        <v>8</v>
      </c>
      <c r="L208" s="19">
        <f t="shared" si="39"/>
        <v>1</v>
      </c>
      <c r="M208" s="19" t="str">
        <f t="shared" si="38"/>
        <v>Surplus</v>
      </c>
      <c r="N208" s="18"/>
    </row>
    <row r="209" spans="1:14" x14ac:dyDescent="0.25">
      <c r="A209" s="19" t="s">
        <v>157</v>
      </c>
      <c r="B209" s="18" t="s">
        <v>60</v>
      </c>
      <c r="C209" s="18" t="s">
        <v>63</v>
      </c>
      <c r="D209" s="19" t="s">
        <v>238</v>
      </c>
      <c r="E209" s="19">
        <f>VLOOKUP(C:C,Courts!B:C,2,FALSE)</f>
        <v>6</v>
      </c>
      <c r="F209" s="19">
        <f>VLOOKUP(C:C,Courts!B:E,4,FALSE)</f>
        <v>1</v>
      </c>
      <c r="G209" s="19">
        <f>VLOOKUP(C:C,Courts!B:D,3,FALSE)</f>
        <v>0</v>
      </c>
      <c r="H209" s="19">
        <f>VLOOKUP(C:C,Courts!B:F,5,FALSE)</f>
        <v>7</v>
      </c>
      <c r="I209" s="18" t="s">
        <v>239</v>
      </c>
      <c r="J209" s="19">
        <f>VLOOKUP(C:C,TooliD!B:Q,16,FALSE)</f>
        <v>12</v>
      </c>
      <c r="K209" s="18">
        <f>VLOOKUP(C:C,TooliD!B:P,15,FALSE)</f>
        <v>14</v>
      </c>
      <c r="L209" s="19">
        <f t="shared" si="39"/>
        <v>2</v>
      </c>
      <c r="M209" s="19" t="str">
        <f t="shared" si="38"/>
        <v>Surplus</v>
      </c>
      <c r="N209" s="18"/>
    </row>
    <row r="210" spans="1:14" x14ac:dyDescent="0.25">
      <c r="A210" s="19" t="s">
        <v>157</v>
      </c>
      <c r="B210" s="18" t="s">
        <v>60</v>
      </c>
      <c r="C210" s="18" t="s">
        <v>63</v>
      </c>
      <c r="D210" s="19" t="s">
        <v>238</v>
      </c>
      <c r="E210" s="19">
        <f>VLOOKUP(C:C,Courts!B:C,2,FALSE)</f>
        <v>6</v>
      </c>
      <c r="F210" s="19">
        <f>VLOOKUP(C:C,Courts!B:E,4,FALSE)</f>
        <v>1</v>
      </c>
      <c r="G210" s="19">
        <f>VLOOKUP(C:C,Courts!B:D,3,FALSE)</f>
        <v>0</v>
      </c>
      <c r="H210" s="19">
        <f>VLOOKUP(C:C,Courts!B:F,5,FALSE)</f>
        <v>7</v>
      </c>
      <c r="I210" s="18" t="s">
        <v>11</v>
      </c>
      <c r="J210" s="19">
        <f>VLOOKUP(C:C,TooliD!B:T,19,FALSE)</f>
        <v>52</v>
      </c>
      <c r="K210" s="18">
        <f>VLOOKUP(C:C,TooliD!B:S,18,FALSE)</f>
        <v>36</v>
      </c>
      <c r="L210" s="19">
        <f t="shared" si="39"/>
        <v>-16</v>
      </c>
      <c r="M210" s="19" t="str">
        <f t="shared" si="38"/>
        <v>Shortfall</v>
      </c>
      <c r="N210" s="18"/>
    </row>
    <row r="211" spans="1:14" x14ac:dyDescent="0.25">
      <c r="A211" s="19" t="s">
        <v>157</v>
      </c>
      <c r="B211" s="18" t="s">
        <v>60</v>
      </c>
      <c r="C211" s="18" t="s">
        <v>63</v>
      </c>
      <c r="D211" s="19" t="s">
        <v>238</v>
      </c>
      <c r="E211" s="19">
        <f>VLOOKUP(C:C,Courts!B:C,2,FALSE)</f>
        <v>6</v>
      </c>
      <c r="F211" s="19">
        <f>VLOOKUP(C:C,Courts!B:E,4,FALSE)</f>
        <v>1</v>
      </c>
      <c r="G211" s="19">
        <f>VLOOKUP(C:C,Courts!B:D,3,FALSE)</f>
        <v>0</v>
      </c>
      <c r="H211" s="19">
        <f>VLOOKUP(C:C,Courts!B:F,5,FALSE)</f>
        <v>7</v>
      </c>
      <c r="I211" s="18" t="s">
        <v>212</v>
      </c>
      <c r="J211" s="19">
        <f>VLOOKUP(C:C,TooliD!B:W,22,FALSE)</f>
        <v>7</v>
      </c>
      <c r="K211" s="18">
        <f>VLOOKUP(C:C,TooliD!B:V,21,FALSE)</f>
        <v>6</v>
      </c>
      <c r="L211" s="19">
        <f t="shared" si="39"/>
        <v>-1</v>
      </c>
      <c r="M211" s="19" t="str">
        <f t="shared" si="38"/>
        <v>Shortfall</v>
      </c>
      <c r="N211" s="18"/>
    </row>
    <row r="212" spans="1:14" x14ac:dyDescent="0.25">
      <c r="A212" s="19" t="s">
        <v>157</v>
      </c>
      <c r="B212" s="18" t="s">
        <v>60</v>
      </c>
      <c r="C212" s="18" t="s">
        <v>64</v>
      </c>
      <c r="D212" s="19" t="s">
        <v>238</v>
      </c>
      <c r="E212" s="19">
        <f>VLOOKUP(C:C,Courts!B:C,2,FALSE)</f>
        <v>3</v>
      </c>
      <c r="F212" s="19">
        <f>VLOOKUP(C:C,Courts!B:E,4,FALSE)</f>
        <v>1</v>
      </c>
      <c r="G212" s="19">
        <f>VLOOKUP(C:C,Courts!B:D,3,FALSE)</f>
        <v>0</v>
      </c>
      <c r="H212" s="19">
        <f>VLOOKUP(C:C,Courts!B:F,5,FALSE)</f>
        <v>4</v>
      </c>
      <c r="I212" s="18" t="s">
        <v>7</v>
      </c>
      <c r="J212" s="19">
        <f>VLOOKUP(C:C,TooliD!B:H,7,FALSE)</f>
        <v>4</v>
      </c>
      <c r="K212" s="19">
        <f>VLOOKUP(C:C,TooliD!B:G,6,FALSE)</f>
        <v>4</v>
      </c>
      <c r="L212" s="19">
        <f>K212-J212</f>
        <v>0</v>
      </c>
      <c r="M212" s="19" t="str">
        <f>IF(L212=0,"OK", IF(L212&gt;0,"Surplus","Shortfall"))</f>
        <v>OK</v>
      </c>
      <c r="N212" s="18"/>
    </row>
    <row r="213" spans="1:14" x14ac:dyDescent="0.25">
      <c r="A213" s="19" t="s">
        <v>157</v>
      </c>
      <c r="B213" s="18" t="s">
        <v>60</v>
      </c>
      <c r="C213" s="18" t="s">
        <v>64</v>
      </c>
      <c r="D213" s="19" t="s">
        <v>238</v>
      </c>
      <c r="E213" s="19">
        <f>VLOOKUP(C:C,Courts!B:C,2,FALSE)</f>
        <v>3</v>
      </c>
      <c r="F213" s="19">
        <f>VLOOKUP(C:C,Courts!B:E,4,FALSE)</f>
        <v>1</v>
      </c>
      <c r="G213" s="19">
        <f>VLOOKUP(C:C,Courts!B:D,3,FALSE)</f>
        <v>0</v>
      </c>
      <c r="H213" s="19">
        <f>VLOOKUP(C:C,Courts!B:F,5,FALSE)</f>
        <v>4</v>
      </c>
      <c r="I213" s="18" t="s">
        <v>241</v>
      </c>
      <c r="J213" s="19">
        <f>VLOOKUP(C:C,TooliD!B:K,7,FALSE)</f>
        <v>4</v>
      </c>
      <c r="K213" s="19">
        <f>VLOOKUP(C:C,TooliD!B:J,9,FALSE)</f>
        <v>3</v>
      </c>
      <c r="L213" s="19">
        <f t="shared" ref="L213:L217" si="40">K213-J213</f>
        <v>-1</v>
      </c>
      <c r="M213" s="19" t="str">
        <f t="shared" si="38"/>
        <v>Shortfall</v>
      </c>
      <c r="N213" s="18"/>
    </row>
    <row r="214" spans="1:14" x14ac:dyDescent="0.25">
      <c r="A214" s="19" t="s">
        <v>157</v>
      </c>
      <c r="B214" s="18" t="s">
        <v>60</v>
      </c>
      <c r="C214" s="18" t="s">
        <v>64</v>
      </c>
      <c r="D214" s="19" t="s">
        <v>238</v>
      </c>
      <c r="E214" s="19">
        <f>VLOOKUP(C:C,Courts!B:C,2,FALSE)</f>
        <v>3</v>
      </c>
      <c r="F214" s="19">
        <f>VLOOKUP(C:C,Courts!B:E,4,FALSE)</f>
        <v>1</v>
      </c>
      <c r="G214" s="19">
        <f>VLOOKUP(C:C,Courts!B:D,3,FALSE)</f>
        <v>0</v>
      </c>
      <c r="H214" s="19">
        <f>VLOOKUP(C:C,Courts!B:F,5,FALSE)</f>
        <v>4</v>
      </c>
      <c r="I214" s="18" t="s">
        <v>9</v>
      </c>
      <c r="J214" s="19">
        <f>VLOOKUP(C:C,TooliD!B:N,13,FALSE)</f>
        <v>4</v>
      </c>
      <c r="K214" s="18">
        <f>VLOOKUP(C:C,TooliD!B:M,12,FALSE)</f>
        <v>4</v>
      </c>
      <c r="L214" s="19">
        <f t="shared" si="40"/>
        <v>0</v>
      </c>
      <c r="M214" s="19" t="str">
        <f t="shared" si="38"/>
        <v>OK</v>
      </c>
      <c r="N214" s="18"/>
    </row>
    <row r="215" spans="1:14" x14ac:dyDescent="0.25">
      <c r="A215" s="19" t="s">
        <v>157</v>
      </c>
      <c r="B215" s="18" t="s">
        <v>60</v>
      </c>
      <c r="C215" s="18" t="s">
        <v>64</v>
      </c>
      <c r="D215" s="19" t="s">
        <v>238</v>
      </c>
      <c r="E215" s="19">
        <f>VLOOKUP(C:C,Courts!B:C,2,FALSE)</f>
        <v>3</v>
      </c>
      <c r="F215" s="19">
        <f>VLOOKUP(C:C,Courts!B:E,4,FALSE)</f>
        <v>1</v>
      </c>
      <c r="G215" s="19">
        <f>VLOOKUP(C:C,Courts!B:D,3,FALSE)</f>
        <v>0</v>
      </c>
      <c r="H215" s="19">
        <f>VLOOKUP(C:C,Courts!B:F,5,FALSE)</f>
        <v>4</v>
      </c>
      <c r="I215" s="18" t="s">
        <v>239</v>
      </c>
      <c r="J215" s="19">
        <f>VLOOKUP(C:C,TooliD!B:Q,16,FALSE)</f>
        <v>6</v>
      </c>
      <c r="K215" s="18">
        <f>VLOOKUP(C:C,TooliD!B:P,15,FALSE)</f>
        <v>9</v>
      </c>
      <c r="L215" s="19">
        <f t="shared" si="40"/>
        <v>3</v>
      </c>
      <c r="M215" s="19" t="str">
        <f t="shared" si="38"/>
        <v>Surplus</v>
      </c>
      <c r="N215" s="18"/>
    </row>
    <row r="216" spans="1:14" x14ac:dyDescent="0.25">
      <c r="A216" s="19" t="s">
        <v>157</v>
      </c>
      <c r="B216" s="18" t="s">
        <v>60</v>
      </c>
      <c r="C216" s="18" t="s">
        <v>64</v>
      </c>
      <c r="D216" s="19" t="s">
        <v>238</v>
      </c>
      <c r="E216" s="19">
        <f>VLOOKUP(C:C,Courts!B:C,2,FALSE)</f>
        <v>3</v>
      </c>
      <c r="F216" s="19">
        <f>VLOOKUP(C:C,Courts!B:E,4,FALSE)</f>
        <v>1</v>
      </c>
      <c r="G216" s="19">
        <f>VLOOKUP(C:C,Courts!B:D,3,FALSE)</f>
        <v>0</v>
      </c>
      <c r="H216" s="19">
        <f>VLOOKUP(C:C,Courts!B:F,5,FALSE)</f>
        <v>4</v>
      </c>
      <c r="I216" s="18" t="s">
        <v>11</v>
      </c>
      <c r="J216" s="19">
        <f>VLOOKUP(C:C,TooliD!B:T,19,FALSE)</f>
        <v>28</v>
      </c>
      <c r="K216" s="18">
        <f>VLOOKUP(C:C,TooliD!B:S,18,FALSE)</f>
        <v>20</v>
      </c>
      <c r="L216" s="19">
        <f t="shared" si="40"/>
        <v>-8</v>
      </c>
      <c r="M216" s="19" t="str">
        <f t="shared" si="38"/>
        <v>Shortfall</v>
      </c>
      <c r="N216" s="18"/>
    </row>
    <row r="217" spans="1:14" x14ac:dyDescent="0.25">
      <c r="A217" s="19" t="s">
        <v>157</v>
      </c>
      <c r="B217" s="18" t="s">
        <v>60</v>
      </c>
      <c r="C217" s="18" t="s">
        <v>64</v>
      </c>
      <c r="D217" s="19" t="s">
        <v>238</v>
      </c>
      <c r="E217" s="19">
        <f>VLOOKUP(C:C,Courts!B:C,2,FALSE)</f>
        <v>3</v>
      </c>
      <c r="F217" s="19">
        <f>VLOOKUP(C:C,Courts!B:E,4,FALSE)</f>
        <v>1</v>
      </c>
      <c r="G217" s="19">
        <f>VLOOKUP(C:C,Courts!B:D,3,FALSE)</f>
        <v>0</v>
      </c>
      <c r="H217" s="19">
        <f>VLOOKUP(C:C,Courts!B:F,5,FALSE)</f>
        <v>4</v>
      </c>
      <c r="I217" s="18" t="s">
        <v>212</v>
      </c>
      <c r="J217" s="19">
        <f>VLOOKUP(C:C,TooliD!B:W,22,FALSE)</f>
        <v>4</v>
      </c>
      <c r="K217" s="18">
        <f>VLOOKUP(C:C,TooliD!B:V,21,FALSE)</f>
        <v>4</v>
      </c>
      <c r="L217" s="19">
        <f t="shared" si="40"/>
        <v>0</v>
      </c>
      <c r="M217" s="19" t="str">
        <f t="shared" si="38"/>
        <v>OK</v>
      </c>
      <c r="N217" s="18"/>
    </row>
    <row r="218" spans="1:14" x14ac:dyDescent="0.25">
      <c r="A218" s="19" t="s">
        <v>157</v>
      </c>
      <c r="B218" s="18" t="s">
        <v>65</v>
      </c>
      <c r="C218" s="18" t="s">
        <v>65</v>
      </c>
      <c r="D218" s="19" t="s">
        <v>237</v>
      </c>
      <c r="E218" s="19">
        <f>VLOOKUP(C:C,Courts!B:C,2,FALSE)</f>
        <v>10</v>
      </c>
      <c r="F218" s="19">
        <f>VLOOKUP(C:C,Courts!B:E,4,FALSE)</f>
        <v>0</v>
      </c>
      <c r="G218" s="19">
        <f>VLOOKUP(C:C,Courts!B:D,3,FALSE)</f>
        <v>0</v>
      </c>
      <c r="H218" s="19">
        <f>VLOOKUP(C:C,Courts!B:F,5,FALSE)</f>
        <v>10</v>
      </c>
      <c r="I218" s="18" t="s">
        <v>7</v>
      </c>
      <c r="J218" s="19">
        <f>VLOOKUP(C:C,TooliD!B:H,7,FALSE)</f>
        <v>10</v>
      </c>
      <c r="K218" s="19">
        <f>VLOOKUP(C:C,TooliD!B:G,6,FALSE)</f>
        <v>13</v>
      </c>
      <c r="L218" s="19">
        <f>K218-J218</f>
        <v>3</v>
      </c>
      <c r="M218" s="19" t="str">
        <f>IF(L218=0,"OK", IF(L218&gt;0,"Surplus","Shortfall"))</f>
        <v>Surplus</v>
      </c>
      <c r="N218" s="18"/>
    </row>
    <row r="219" spans="1:14" x14ac:dyDescent="0.25">
      <c r="A219" s="19" t="s">
        <v>157</v>
      </c>
      <c r="B219" s="18" t="s">
        <v>65</v>
      </c>
      <c r="C219" s="18" t="s">
        <v>65</v>
      </c>
      <c r="D219" s="19" t="s">
        <v>237</v>
      </c>
      <c r="E219" s="19">
        <f>VLOOKUP(C:C,Courts!B:C,2,FALSE)</f>
        <v>10</v>
      </c>
      <c r="F219" s="19">
        <f>VLOOKUP(C:C,Courts!B:E,4,FALSE)</f>
        <v>0</v>
      </c>
      <c r="G219" s="19">
        <f>VLOOKUP(C:C,Courts!B:D,3,FALSE)</f>
        <v>0</v>
      </c>
      <c r="H219" s="19">
        <f>VLOOKUP(C:C,Courts!B:F,5,FALSE)</f>
        <v>10</v>
      </c>
      <c r="I219" s="18" t="s">
        <v>241</v>
      </c>
      <c r="J219" s="19">
        <f>VLOOKUP(C:C,TooliD!B:K,7,FALSE)</f>
        <v>10</v>
      </c>
      <c r="K219" s="19">
        <f>VLOOKUP(C:C,TooliD!B:J,9,FALSE)</f>
        <v>8</v>
      </c>
      <c r="L219" s="19">
        <f t="shared" ref="L219:L223" si="41">K219-J219</f>
        <v>-2</v>
      </c>
      <c r="M219" s="19" t="str">
        <f t="shared" si="38"/>
        <v>Shortfall</v>
      </c>
      <c r="N219" s="18"/>
    </row>
    <row r="220" spans="1:14" x14ac:dyDescent="0.25">
      <c r="A220" s="19" t="s">
        <v>157</v>
      </c>
      <c r="B220" s="18" t="s">
        <v>65</v>
      </c>
      <c r="C220" s="18" t="s">
        <v>65</v>
      </c>
      <c r="D220" s="19" t="s">
        <v>237</v>
      </c>
      <c r="E220" s="19">
        <f>VLOOKUP(C:C,Courts!B:C,2,FALSE)</f>
        <v>10</v>
      </c>
      <c r="F220" s="19">
        <f>VLOOKUP(C:C,Courts!B:E,4,FALSE)</f>
        <v>0</v>
      </c>
      <c r="G220" s="19">
        <f>VLOOKUP(C:C,Courts!B:D,3,FALSE)</f>
        <v>0</v>
      </c>
      <c r="H220" s="19">
        <f>VLOOKUP(C:C,Courts!B:F,5,FALSE)</f>
        <v>10</v>
      </c>
      <c r="I220" s="18" t="s">
        <v>9</v>
      </c>
      <c r="J220" s="19">
        <f>VLOOKUP(C:C,TooliD!B:N,13,FALSE)</f>
        <v>10</v>
      </c>
      <c r="K220" s="18">
        <f>VLOOKUP(C:C,TooliD!B:M,12,FALSE)</f>
        <v>10</v>
      </c>
      <c r="L220" s="19">
        <f t="shared" si="41"/>
        <v>0</v>
      </c>
      <c r="M220" s="19" t="str">
        <f t="shared" si="38"/>
        <v>OK</v>
      </c>
      <c r="N220" s="18"/>
    </row>
    <row r="221" spans="1:14" x14ac:dyDescent="0.25">
      <c r="A221" s="19" t="s">
        <v>157</v>
      </c>
      <c r="B221" s="18" t="s">
        <v>65</v>
      </c>
      <c r="C221" s="18" t="s">
        <v>65</v>
      </c>
      <c r="D221" s="19" t="s">
        <v>237</v>
      </c>
      <c r="E221" s="19">
        <f>VLOOKUP(C:C,Courts!B:C,2,FALSE)</f>
        <v>10</v>
      </c>
      <c r="F221" s="19">
        <f>VLOOKUP(C:C,Courts!B:E,4,FALSE)</f>
        <v>0</v>
      </c>
      <c r="G221" s="19">
        <f>VLOOKUP(C:C,Courts!B:D,3,FALSE)</f>
        <v>0</v>
      </c>
      <c r="H221" s="19">
        <f>VLOOKUP(C:C,Courts!B:F,5,FALSE)</f>
        <v>10</v>
      </c>
      <c r="I221" s="18" t="s">
        <v>239</v>
      </c>
      <c r="J221" s="19">
        <f>VLOOKUP(C:C,TooliD!B:Q,16,FALSE)</f>
        <v>20</v>
      </c>
      <c r="K221" s="18">
        <f>VLOOKUP(C:C,TooliD!B:P,15,FALSE)</f>
        <v>20</v>
      </c>
      <c r="L221" s="19">
        <f t="shared" si="41"/>
        <v>0</v>
      </c>
      <c r="M221" s="19" t="str">
        <f t="shared" si="38"/>
        <v>OK</v>
      </c>
      <c r="N221" s="18"/>
    </row>
    <row r="222" spans="1:14" x14ac:dyDescent="0.25">
      <c r="A222" s="19" t="s">
        <v>157</v>
      </c>
      <c r="B222" s="18" t="s">
        <v>65</v>
      </c>
      <c r="C222" s="18" t="s">
        <v>65</v>
      </c>
      <c r="D222" s="19" t="s">
        <v>237</v>
      </c>
      <c r="E222" s="19">
        <f>VLOOKUP(C:C,Courts!B:C,2,FALSE)</f>
        <v>10</v>
      </c>
      <c r="F222" s="19">
        <f>VLOOKUP(C:C,Courts!B:E,4,FALSE)</f>
        <v>0</v>
      </c>
      <c r="G222" s="19">
        <f>VLOOKUP(C:C,Courts!B:D,3,FALSE)</f>
        <v>0</v>
      </c>
      <c r="H222" s="19">
        <f>VLOOKUP(C:C,Courts!B:F,5,FALSE)</f>
        <v>10</v>
      </c>
      <c r="I222" s="18" t="s">
        <v>11</v>
      </c>
      <c r="J222" s="19">
        <f>VLOOKUP(C:C,TooliD!B:T,19,FALSE)</f>
        <v>80</v>
      </c>
      <c r="K222" s="18">
        <f>VLOOKUP(C:C,TooliD!B:S,18,FALSE)</f>
        <v>64</v>
      </c>
      <c r="L222" s="19">
        <f t="shared" si="41"/>
        <v>-16</v>
      </c>
      <c r="M222" s="19" t="str">
        <f t="shared" si="38"/>
        <v>Shortfall</v>
      </c>
      <c r="N222" s="18"/>
    </row>
    <row r="223" spans="1:14" x14ac:dyDescent="0.25">
      <c r="A223" s="19" t="s">
        <v>157</v>
      </c>
      <c r="B223" s="18" t="s">
        <v>65</v>
      </c>
      <c r="C223" s="18" t="s">
        <v>65</v>
      </c>
      <c r="D223" s="19" t="s">
        <v>237</v>
      </c>
      <c r="E223" s="19">
        <f>VLOOKUP(C:C,Courts!B:C,2,FALSE)</f>
        <v>10</v>
      </c>
      <c r="F223" s="19">
        <f>VLOOKUP(C:C,Courts!B:E,4,FALSE)</f>
        <v>0</v>
      </c>
      <c r="G223" s="19">
        <f>VLOOKUP(C:C,Courts!B:D,3,FALSE)</f>
        <v>0</v>
      </c>
      <c r="H223" s="19">
        <f>VLOOKUP(C:C,Courts!B:F,5,FALSE)</f>
        <v>10</v>
      </c>
      <c r="I223" s="18" t="s">
        <v>212</v>
      </c>
      <c r="J223" s="19">
        <f>VLOOKUP(C:C,TooliD!B:W,22,FALSE)</f>
        <v>10</v>
      </c>
      <c r="K223" s="18">
        <f>VLOOKUP(C:C,TooliD!B:V,21,FALSE)</f>
        <v>9</v>
      </c>
      <c r="L223" s="19">
        <f t="shared" si="41"/>
        <v>-1</v>
      </c>
      <c r="M223" s="19" t="str">
        <f t="shared" si="38"/>
        <v>Shortfall</v>
      </c>
      <c r="N223" s="18"/>
    </row>
    <row r="224" spans="1:14" x14ac:dyDescent="0.25">
      <c r="A224" s="19" t="s">
        <v>157</v>
      </c>
      <c r="B224" s="18" t="s">
        <v>65</v>
      </c>
      <c r="C224" s="18" t="s">
        <v>66</v>
      </c>
      <c r="D224" s="19" t="s">
        <v>238</v>
      </c>
      <c r="E224" s="19">
        <f>VLOOKUP(C:C,Courts!B:C,2,FALSE)</f>
        <v>2</v>
      </c>
      <c r="F224" s="19">
        <f>VLOOKUP(C:C,Courts!B:E,4,FALSE)</f>
        <v>1</v>
      </c>
      <c r="G224" s="19">
        <f>VLOOKUP(C:C,Courts!B:D,3,FALSE)</f>
        <v>0</v>
      </c>
      <c r="H224" s="19">
        <f>VLOOKUP(C:C,Courts!B:F,5,FALSE)</f>
        <v>3</v>
      </c>
      <c r="I224" s="18" t="s">
        <v>7</v>
      </c>
      <c r="J224" s="19">
        <f>VLOOKUP(C:C,TooliD!B:H,7,FALSE)</f>
        <v>3</v>
      </c>
      <c r="K224" s="19">
        <f>VLOOKUP(C:C,TooliD!B:G,6,FALSE)</f>
        <v>3</v>
      </c>
      <c r="L224" s="19">
        <f>K224-J224</f>
        <v>0</v>
      </c>
      <c r="M224" s="19" t="str">
        <f>IF(L224=0,"OK", IF(L224&gt;0,"Surplus","Shortfall"))</f>
        <v>OK</v>
      </c>
      <c r="N224" s="18"/>
    </row>
    <row r="225" spans="1:14" x14ac:dyDescent="0.25">
      <c r="A225" s="19" t="s">
        <v>157</v>
      </c>
      <c r="B225" s="18" t="s">
        <v>65</v>
      </c>
      <c r="C225" s="18" t="s">
        <v>66</v>
      </c>
      <c r="D225" s="19" t="s">
        <v>238</v>
      </c>
      <c r="E225" s="19">
        <f>VLOOKUP(C:C,Courts!B:C,2,FALSE)</f>
        <v>2</v>
      </c>
      <c r="F225" s="19">
        <f>VLOOKUP(C:C,Courts!B:E,4,FALSE)</f>
        <v>1</v>
      </c>
      <c r="G225" s="19">
        <f>VLOOKUP(C:C,Courts!B:D,3,FALSE)</f>
        <v>0</v>
      </c>
      <c r="H225" s="19">
        <f>VLOOKUP(C:C,Courts!B:F,5,FALSE)</f>
        <v>3</v>
      </c>
      <c r="I225" s="18" t="s">
        <v>241</v>
      </c>
      <c r="J225" s="19">
        <f>VLOOKUP(C:C,TooliD!B:K,7,FALSE)</f>
        <v>3</v>
      </c>
      <c r="K225" s="19">
        <f>VLOOKUP(C:C,TooliD!B:J,9,FALSE)</f>
        <v>3</v>
      </c>
      <c r="L225" s="19">
        <f t="shared" ref="L225:L229" si="42">K225-J225</f>
        <v>0</v>
      </c>
      <c r="M225" s="19" t="str">
        <f t="shared" si="38"/>
        <v>OK</v>
      </c>
      <c r="N225" s="18"/>
    </row>
    <row r="226" spans="1:14" x14ac:dyDescent="0.25">
      <c r="A226" s="19" t="s">
        <v>157</v>
      </c>
      <c r="B226" s="18" t="s">
        <v>65</v>
      </c>
      <c r="C226" s="18" t="s">
        <v>66</v>
      </c>
      <c r="D226" s="19" t="s">
        <v>238</v>
      </c>
      <c r="E226" s="19">
        <f>VLOOKUP(C:C,Courts!B:C,2,FALSE)</f>
        <v>2</v>
      </c>
      <c r="F226" s="19">
        <f>VLOOKUP(C:C,Courts!B:E,4,FALSE)</f>
        <v>1</v>
      </c>
      <c r="G226" s="19">
        <f>VLOOKUP(C:C,Courts!B:D,3,FALSE)</f>
        <v>0</v>
      </c>
      <c r="H226" s="19">
        <f>VLOOKUP(C:C,Courts!B:F,5,FALSE)</f>
        <v>3</v>
      </c>
      <c r="I226" s="18" t="s">
        <v>9</v>
      </c>
      <c r="J226" s="19">
        <f>VLOOKUP(C:C,TooliD!B:N,13,FALSE)</f>
        <v>3</v>
      </c>
      <c r="K226" s="18">
        <f>VLOOKUP(C:C,TooliD!B:M,12,FALSE)</f>
        <v>3</v>
      </c>
      <c r="L226" s="19">
        <f t="shared" si="42"/>
        <v>0</v>
      </c>
      <c r="M226" s="19" t="str">
        <f t="shared" si="38"/>
        <v>OK</v>
      </c>
      <c r="N226" s="18"/>
    </row>
    <row r="227" spans="1:14" x14ac:dyDescent="0.25">
      <c r="A227" s="19" t="s">
        <v>157</v>
      </c>
      <c r="B227" s="18" t="s">
        <v>65</v>
      </c>
      <c r="C227" s="18" t="s">
        <v>66</v>
      </c>
      <c r="D227" s="19" t="s">
        <v>238</v>
      </c>
      <c r="E227" s="19">
        <f>VLOOKUP(C:C,Courts!B:C,2,FALSE)</f>
        <v>2</v>
      </c>
      <c r="F227" s="19">
        <f>VLOOKUP(C:C,Courts!B:E,4,FALSE)</f>
        <v>1</v>
      </c>
      <c r="G227" s="19">
        <f>VLOOKUP(C:C,Courts!B:D,3,FALSE)</f>
        <v>0</v>
      </c>
      <c r="H227" s="19">
        <f>VLOOKUP(C:C,Courts!B:F,5,FALSE)</f>
        <v>3</v>
      </c>
      <c r="I227" s="18" t="s">
        <v>239</v>
      </c>
      <c r="J227" s="19">
        <f>VLOOKUP(C:C,TooliD!B:Q,16,FALSE)</f>
        <v>4</v>
      </c>
      <c r="K227" s="18">
        <f>VLOOKUP(C:C,TooliD!B:P,15,FALSE)</f>
        <v>5</v>
      </c>
      <c r="L227" s="19">
        <f t="shared" si="42"/>
        <v>1</v>
      </c>
      <c r="M227" s="19" t="str">
        <f t="shared" si="38"/>
        <v>Surplus</v>
      </c>
      <c r="N227" s="18"/>
    </row>
    <row r="228" spans="1:14" x14ac:dyDescent="0.25">
      <c r="A228" s="19" t="s">
        <v>157</v>
      </c>
      <c r="B228" s="18" t="s">
        <v>65</v>
      </c>
      <c r="C228" s="18" t="s">
        <v>66</v>
      </c>
      <c r="D228" s="19" t="s">
        <v>238</v>
      </c>
      <c r="E228" s="19">
        <f>VLOOKUP(C:C,Courts!B:C,2,FALSE)</f>
        <v>2</v>
      </c>
      <c r="F228" s="19">
        <f>VLOOKUP(C:C,Courts!B:E,4,FALSE)</f>
        <v>1</v>
      </c>
      <c r="G228" s="19">
        <f>VLOOKUP(C:C,Courts!B:D,3,FALSE)</f>
        <v>0</v>
      </c>
      <c r="H228" s="19">
        <f>VLOOKUP(C:C,Courts!B:F,5,FALSE)</f>
        <v>3</v>
      </c>
      <c r="I228" s="18" t="s">
        <v>11</v>
      </c>
      <c r="J228" s="19">
        <f>VLOOKUP(C:C,TooliD!B:T,19,FALSE)</f>
        <v>20</v>
      </c>
      <c r="K228" s="18">
        <f>VLOOKUP(C:C,TooliD!B:S,18,FALSE)</f>
        <v>20</v>
      </c>
      <c r="L228" s="19">
        <f t="shared" si="42"/>
        <v>0</v>
      </c>
      <c r="M228" s="19" t="str">
        <f t="shared" si="38"/>
        <v>OK</v>
      </c>
      <c r="N228" s="18"/>
    </row>
    <row r="229" spans="1:14" x14ac:dyDescent="0.25">
      <c r="A229" s="19" t="s">
        <v>157</v>
      </c>
      <c r="B229" s="18" t="s">
        <v>65</v>
      </c>
      <c r="C229" s="18" t="s">
        <v>66</v>
      </c>
      <c r="D229" s="19" t="s">
        <v>238</v>
      </c>
      <c r="E229" s="19">
        <f>VLOOKUP(C:C,Courts!B:C,2,FALSE)</f>
        <v>2</v>
      </c>
      <c r="F229" s="19">
        <f>VLOOKUP(C:C,Courts!B:E,4,FALSE)</f>
        <v>1</v>
      </c>
      <c r="G229" s="19">
        <f>VLOOKUP(C:C,Courts!B:D,3,FALSE)</f>
        <v>0</v>
      </c>
      <c r="H229" s="19">
        <f>VLOOKUP(C:C,Courts!B:F,5,FALSE)</f>
        <v>3</v>
      </c>
      <c r="I229" s="18" t="s">
        <v>212</v>
      </c>
      <c r="J229" s="19">
        <f>VLOOKUP(C:C,TooliD!B:W,22,FALSE)</f>
        <v>3</v>
      </c>
      <c r="K229" s="18">
        <f>VLOOKUP(C:C,TooliD!B:V,21,FALSE)</f>
        <v>3</v>
      </c>
      <c r="L229" s="19">
        <f t="shared" si="42"/>
        <v>0</v>
      </c>
      <c r="M229" s="19" t="str">
        <f t="shared" si="38"/>
        <v>OK</v>
      </c>
      <c r="N229" s="18"/>
    </row>
    <row r="230" spans="1:14" x14ac:dyDescent="0.25">
      <c r="A230" s="19" t="s">
        <v>157</v>
      </c>
      <c r="B230" s="18" t="s">
        <v>65</v>
      </c>
      <c r="C230" s="18" t="s">
        <v>67</v>
      </c>
      <c r="D230" s="19" t="s">
        <v>238</v>
      </c>
      <c r="E230" s="19">
        <f>VLOOKUP(C:C,Courts!B:C,2,FALSE)</f>
        <v>3</v>
      </c>
      <c r="F230" s="19">
        <f>VLOOKUP(C:C,Courts!B:E,4,FALSE)</f>
        <v>1</v>
      </c>
      <c r="G230" s="19">
        <f>VLOOKUP(C:C,Courts!B:D,3,FALSE)</f>
        <v>0</v>
      </c>
      <c r="H230" s="19">
        <f>VLOOKUP(C:C,Courts!B:F,5,FALSE)</f>
        <v>4</v>
      </c>
      <c r="I230" s="18" t="s">
        <v>7</v>
      </c>
      <c r="J230" s="19">
        <f>VLOOKUP(C:C,TooliD!B:H,7,FALSE)</f>
        <v>4</v>
      </c>
      <c r="K230" s="19">
        <f>VLOOKUP(C:C,TooliD!B:G,6,FALSE)</f>
        <v>5</v>
      </c>
      <c r="L230" s="19">
        <f>K230-J230</f>
        <v>1</v>
      </c>
      <c r="M230" s="19" t="str">
        <f>IF(L230=0,"OK", IF(L230&gt;0,"Surplus","Shortfall"))</f>
        <v>Surplus</v>
      </c>
      <c r="N230" s="18"/>
    </row>
    <row r="231" spans="1:14" x14ac:dyDescent="0.25">
      <c r="A231" s="19" t="s">
        <v>157</v>
      </c>
      <c r="B231" s="18" t="s">
        <v>65</v>
      </c>
      <c r="C231" s="18" t="s">
        <v>67</v>
      </c>
      <c r="D231" s="19" t="s">
        <v>238</v>
      </c>
      <c r="E231" s="19">
        <f>VLOOKUP(C:C,Courts!B:C,2,FALSE)</f>
        <v>3</v>
      </c>
      <c r="F231" s="19">
        <f>VLOOKUP(C:C,Courts!B:E,4,FALSE)</f>
        <v>1</v>
      </c>
      <c r="G231" s="19">
        <f>VLOOKUP(C:C,Courts!B:D,3,FALSE)</f>
        <v>0</v>
      </c>
      <c r="H231" s="19">
        <f>VLOOKUP(C:C,Courts!B:F,5,FALSE)</f>
        <v>4</v>
      </c>
      <c r="I231" s="18" t="s">
        <v>241</v>
      </c>
      <c r="J231" s="19">
        <f>VLOOKUP(C:C,TooliD!B:K,7,FALSE)</f>
        <v>4</v>
      </c>
      <c r="K231" s="19">
        <f>VLOOKUP(C:C,TooliD!B:J,9,FALSE)</f>
        <v>3</v>
      </c>
      <c r="L231" s="19">
        <f t="shared" ref="L231:L235" si="43">K231-J231</f>
        <v>-1</v>
      </c>
      <c r="M231" s="19" t="str">
        <f t="shared" ref="M231:M235" si="44">IF(L231=0,"OK", IF(L231&gt;0,"Surplus","Shortfall"))</f>
        <v>Shortfall</v>
      </c>
      <c r="N231" s="18"/>
    </row>
    <row r="232" spans="1:14" x14ac:dyDescent="0.25">
      <c r="A232" s="19" t="s">
        <v>157</v>
      </c>
      <c r="B232" s="18" t="s">
        <v>65</v>
      </c>
      <c r="C232" s="18" t="s">
        <v>67</v>
      </c>
      <c r="D232" s="19" t="s">
        <v>238</v>
      </c>
      <c r="E232" s="19">
        <f>VLOOKUP(C:C,Courts!B:C,2,FALSE)</f>
        <v>3</v>
      </c>
      <c r="F232" s="19">
        <f>VLOOKUP(C:C,Courts!B:E,4,FALSE)</f>
        <v>1</v>
      </c>
      <c r="G232" s="19">
        <f>VLOOKUP(C:C,Courts!B:D,3,FALSE)</f>
        <v>0</v>
      </c>
      <c r="H232" s="19">
        <f>VLOOKUP(C:C,Courts!B:F,5,FALSE)</f>
        <v>4</v>
      </c>
      <c r="I232" s="18" t="s">
        <v>9</v>
      </c>
      <c r="J232" s="19">
        <f>VLOOKUP(C:C,TooliD!B:N,13,FALSE)</f>
        <v>4</v>
      </c>
      <c r="K232" s="18">
        <f>VLOOKUP(C:C,TooliD!B:M,12,FALSE)</f>
        <v>5</v>
      </c>
      <c r="L232" s="19">
        <f t="shared" si="43"/>
        <v>1</v>
      </c>
      <c r="M232" s="19" t="str">
        <f t="shared" si="44"/>
        <v>Surplus</v>
      </c>
      <c r="N232" s="18"/>
    </row>
    <row r="233" spans="1:14" x14ac:dyDescent="0.25">
      <c r="A233" s="19" t="s">
        <v>157</v>
      </c>
      <c r="B233" s="18" t="s">
        <v>65</v>
      </c>
      <c r="C233" s="18" t="s">
        <v>67</v>
      </c>
      <c r="D233" s="19" t="s">
        <v>238</v>
      </c>
      <c r="E233" s="19">
        <f>VLOOKUP(C:C,Courts!B:C,2,FALSE)</f>
        <v>3</v>
      </c>
      <c r="F233" s="19">
        <f>VLOOKUP(C:C,Courts!B:E,4,FALSE)</f>
        <v>1</v>
      </c>
      <c r="G233" s="19">
        <f>VLOOKUP(C:C,Courts!B:D,3,FALSE)</f>
        <v>0</v>
      </c>
      <c r="H233" s="19">
        <f>VLOOKUP(C:C,Courts!B:F,5,FALSE)</f>
        <v>4</v>
      </c>
      <c r="I233" s="18" t="s">
        <v>239</v>
      </c>
      <c r="J233" s="19">
        <f>VLOOKUP(C:C,TooliD!B:Q,16,FALSE)</f>
        <v>6</v>
      </c>
      <c r="K233" s="18">
        <f>VLOOKUP(C:C,TooliD!B:P,15,FALSE)</f>
        <v>8</v>
      </c>
      <c r="L233" s="19">
        <f t="shared" si="43"/>
        <v>2</v>
      </c>
      <c r="M233" s="19" t="str">
        <f t="shared" si="44"/>
        <v>Surplus</v>
      </c>
      <c r="N233" s="18"/>
    </row>
    <row r="234" spans="1:14" x14ac:dyDescent="0.25">
      <c r="A234" s="19" t="s">
        <v>157</v>
      </c>
      <c r="B234" s="18" t="s">
        <v>65</v>
      </c>
      <c r="C234" s="18" t="s">
        <v>67</v>
      </c>
      <c r="D234" s="19" t="s">
        <v>238</v>
      </c>
      <c r="E234" s="19">
        <f>VLOOKUP(C:C,Courts!B:C,2,FALSE)</f>
        <v>3</v>
      </c>
      <c r="F234" s="19">
        <f>VLOOKUP(C:C,Courts!B:E,4,FALSE)</f>
        <v>1</v>
      </c>
      <c r="G234" s="19">
        <f>VLOOKUP(C:C,Courts!B:D,3,FALSE)</f>
        <v>0</v>
      </c>
      <c r="H234" s="19">
        <f>VLOOKUP(C:C,Courts!B:F,5,FALSE)</f>
        <v>4</v>
      </c>
      <c r="I234" s="18" t="s">
        <v>11</v>
      </c>
      <c r="J234" s="19">
        <f>VLOOKUP(C:C,TooliD!B:T,19,FALSE)</f>
        <v>28</v>
      </c>
      <c r="K234" s="18">
        <f>VLOOKUP(C:C,TooliD!B:S,18,FALSE)</f>
        <v>20</v>
      </c>
      <c r="L234" s="19">
        <f t="shared" si="43"/>
        <v>-8</v>
      </c>
      <c r="M234" s="19" t="str">
        <f t="shared" si="44"/>
        <v>Shortfall</v>
      </c>
      <c r="N234" s="18"/>
    </row>
    <row r="235" spans="1:14" x14ac:dyDescent="0.25">
      <c r="A235" s="19" t="s">
        <v>157</v>
      </c>
      <c r="B235" s="18" t="s">
        <v>65</v>
      </c>
      <c r="C235" s="18" t="s">
        <v>67</v>
      </c>
      <c r="D235" s="19" t="s">
        <v>238</v>
      </c>
      <c r="E235" s="19">
        <f>VLOOKUP(C:C,Courts!B:C,2,FALSE)</f>
        <v>3</v>
      </c>
      <c r="F235" s="19">
        <f>VLOOKUP(C:C,Courts!B:E,4,FALSE)</f>
        <v>1</v>
      </c>
      <c r="G235" s="19">
        <f>VLOOKUP(C:C,Courts!B:D,3,FALSE)</f>
        <v>0</v>
      </c>
      <c r="H235" s="19">
        <f>VLOOKUP(C:C,Courts!B:F,5,FALSE)</f>
        <v>4</v>
      </c>
      <c r="I235" s="18" t="s">
        <v>212</v>
      </c>
      <c r="J235" s="19">
        <f>VLOOKUP(C:C,TooliD!B:W,22,FALSE)</f>
        <v>4</v>
      </c>
      <c r="K235" s="18">
        <f>VLOOKUP(C:C,TooliD!B:V,21,FALSE)</f>
        <v>3</v>
      </c>
      <c r="L235" s="19">
        <f t="shared" si="43"/>
        <v>-1</v>
      </c>
      <c r="M235" s="19" t="str">
        <f t="shared" si="44"/>
        <v>Shortfall</v>
      </c>
      <c r="N235" s="18"/>
    </row>
    <row r="236" spans="1:14" x14ac:dyDescent="0.25">
      <c r="A236" s="19" t="s">
        <v>157</v>
      </c>
      <c r="B236" s="18" t="s">
        <v>68</v>
      </c>
      <c r="C236" s="18" t="s">
        <v>68</v>
      </c>
      <c r="D236" s="19" t="s">
        <v>237</v>
      </c>
      <c r="E236" s="19">
        <f>VLOOKUP(C:C,Courts!B:C,2,FALSE)</f>
        <v>15</v>
      </c>
      <c r="F236" s="19">
        <f>VLOOKUP(C:C,Courts!B:E,4,FALSE)</f>
        <v>0</v>
      </c>
      <c r="G236" s="19">
        <f>VLOOKUP(C:C,Courts!B:D,3,FALSE)</f>
        <v>0</v>
      </c>
      <c r="H236" s="19">
        <f>VLOOKUP(C:C,Courts!B:F,5,FALSE)</f>
        <v>15</v>
      </c>
      <c r="I236" s="18" t="s">
        <v>7</v>
      </c>
      <c r="J236" s="19">
        <f>VLOOKUP(C:C,TooliD!B:H,7,FALSE)</f>
        <v>15</v>
      </c>
      <c r="K236" s="19">
        <f>VLOOKUP(C:C,TooliD!B:G,6,FALSE)</f>
        <v>17</v>
      </c>
      <c r="L236" s="19">
        <f>K236-J236</f>
        <v>2</v>
      </c>
      <c r="M236" s="19" t="str">
        <f>IF(L236=0,"OK", IF(L236&gt;0,"Surplus","Shortfall"))</f>
        <v>Surplus</v>
      </c>
      <c r="N236" s="18"/>
    </row>
    <row r="237" spans="1:14" x14ac:dyDescent="0.25">
      <c r="A237" s="19" t="s">
        <v>157</v>
      </c>
      <c r="B237" s="18" t="s">
        <v>68</v>
      </c>
      <c r="C237" s="18" t="s">
        <v>68</v>
      </c>
      <c r="D237" s="19" t="s">
        <v>237</v>
      </c>
      <c r="E237" s="19">
        <f>VLOOKUP(C:C,Courts!B:C,2,FALSE)</f>
        <v>15</v>
      </c>
      <c r="F237" s="19">
        <f>VLOOKUP(C:C,Courts!B:E,4,FALSE)</f>
        <v>0</v>
      </c>
      <c r="G237" s="19">
        <f>VLOOKUP(C:C,Courts!B:D,3,FALSE)</f>
        <v>0</v>
      </c>
      <c r="H237" s="19">
        <f>VLOOKUP(C:C,Courts!B:F,5,FALSE)</f>
        <v>15</v>
      </c>
      <c r="I237" s="18" t="s">
        <v>241</v>
      </c>
      <c r="J237" s="19">
        <f>VLOOKUP(C:C,TooliD!B:K,7,FALSE)</f>
        <v>15</v>
      </c>
      <c r="K237" s="19">
        <f>VLOOKUP(C:C,TooliD!B:J,9,FALSE)</f>
        <v>13</v>
      </c>
      <c r="L237" s="19">
        <f t="shared" ref="L237:L241" si="45">K237-J237</f>
        <v>-2</v>
      </c>
      <c r="M237" s="19" t="str">
        <f t="shared" si="38"/>
        <v>Shortfall</v>
      </c>
      <c r="N237" s="18"/>
    </row>
    <row r="238" spans="1:14" x14ac:dyDescent="0.25">
      <c r="A238" s="19" t="s">
        <v>157</v>
      </c>
      <c r="B238" s="18" t="s">
        <v>68</v>
      </c>
      <c r="C238" s="18" t="s">
        <v>68</v>
      </c>
      <c r="D238" s="19" t="s">
        <v>237</v>
      </c>
      <c r="E238" s="19">
        <f>VLOOKUP(C:C,Courts!B:C,2,FALSE)</f>
        <v>15</v>
      </c>
      <c r="F238" s="19">
        <f>VLOOKUP(C:C,Courts!B:E,4,FALSE)</f>
        <v>0</v>
      </c>
      <c r="G238" s="19">
        <f>VLOOKUP(C:C,Courts!B:D,3,FALSE)</f>
        <v>0</v>
      </c>
      <c r="H238" s="19">
        <f>VLOOKUP(C:C,Courts!B:F,5,FALSE)</f>
        <v>15</v>
      </c>
      <c r="I238" s="18" t="s">
        <v>9</v>
      </c>
      <c r="J238" s="19">
        <f>VLOOKUP(C:C,TooliD!B:N,13,FALSE)</f>
        <v>15</v>
      </c>
      <c r="K238" s="18">
        <f>VLOOKUP(C:C,TooliD!B:M,12,FALSE)</f>
        <v>15</v>
      </c>
      <c r="L238" s="19">
        <f t="shared" si="45"/>
        <v>0</v>
      </c>
      <c r="M238" s="19" t="str">
        <f t="shared" si="38"/>
        <v>OK</v>
      </c>
      <c r="N238" s="18"/>
    </row>
    <row r="239" spans="1:14" x14ac:dyDescent="0.25">
      <c r="A239" s="19" t="s">
        <v>157</v>
      </c>
      <c r="B239" s="18" t="s">
        <v>68</v>
      </c>
      <c r="C239" s="18" t="s">
        <v>68</v>
      </c>
      <c r="D239" s="19" t="s">
        <v>237</v>
      </c>
      <c r="E239" s="19">
        <f>VLOOKUP(C:C,Courts!B:C,2,FALSE)</f>
        <v>15</v>
      </c>
      <c r="F239" s="19">
        <f>VLOOKUP(C:C,Courts!B:E,4,FALSE)</f>
        <v>0</v>
      </c>
      <c r="G239" s="19">
        <f>VLOOKUP(C:C,Courts!B:D,3,FALSE)</f>
        <v>0</v>
      </c>
      <c r="H239" s="19">
        <f>VLOOKUP(C:C,Courts!B:F,5,FALSE)</f>
        <v>15</v>
      </c>
      <c r="I239" s="18" t="s">
        <v>239</v>
      </c>
      <c r="J239" s="19">
        <f>VLOOKUP(C:C,TooliD!B:Q,16,FALSE)</f>
        <v>30</v>
      </c>
      <c r="K239" s="18">
        <f>VLOOKUP(C:C,TooliD!B:P,15,FALSE)</f>
        <v>30</v>
      </c>
      <c r="L239" s="19">
        <f t="shared" si="45"/>
        <v>0</v>
      </c>
      <c r="M239" s="19" t="str">
        <f t="shared" si="38"/>
        <v>OK</v>
      </c>
      <c r="N239" s="18"/>
    </row>
    <row r="240" spans="1:14" x14ac:dyDescent="0.25">
      <c r="A240" s="19" t="s">
        <v>157</v>
      </c>
      <c r="B240" s="18" t="s">
        <v>68</v>
      </c>
      <c r="C240" s="18" t="s">
        <v>68</v>
      </c>
      <c r="D240" s="19" t="s">
        <v>237</v>
      </c>
      <c r="E240" s="19">
        <f>VLOOKUP(C:C,Courts!B:C,2,FALSE)</f>
        <v>15</v>
      </c>
      <c r="F240" s="19">
        <f>VLOOKUP(C:C,Courts!B:E,4,FALSE)</f>
        <v>0</v>
      </c>
      <c r="G240" s="19">
        <f>VLOOKUP(C:C,Courts!B:D,3,FALSE)</f>
        <v>0</v>
      </c>
      <c r="H240" s="19">
        <f>VLOOKUP(C:C,Courts!B:F,5,FALSE)</f>
        <v>15</v>
      </c>
      <c r="I240" s="18" t="s">
        <v>11</v>
      </c>
      <c r="J240" s="19">
        <f>VLOOKUP(C:C,TooliD!B:T,19,FALSE)</f>
        <v>120</v>
      </c>
      <c r="K240" s="18">
        <f>VLOOKUP(C:C,TooliD!B:S,18,FALSE)</f>
        <v>96</v>
      </c>
      <c r="L240" s="19">
        <f t="shared" si="45"/>
        <v>-24</v>
      </c>
      <c r="M240" s="19" t="str">
        <f t="shared" si="38"/>
        <v>Shortfall</v>
      </c>
      <c r="N240" s="18"/>
    </row>
    <row r="241" spans="1:14" x14ac:dyDescent="0.25">
      <c r="A241" s="19" t="s">
        <v>157</v>
      </c>
      <c r="B241" s="18" t="s">
        <v>68</v>
      </c>
      <c r="C241" s="18" t="s">
        <v>68</v>
      </c>
      <c r="D241" s="19" t="s">
        <v>237</v>
      </c>
      <c r="E241" s="19">
        <f>VLOOKUP(C:C,Courts!B:C,2,FALSE)</f>
        <v>15</v>
      </c>
      <c r="F241" s="19">
        <f>VLOOKUP(C:C,Courts!B:E,4,FALSE)</f>
        <v>0</v>
      </c>
      <c r="G241" s="19">
        <f>VLOOKUP(C:C,Courts!B:D,3,FALSE)</f>
        <v>0</v>
      </c>
      <c r="H241" s="19">
        <f>VLOOKUP(C:C,Courts!B:F,5,FALSE)</f>
        <v>15</v>
      </c>
      <c r="I241" s="18" t="s">
        <v>212</v>
      </c>
      <c r="J241" s="19">
        <f>VLOOKUP(C:C,TooliD!B:W,22,FALSE)</f>
        <v>15</v>
      </c>
      <c r="K241" s="18">
        <f>VLOOKUP(C:C,TooliD!B:V,21,FALSE)</f>
        <v>13</v>
      </c>
      <c r="L241" s="19">
        <f t="shared" si="45"/>
        <v>-2</v>
      </c>
      <c r="M241" s="19" t="str">
        <f t="shared" si="38"/>
        <v>Shortfall</v>
      </c>
      <c r="N241" s="18"/>
    </row>
    <row r="242" spans="1:14" x14ac:dyDescent="0.25">
      <c r="A242" s="19" t="s">
        <v>157</v>
      </c>
      <c r="B242" s="18" t="s">
        <v>68</v>
      </c>
      <c r="C242" s="18" t="s">
        <v>69</v>
      </c>
      <c r="D242" s="19" t="s">
        <v>238</v>
      </c>
      <c r="E242" s="19">
        <f>VLOOKUP(C:C,Courts!B:C,2,FALSE)</f>
        <v>2</v>
      </c>
      <c r="F242" s="19">
        <f>VLOOKUP(C:C,Courts!B:E,4,FALSE)</f>
        <v>1</v>
      </c>
      <c r="G242" s="19">
        <f>VLOOKUP(C:C,Courts!B:D,3,FALSE)</f>
        <v>0</v>
      </c>
      <c r="H242" s="19">
        <f>VLOOKUP(C:C,Courts!B:F,5,FALSE)</f>
        <v>3</v>
      </c>
      <c r="I242" s="18" t="s">
        <v>7</v>
      </c>
      <c r="J242" s="19">
        <f>VLOOKUP(C:C,TooliD!B:H,7,FALSE)</f>
        <v>3</v>
      </c>
      <c r="K242" s="19">
        <f>VLOOKUP(C:C,TooliD!B:G,6,FALSE)</f>
        <v>3</v>
      </c>
      <c r="L242" s="19">
        <f>K242-J242</f>
        <v>0</v>
      </c>
      <c r="M242" s="19" t="str">
        <f>IF(L242=0,"OK", IF(L242&gt;0,"Surplus","Shortfall"))</f>
        <v>OK</v>
      </c>
      <c r="N242" s="18"/>
    </row>
    <row r="243" spans="1:14" x14ac:dyDescent="0.25">
      <c r="A243" s="19" t="s">
        <v>157</v>
      </c>
      <c r="B243" s="18" t="s">
        <v>68</v>
      </c>
      <c r="C243" s="18" t="s">
        <v>69</v>
      </c>
      <c r="D243" s="19" t="s">
        <v>238</v>
      </c>
      <c r="E243" s="19">
        <f>VLOOKUP(C:C,Courts!B:C,2,FALSE)</f>
        <v>2</v>
      </c>
      <c r="F243" s="19">
        <f>VLOOKUP(C:C,Courts!B:E,4,FALSE)</f>
        <v>1</v>
      </c>
      <c r="G243" s="19">
        <f>VLOOKUP(C:C,Courts!B:D,3,FALSE)</f>
        <v>0</v>
      </c>
      <c r="H243" s="19">
        <f>VLOOKUP(C:C,Courts!B:F,5,FALSE)</f>
        <v>3</v>
      </c>
      <c r="I243" s="18" t="s">
        <v>241</v>
      </c>
      <c r="J243" s="19">
        <f>VLOOKUP(C:C,TooliD!B:K,7,FALSE)</f>
        <v>3</v>
      </c>
      <c r="K243" s="19">
        <f>VLOOKUP(C:C,TooliD!B:J,9,FALSE)</f>
        <v>2</v>
      </c>
      <c r="L243" s="19">
        <f t="shared" ref="L243:L247" si="46">K243-J243</f>
        <v>-1</v>
      </c>
      <c r="M243" s="19" t="str">
        <f t="shared" si="38"/>
        <v>Shortfall</v>
      </c>
      <c r="N243" s="18"/>
    </row>
    <row r="244" spans="1:14" x14ac:dyDescent="0.25">
      <c r="A244" s="19" t="s">
        <v>157</v>
      </c>
      <c r="B244" s="18" t="s">
        <v>68</v>
      </c>
      <c r="C244" s="18" t="s">
        <v>69</v>
      </c>
      <c r="D244" s="19" t="s">
        <v>238</v>
      </c>
      <c r="E244" s="19">
        <f>VLOOKUP(C:C,Courts!B:C,2,FALSE)</f>
        <v>2</v>
      </c>
      <c r="F244" s="19">
        <f>VLOOKUP(C:C,Courts!B:E,4,FALSE)</f>
        <v>1</v>
      </c>
      <c r="G244" s="19">
        <f>VLOOKUP(C:C,Courts!B:D,3,FALSE)</f>
        <v>0</v>
      </c>
      <c r="H244" s="19">
        <f>VLOOKUP(C:C,Courts!B:F,5,FALSE)</f>
        <v>3</v>
      </c>
      <c r="I244" s="18" t="s">
        <v>9</v>
      </c>
      <c r="J244" s="19">
        <f>VLOOKUP(C:C,TooliD!B:N,13,FALSE)</f>
        <v>3</v>
      </c>
      <c r="K244" s="18">
        <f>VLOOKUP(C:C,TooliD!B:M,12,FALSE)</f>
        <v>3</v>
      </c>
      <c r="L244" s="19">
        <f t="shared" si="46"/>
        <v>0</v>
      </c>
      <c r="M244" s="19" t="str">
        <f t="shared" si="38"/>
        <v>OK</v>
      </c>
      <c r="N244" s="18"/>
    </row>
    <row r="245" spans="1:14" x14ac:dyDescent="0.25">
      <c r="A245" s="19" t="s">
        <v>157</v>
      </c>
      <c r="B245" s="18" t="s">
        <v>68</v>
      </c>
      <c r="C245" s="18" t="s">
        <v>69</v>
      </c>
      <c r="D245" s="19" t="s">
        <v>238</v>
      </c>
      <c r="E245" s="19">
        <f>VLOOKUP(C:C,Courts!B:C,2,FALSE)</f>
        <v>2</v>
      </c>
      <c r="F245" s="19">
        <f>VLOOKUP(C:C,Courts!B:E,4,FALSE)</f>
        <v>1</v>
      </c>
      <c r="G245" s="19">
        <f>VLOOKUP(C:C,Courts!B:D,3,FALSE)</f>
        <v>0</v>
      </c>
      <c r="H245" s="19">
        <f>VLOOKUP(C:C,Courts!B:F,5,FALSE)</f>
        <v>3</v>
      </c>
      <c r="I245" s="18" t="s">
        <v>239</v>
      </c>
      <c r="J245" s="19">
        <f>VLOOKUP(C:C,TooliD!B:Q,16,FALSE)</f>
        <v>4</v>
      </c>
      <c r="K245" s="18">
        <f>VLOOKUP(C:C,TooliD!B:P,15,FALSE)</f>
        <v>4</v>
      </c>
      <c r="L245" s="19">
        <f t="shared" si="46"/>
        <v>0</v>
      </c>
      <c r="M245" s="19" t="str">
        <f t="shared" si="38"/>
        <v>OK</v>
      </c>
      <c r="N245" s="18"/>
    </row>
    <row r="246" spans="1:14" x14ac:dyDescent="0.25">
      <c r="A246" s="19" t="s">
        <v>157</v>
      </c>
      <c r="B246" s="18" t="s">
        <v>68</v>
      </c>
      <c r="C246" s="18" t="s">
        <v>69</v>
      </c>
      <c r="D246" s="19" t="s">
        <v>238</v>
      </c>
      <c r="E246" s="19">
        <f>VLOOKUP(C:C,Courts!B:C,2,FALSE)</f>
        <v>2</v>
      </c>
      <c r="F246" s="19">
        <f>VLOOKUP(C:C,Courts!B:E,4,FALSE)</f>
        <v>1</v>
      </c>
      <c r="G246" s="19">
        <f>VLOOKUP(C:C,Courts!B:D,3,FALSE)</f>
        <v>0</v>
      </c>
      <c r="H246" s="19">
        <f>VLOOKUP(C:C,Courts!B:F,5,FALSE)</f>
        <v>3</v>
      </c>
      <c r="I246" s="18" t="s">
        <v>11</v>
      </c>
      <c r="J246" s="19">
        <f>VLOOKUP(C:C,TooliD!B:T,19,FALSE)</f>
        <v>20</v>
      </c>
      <c r="K246" s="18">
        <f>VLOOKUP(C:C,TooliD!B:S,18,FALSE)</f>
        <v>13</v>
      </c>
      <c r="L246" s="19">
        <f t="shared" si="46"/>
        <v>-7</v>
      </c>
      <c r="M246" s="19" t="str">
        <f t="shared" si="38"/>
        <v>Shortfall</v>
      </c>
      <c r="N246" s="18"/>
    </row>
    <row r="247" spans="1:14" x14ac:dyDescent="0.25">
      <c r="A247" s="19" t="s">
        <v>157</v>
      </c>
      <c r="B247" s="18" t="s">
        <v>68</v>
      </c>
      <c r="C247" s="18" t="s">
        <v>69</v>
      </c>
      <c r="D247" s="19" t="s">
        <v>238</v>
      </c>
      <c r="E247" s="19">
        <f>VLOOKUP(C:C,Courts!B:C,2,FALSE)</f>
        <v>2</v>
      </c>
      <c r="F247" s="19">
        <f>VLOOKUP(C:C,Courts!B:E,4,FALSE)</f>
        <v>1</v>
      </c>
      <c r="G247" s="19">
        <f>VLOOKUP(C:C,Courts!B:D,3,FALSE)</f>
        <v>0</v>
      </c>
      <c r="H247" s="19">
        <f>VLOOKUP(C:C,Courts!B:F,5,FALSE)</f>
        <v>3</v>
      </c>
      <c r="I247" s="18" t="s">
        <v>212</v>
      </c>
      <c r="J247" s="19">
        <f>VLOOKUP(C:C,TooliD!B:W,22,FALSE)</f>
        <v>3</v>
      </c>
      <c r="K247" s="18">
        <f>VLOOKUP(C:C,TooliD!B:V,21,FALSE)</f>
        <v>2</v>
      </c>
      <c r="L247" s="19">
        <f t="shared" si="46"/>
        <v>-1</v>
      </c>
      <c r="M247" s="19" t="str">
        <f t="shared" si="38"/>
        <v>Shortfall</v>
      </c>
      <c r="N247" s="18"/>
    </row>
    <row r="248" spans="1:14" x14ac:dyDescent="0.25">
      <c r="A248" s="19" t="s">
        <v>157</v>
      </c>
      <c r="B248" s="18" t="s">
        <v>68</v>
      </c>
      <c r="C248" s="18" t="s">
        <v>70</v>
      </c>
      <c r="D248" s="19" t="s">
        <v>238</v>
      </c>
      <c r="E248" s="19">
        <f>VLOOKUP(C:C,Courts!B:C,2,FALSE)</f>
        <v>2</v>
      </c>
      <c r="F248" s="19">
        <f>VLOOKUP(C:C,Courts!B:E,4,FALSE)</f>
        <v>1</v>
      </c>
      <c r="G248" s="19">
        <f>VLOOKUP(C:C,Courts!B:D,3,FALSE)</f>
        <v>0</v>
      </c>
      <c r="H248" s="19">
        <f>VLOOKUP(C:C,Courts!B:F,5,FALSE)</f>
        <v>3</v>
      </c>
      <c r="I248" s="18" t="s">
        <v>7</v>
      </c>
      <c r="J248" s="19">
        <f>VLOOKUP(C:C,TooliD!B:H,7,FALSE)</f>
        <v>3</v>
      </c>
      <c r="K248" s="19">
        <f>VLOOKUP(C:C,TooliD!B:G,6,FALSE)</f>
        <v>3</v>
      </c>
      <c r="L248" s="19">
        <f>K248-J248</f>
        <v>0</v>
      </c>
      <c r="M248" s="19" t="str">
        <f>IF(L248=0,"OK", IF(L248&gt;0,"Surplus","Shortfall"))</f>
        <v>OK</v>
      </c>
      <c r="N248" s="18"/>
    </row>
    <row r="249" spans="1:14" x14ac:dyDescent="0.25">
      <c r="A249" s="19" t="s">
        <v>157</v>
      </c>
      <c r="B249" s="18" t="s">
        <v>68</v>
      </c>
      <c r="C249" s="18" t="s">
        <v>70</v>
      </c>
      <c r="D249" s="19" t="s">
        <v>238</v>
      </c>
      <c r="E249" s="19">
        <f>VLOOKUP(C:C,Courts!B:C,2,FALSE)</f>
        <v>2</v>
      </c>
      <c r="F249" s="19">
        <f>VLOOKUP(C:C,Courts!B:E,4,FALSE)</f>
        <v>1</v>
      </c>
      <c r="G249" s="19">
        <f>VLOOKUP(C:C,Courts!B:D,3,FALSE)</f>
        <v>0</v>
      </c>
      <c r="H249" s="19">
        <f>VLOOKUP(C:C,Courts!B:F,5,FALSE)</f>
        <v>3</v>
      </c>
      <c r="I249" s="18" t="s">
        <v>241</v>
      </c>
      <c r="J249" s="19">
        <f>VLOOKUP(C:C,TooliD!B:K,7,FALSE)</f>
        <v>3</v>
      </c>
      <c r="K249" s="19">
        <f>VLOOKUP(C:C,TooliD!B:J,9,FALSE)</f>
        <v>2</v>
      </c>
      <c r="L249" s="19">
        <f t="shared" ref="L249:L253" si="47">K249-J249</f>
        <v>-1</v>
      </c>
      <c r="M249" s="19" t="str">
        <f t="shared" si="38"/>
        <v>Shortfall</v>
      </c>
      <c r="N249" s="18"/>
    </row>
    <row r="250" spans="1:14" x14ac:dyDescent="0.25">
      <c r="A250" s="19" t="s">
        <v>157</v>
      </c>
      <c r="B250" s="18" t="s">
        <v>68</v>
      </c>
      <c r="C250" s="18" t="s">
        <v>70</v>
      </c>
      <c r="D250" s="19" t="s">
        <v>238</v>
      </c>
      <c r="E250" s="19">
        <f>VLOOKUP(C:C,Courts!B:C,2,FALSE)</f>
        <v>2</v>
      </c>
      <c r="F250" s="19">
        <f>VLOOKUP(C:C,Courts!B:E,4,FALSE)</f>
        <v>1</v>
      </c>
      <c r="G250" s="19">
        <f>VLOOKUP(C:C,Courts!B:D,3,FALSE)</f>
        <v>0</v>
      </c>
      <c r="H250" s="19">
        <f>VLOOKUP(C:C,Courts!B:F,5,FALSE)</f>
        <v>3</v>
      </c>
      <c r="I250" s="18" t="s">
        <v>9</v>
      </c>
      <c r="J250" s="19">
        <f>VLOOKUP(C:C,TooliD!B:N,13,FALSE)</f>
        <v>3</v>
      </c>
      <c r="K250" s="18">
        <f>VLOOKUP(C:C,TooliD!B:M,12,FALSE)</f>
        <v>3</v>
      </c>
      <c r="L250" s="19">
        <f t="shared" si="47"/>
        <v>0</v>
      </c>
      <c r="M250" s="19" t="str">
        <f t="shared" si="38"/>
        <v>OK</v>
      </c>
      <c r="N250" s="18"/>
    </row>
    <row r="251" spans="1:14" x14ac:dyDescent="0.25">
      <c r="A251" s="19" t="s">
        <v>157</v>
      </c>
      <c r="B251" s="18" t="s">
        <v>68</v>
      </c>
      <c r="C251" s="18" t="s">
        <v>70</v>
      </c>
      <c r="D251" s="19" t="s">
        <v>238</v>
      </c>
      <c r="E251" s="19">
        <f>VLOOKUP(C:C,Courts!B:C,2,FALSE)</f>
        <v>2</v>
      </c>
      <c r="F251" s="19">
        <f>VLOOKUP(C:C,Courts!B:E,4,FALSE)</f>
        <v>1</v>
      </c>
      <c r="G251" s="19">
        <f>VLOOKUP(C:C,Courts!B:D,3,FALSE)</f>
        <v>0</v>
      </c>
      <c r="H251" s="19">
        <f>VLOOKUP(C:C,Courts!B:F,5,FALSE)</f>
        <v>3</v>
      </c>
      <c r="I251" s="18" t="s">
        <v>239</v>
      </c>
      <c r="J251" s="19">
        <f>VLOOKUP(C:C,TooliD!B:Q,16,FALSE)</f>
        <v>4</v>
      </c>
      <c r="K251" s="18">
        <f>VLOOKUP(C:C,TooliD!B:P,15,FALSE)</f>
        <v>4</v>
      </c>
      <c r="L251" s="19">
        <f t="shared" si="47"/>
        <v>0</v>
      </c>
      <c r="M251" s="19" t="str">
        <f t="shared" si="38"/>
        <v>OK</v>
      </c>
      <c r="N251" s="18"/>
    </row>
    <row r="252" spans="1:14" x14ac:dyDescent="0.25">
      <c r="A252" s="19" t="s">
        <v>157</v>
      </c>
      <c r="B252" s="18" t="s">
        <v>68</v>
      </c>
      <c r="C252" s="18" t="s">
        <v>70</v>
      </c>
      <c r="D252" s="19" t="s">
        <v>238</v>
      </c>
      <c r="E252" s="19">
        <f>VLOOKUP(C:C,Courts!B:C,2,FALSE)</f>
        <v>2</v>
      </c>
      <c r="F252" s="19">
        <f>VLOOKUP(C:C,Courts!B:E,4,FALSE)</f>
        <v>1</v>
      </c>
      <c r="G252" s="19">
        <f>VLOOKUP(C:C,Courts!B:D,3,FALSE)</f>
        <v>0</v>
      </c>
      <c r="H252" s="19">
        <f>VLOOKUP(C:C,Courts!B:F,5,FALSE)</f>
        <v>3</v>
      </c>
      <c r="I252" s="18" t="s">
        <v>11</v>
      </c>
      <c r="J252" s="19">
        <f>VLOOKUP(C:C,TooliD!B:T,19,FALSE)</f>
        <v>20</v>
      </c>
      <c r="K252" s="18">
        <f>VLOOKUP(C:C,TooliD!B:S,18,FALSE)</f>
        <v>20</v>
      </c>
      <c r="L252" s="19">
        <f t="shared" si="47"/>
        <v>0</v>
      </c>
      <c r="M252" s="19" t="str">
        <f t="shared" si="38"/>
        <v>OK</v>
      </c>
      <c r="N252" s="18"/>
    </row>
    <row r="253" spans="1:14" x14ac:dyDescent="0.25">
      <c r="A253" s="19" t="s">
        <v>157</v>
      </c>
      <c r="B253" s="18" t="s">
        <v>68</v>
      </c>
      <c r="C253" s="18" t="s">
        <v>70</v>
      </c>
      <c r="D253" s="19" t="s">
        <v>238</v>
      </c>
      <c r="E253" s="19">
        <f>VLOOKUP(C:C,Courts!B:C,2,FALSE)</f>
        <v>2</v>
      </c>
      <c r="F253" s="19">
        <f>VLOOKUP(C:C,Courts!B:E,4,FALSE)</f>
        <v>1</v>
      </c>
      <c r="G253" s="19">
        <f>VLOOKUP(C:C,Courts!B:D,3,FALSE)</f>
        <v>0</v>
      </c>
      <c r="H253" s="19">
        <f>VLOOKUP(C:C,Courts!B:F,5,FALSE)</f>
        <v>3</v>
      </c>
      <c r="I253" s="18" t="s">
        <v>212</v>
      </c>
      <c r="J253" s="19">
        <f>VLOOKUP(C:C,TooliD!B:W,22,FALSE)</f>
        <v>3</v>
      </c>
      <c r="K253" s="18">
        <f>VLOOKUP(C:C,TooliD!B:V,21,FALSE)</f>
        <v>3</v>
      </c>
      <c r="L253" s="19">
        <f t="shared" si="47"/>
        <v>0</v>
      </c>
      <c r="M253" s="19" t="str">
        <f t="shared" si="38"/>
        <v>OK</v>
      </c>
      <c r="N253" s="18"/>
    </row>
    <row r="254" spans="1:14" x14ac:dyDescent="0.25">
      <c r="A254" s="19" t="s">
        <v>157</v>
      </c>
      <c r="B254" s="18" t="s">
        <v>68</v>
      </c>
      <c r="C254" s="18" t="s">
        <v>71</v>
      </c>
      <c r="D254" s="19" t="s">
        <v>242</v>
      </c>
      <c r="E254" s="19">
        <f>VLOOKUP(C:C,Courts!B:C,2,FALSE)</f>
        <v>0</v>
      </c>
      <c r="F254" s="19">
        <f>VLOOKUP(C:C,Courts!B:E,4,FALSE)</f>
        <v>1</v>
      </c>
      <c r="G254" s="19">
        <f>VLOOKUP(C:C,Courts!B:D,3,FALSE)</f>
        <v>0</v>
      </c>
      <c r="H254" s="19">
        <f>VLOOKUP(C:C,Courts!B:F,5,FALSE)</f>
        <v>1</v>
      </c>
      <c r="I254" s="18" t="s">
        <v>7</v>
      </c>
      <c r="J254" s="19">
        <f>VLOOKUP(C:C,TooliD!B:H,7,FALSE)</f>
        <v>1</v>
      </c>
      <c r="K254" s="19">
        <f>VLOOKUP(C:C,TooliD!B:G,6,FALSE)</f>
        <v>1</v>
      </c>
      <c r="L254" s="19">
        <f>K254-J254</f>
        <v>0</v>
      </c>
      <c r="M254" s="19" t="str">
        <f>IF(L254=0,"OK", IF(L254&gt;0,"Surplus","Shortfall"))</f>
        <v>OK</v>
      </c>
      <c r="N254" s="18"/>
    </row>
    <row r="255" spans="1:14" x14ac:dyDescent="0.25">
      <c r="A255" s="19" t="s">
        <v>157</v>
      </c>
      <c r="B255" s="18" t="s">
        <v>68</v>
      </c>
      <c r="C255" s="18" t="s">
        <v>71</v>
      </c>
      <c r="D255" s="19" t="s">
        <v>242</v>
      </c>
      <c r="E255" s="19">
        <f>VLOOKUP(C:C,Courts!B:C,2,FALSE)</f>
        <v>0</v>
      </c>
      <c r="F255" s="19">
        <f>VLOOKUP(C:C,Courts!B:E,4,FALSE)</f>
        <v>1</v>
      </c>
      <c r="G255" s="19">
        <f>VLOOKUP(C:C,Courts!B:D,3,FALSE)</f>
        <v>0</v>
      </c>
      <c r="H255" s="19">
        <f>VLOOKUP(C:C,Courts!B:F,5,FALSE)</f>
        <v>1</v>
      </c>
      <c r="I255" s="18" t="s">
        <v>241</v>
      </c>
      <c r="J255" s="19">
        <f>VLOOKUP(C:C,TooliD!B:K,7,FALSE)</f>
        <v>1</v>
      </c>
      <c r="K255" s="19">
        <f>VLOOKUP(C:C,TooliD!B:J,9,FALSE)</f>
        <v>1</v>
      </c>
      <c r="L255" s="19">
        <f t="shared" ref="L255:L259" si="48">K255-J255</f>
        <v>0</v>
      </c>
      <c r="M255" s="19" t="str">
        <f t="shared" si="38"/>
        <v>OK</v>
      </c>
      <c r="N255" s="18"/>
    </row>
    <row r="256" spans="1:14" x14ac:dyDescent="0.25">
      <c r="A256" s="19" t="s">
        <v>157</v>
      </c>
      <c r="B256" s="18" t="s">
        <v>68</v>
      </c>
      <c r="C256" s="18" t="s">
        <v>71</v>
      </c>
      <c r="D256" s="19" t="s">
        <v>242</v>
      </c>
      <c r="E256" s="19">
        <f>VLOOKUP(C:C,Courts!B:C,2,FALSE)</f>
        <v>0</v>
      </c>
      <c r="F256" s="19">
        <f>VLOOKUP(C:C,Courts!B:E,4,FALSE)</f>
        <v>1</v>
      </c>
      <c r="G256" s="19">
        <f>VLOOKUP(C:C,Courts!B:D,3,FALSE)</f>
        <v>0</v>
      </c>
      <c r="H256" s="19">
        <f>VLOOKUP(C:C,Courts!B:F,5,FALSE)</f>
        <v>1</v>
      </c>
      <c r="I256" s="18" t="s">
        <v>9</v>
      </c>
      <c r="J256" s="19">
        <f>VLOOKUP(C:C,TooliD!B:N,13,FALSE)</f>
        <v>1</v>
      </c>
      <c r="K256" s="18">
        <f>VLOOKUP(C:C,TooliD!B:M,12,FALSE)</f>
        <v>1</v>
      </c>
      <c r="L256" s="19">
        <f t="shared" si="48"/>
        <v>0</v>
      </c>
      <c r="M256" s="19" t="str">
        <f t="shared" si="38"/>
        <v>OK</v>
      </c>
      <c r="N256" s="18"/>
    </row>
    <row r="257" spans="1:14" x14ac:dyDescent="0.25">
      <c r="A257" s="19" t="s">
        <v>157</v>
      </c>
      <c r="B257" s="18" t="s">
        <v>68</v>
      </c>
      <c r="C257" s="18" t="s">
        <v>71</v>
      </c>
      <c r="D257" s="19" t="s">
        <v>242</v>
      </c>
      <c r="E257" s="19">
        <f>VLOOKUP(C:C,Courts!B:C,2,FALSE)</f>
        <v>0</v>
      </c>
      <c r="F257" s="19">
        <f>VLOOKUP(C:C,Courts!B:E,4,FALSE)</f>
        <v>1</v>
      </c>
      <c r="G257" s="19">
        <f>VLOOKUP(C:C,Courts!B:D,3,FALSE)</f>
        <v>0</v>
      </c>
      <c r="H257" s="19">
        <f>VLOOKUP(C:C,Courts!B:F,5,FALSE)</f>
        <v>1</v>
      </c>
      <c r="I257" s="18" t="s">
        <v>239</v>
      </c>
      <c r="J257" s="19">
        <f>VLOOKUP(C:C,TooliD!B:Q,16,FALSE)</f>
        <v>0</v>
      </c>
      <c r="K257" s="18">
        <f>VLOOKUP(C:C,TooliD!B:P,15,FALSE)</f>
        <v>0</v>
      </c>
      <c r="L257" s="19">
        <f t="shared" si="48"/>
        <v>0</v>
      </c>
      <c r="M257" s="19" t="str">
        <f t="shared" si="38"/>
        <v>OK</v>
      </c>
      <c r="N257" s="18"/>
    </row>
    <row r="258" spans="1:14" x14ac:dyDescent="0.25">
      <c r="A258" s="19" t="s">
        <v>157</v>
      </c>
      <c r="B258" s="18" t="s">
        <v>68</v>
      </c>
      <c r="C258" s="18" t="s">
        <v>71</v>
      </c>
      <c r="D258" s="19" t="s">
        <v>242</v>
      </c>
      <c r="E258" s="19">
        <f>VLOOKUP(C:C,Courts!B:C,2,FALSE)</f>
        <v>0</v>
      </c>
      <c r="F258" s="19">
        <f>VLOOKUP(C:C,Courts!B:E,4,FALSE)</f>
        <v>1</v>
      </c>
      <c r="G258" s="19">
        <f>VLOOKUP(C:C,Courts!B:D,3,FALSE)</f>
        <v>0</v>
      </c>
      <c r="H258" s="19">
        <f>VLOOKUP(C:C,Courts!B:F,5,FALSE)</f>
        <v>1</v>
      </c>
      <c r="I258" s="18" t="s">
        <v>11</v>
      </c>
      <c r="J258" s="19">
        <f>VLOOKUP(C:C,TooliD!B:T,19,FALSE)</f>
        <v>4</v>
      </c>
      <c r="K258" s="18">
        <f>VLOOKUP(C:C,TooliD!B:S,18,FALSE)</f>
        <v>4</v>
      </c>
      <c r="L258" s="19">
        <f t="shared" si="48"/>
        <v>0</v>
      </c>
      <c r="M258" s="19" t="str">
        <f t="shared" si="38"/>
        <v>OK</v>
      </c>
      <c r="N258" s="18"/>
    </row>
    <row r="259" spans="1:14" x14ac:dyDescent="0.25">
      <c r="A259" s="19" t="s">
        <v>157</v>
      </c>
      <c r="B259" s="18" t="s">
        <v>68</v>
      </c>
      <c r="C259" s="18" t="s">
        <v>71</v>
      </c>
      <c r="D259" s="19" t="s">
        <v>242</v>
      </c>
      <c r="E259" s="19">
        <f>VLOOKUP(C:C,Courts!B:C,2,FALSE)</f>
        <v>0</v>
      </c>
      <c r="F259" s="19">
        <f>VLOOKUP(C:C,Courts!B:E,4,FALSE)</f>
        <v>1</v>
      </c>
      <c r="G259" s="19">
        <f>VLOOKUP(C:C,Courts!B:D,3,FALSE)</f>
        <v>0</v>
      </c>
      <c r="H259" s="19">
        <f>VLOOKUP(C:C,Courts!B:F,5,FALSE)</f>
        <v>1</v>
      </c>
      <c r="I259" s="18" t="s">
        <v>212</v>
      </c>
      <c r="J259" s="19">
        <f>VLOOKUP(C:C,TooliD!B:W,22,FALSE)</f>
        <v>1</v>
      </c>
      <c r="K259" s="18">
        <f>VLOOKUP(C:C,TooliD!B:V,21,FALSE)</f>
        <v>1</v>
      </c>
      <c r="L259" s="19">
        <f t="shared" si="48"/>
        <v>0</v>
      </c>
      <c r="M259" s="19" t="str">
        <f t="shared" si="38"/>
        <v>OK</v>
      </c>
      <c r="N259" s="18"/>
    </row>
    <row r="260" spans="1:14" x14ac:dyDescent="0.25">
      <c r="A260" s="19" t="s">
        <v>157</v>
      </c>
      <c r="B260" s="18" t="s">
        <v>72</v>
      </c>
      <c r="C260" s="18" t="s">
        <v>72</v>
      </c>
      <c r="D260" s="19" t="s">
        <v>237</v>
      </c>
      <c r="E260" s="19">
        <f>VLOOKUP(C:C,Courts!B:C,2,FALSE)</f>
        <v>13</v>
      </c>
      <c r="F260" s="19">
        <f>VLOOKUP(C:C,Courts!B:E,4,FALSE)</f>
        <v>0</v>
      </c>
      <c r="G260" s="19">
        <f>VLOOKUP(C:C,Courts!B:D,3,FALSE)</f>
        <v>0</v>
      </c>
      <c r="H260" s="19">
        <f>VLOOKUP(C:C,Courts!B:F,5,FALSE)</f>
        <v>13</v>
      </c>
      <c r="I260" s="18" t="s">
        <v>7</v>
      </c>
      <c r="J260" s="19">
        <f>VLOOKUP(C:C,TooliD!B:H,7,FALSE)</f>
        <v>13</v>
      </c>
      <c r="K260" s="19">
        <f>VLOOKUP(C:C,TooliD!B:G,6,FALSE)</f>
        <v>16</v>
      </c>
      <c r="L260" s="19">
        <f>K260-J260</f>
        <v>3</v>
      </c>
      <c r="M260" s="19" t="str">
        <f>IF(L260=0,"OK", IF(L260&gt;0,"Surplus","Shortfall"))</f>
        <v>Surplus</v>
      </c>
      <c r="N260" s="18"/>
    </row>
    <row r="261" spans="1:14" x14ac:dyDescent="0.25">
      <c r="A261" s="19" t="s">
        <v>157</v>
      </c>
      <c r="B261" s="18" t="s">
        <v>72</v>
      </c>
      <c r="C261" s="18" t="s">
        <v>72</v>
      </c>
      <c r="D261" s="19" t="s">
        <v>237</v>
      </c>
      <c r="E261" s="19">
        <f>VLOOKUP(C:C,Courts!B:C,2,FALSE)</f>
        <v>13</v>
      </c>
      <c r="F261" s="19">
        <f>VLOOKUP(C:C,Courts!B:E,4,FALSE)</f>
        <v>0</v>
      </c>
      <c r="G261" s="19">
        <f>VLOOKUP(C:C,Courts!B:D,3,FALSE)</f>
        <v>0</v>
      </c>
      <c r="H261" s="19">
        <f>VLOOKUP(C:C,Courts!B:F,5,FALSE)</f>
        <v>13</v>
      </c>
      <c r="I261" s="18" t="s">
        <v>241</v>
      </c>
      <c r="J261" s="19">
        <f>VLOOKUP(C:C,TooliD!B:K,7,FALSE)</f>
        <v>13</v>
      </c>
      <c r="K261" s="19">
        <f>VLOOKUP(C:C,TooliD!B:J,9,FALSE)</f>
        <v>9</v>
      </c>
      <c r="L261" s="19">
        <f t="shared" ref="L261:L265" si="49">K261-J261</f>
        <v>-4</v>
      </c>
      <c r="M261" s="19" t="str">
        <f t="shared" si="38"/>
        <v>Shortfall</v>
      </c>
      <c r="N261" s="18"/>
    </row>
    <row r="262" spans="1:14" x14ac:dyDescent="0.25">
      <c r="A262" s="19" t="s">
        <v>157</v>
      </c>
      <c r="B262" s="18" t="s">
        <v>72</v>
      </c>
      <c r="C262" s="18" t="s">
        <v>72</v>
      </c>
      <c r="D262" s="19" t="s">
        <v>237</v>
      </c>
      <c r="E262" s="19">
        <f>VLOOKUP(C:C,Courts!B:C,2,FALSE)</f>
        <v>13</v>
      </c>
      <c r="F262" s="19">
        <f>VLOOKUP(C:C,Courts!B:E,4,FALSE)</f>
        <v>0</v>
      </c>
      <c r="G262" s="19">
        <f>VLOOKUP(C:C,Courts!B:D,3,FALSE)</f>
        <v>0</v>
      </c>
      <c r="H262" s="19">
        <f>VLOOKUP(C:C,Courts!B:F,5,FALSE)</f>
        <v>13</v>
      </c>
      <c r="I262" s="18" t="s">
        <v>9</v>
      </c>
      <c r="J262" s="19">
        <f>VLOOKUP(C:C,TooliD!B:N,13,FALSE)</f>
        <v>13</v>
      </c>
      <c r="K262" s="18">
        <f>VLOOKUP(C:C,TooliD!B:M,12,FALSE)</f>
        <v>13</v>
      </c>
      <c r="L262" s="19">
        <f t="shared" si="49"/>
        <v>0</v>
      </c>
      <c r="M262" s="19" t="str">
        <f t="shared" si="38"/>
        <v>OK</v>
      </c>
      <c r="N262" s="18"/>
    </row>
    <row r="263" spans="1:14" x14ac:dyDescent="0.25">
      <c r="A263" s="19" t="s">
        <v>157</v>
      </c>
      <c r="B263" s="18" t="s">
        <v>72</v>
      </c>
      <c r="C263" s="18" t="s">
        <v>72</v>
      </c>
      <c r="D263" s="19" t="s">
        <v>237</v>
      </c>
      <c r="E263" s="19">
        <f>VLOOKUP(C:C,Courts!B:C,2,FALSE)</f>
        <v>13</v>
      </c>
      <c r="F263" s="19">
        <f>VLOOKUP(C:C,Courts!B:E,4,FALSE)</f>
        <v>0</v>
      </c>
      <c r="G263" s="19">
        <f>VLOOKUP(C:C,Courts!B:D,3,FALSE)</f>
        <v>0</v>
      </c>
      <c r="H263" s="19">
        <f>VLOOKUP(C:C,Courts!B:F,5,FALSE)</f>
        <v>13</v>
      </c>
      <c r="I263" s="18" t="s">
        <v>239</v>
      </c>
      <c r="J263" s="19">
        <f>VLOOKUP(C:C,TooliD!B:Q,16,FALSE)</f>
        <v>26</v>
      </c>
      <c r="K263" s="18">
        <f>VLOOKUP(C:C,TooliD!B:P,15,FALSE)</f>
        <v>26</v>
      </c>
      <c r="L263" s="19">
        <f t="shared" si="49"/>
        <v>0</v>
      </c>
      <c r="M263" s="19" t="str">
        <f t="shared" si="38"/>
        <v>OK</v>
      </c>
      <c r="N263" s="18"/>
    </row>
    <row r="264" spans="1:14" x14ac:dyDescent="0.25">
      <c r="A264" s="19" t="s">
        <v>157</v>
      </c>
      <c r="B264" s="18" t="s">
        <v>72</v>
      </c>
      <c r="C264" s="18" t="s">
        <v>72</v>
      </c>
      <c r="D264" s="19" t="s">
        <v>237</v>
      </c>
      <c r="E264" s="19">
        <f>VLOOKUP(C:C,Courts!B:C,2,FALSE)</f>
        <v>13</v>
      </c>
      <c r="F264" s="19">
        <f>VLOOKUP(C:C,Courts!B:E,4,FALSE)</f>
        <v>0</v>
      </c>
      <c r="G264" s="19">
        <f>VLOOKUP(C:C,Courts!B:D,3,FALSE)</f>
        <v>0</v>
      </c>
      <c r="H264" s="19">
        <f>VLOOKUP(C:C,Courts!B:F,5,FALSE)</f>
        <v>13</v>
      </c>
      <c r="I264" s="18" t="s">
        <v>11</v>
      </c>
      <c r="J264" s="19">
        <f>VLOOKUP(C:C,TooliD!B:T,19,FALSE)</f>
        <v>104</v>
      </c>
      <c r="K264" s="18">
        <f>VLOOKUP(C:C,TooliD!B:S,18,FALSE)</f>
        <v>72</v>
      </c>
      <c r="L264" s="19">
        <f t="shared" si="49"/>
        <v>-32</v>
      </c>
      <c r="M264" s="19" t="str">
        <f t="shared" si="38"/>
        <v>Shortfall</v>
      </c>
      <c r="N264" s="18"/>
    </row>
    <row r="265" spans="1:14" x14ac:dyDescent="0.25">
      <c r="A265" s="19" t="s">
        <v>157</v>
      </c>
      <c r="B265" s="18" t="s">
        <v>72</v>
      </c>
      <c r="C265" s="18" t="s">
        <v>72</v>
      </c>
      <c r="D265" s="19" t="s">
        <v>237</v>
      </c>
      <c r="E265" s="19">
        <f>VLOOKUP(C:C,Courts!B:C,2,FALSE)</f>
        <v>13</v>
      </c>
      <c r="F265" s="19">
        <f>VLOOKUP(C:C,Courts!B:E,4,FALSE)</f>
        <v>0</v>
      </c>
      <c r="G265" s="19">
        <f>VLOOKUP(C:C,Courts!B:D,3,FALSE)</f>
        <v>0</v>
      </c>
      <c r="H265" s="19">
        <f>VLOOKUP(C:C,Courts!B:F,5,FALSE)</f>
        <v>13</v>
      </c>
      <c r="I265" s="18" t="s">
        <v>212</v>
      </c>
      <c r="J265" s="19">
        <f>VLOOKUP(C:C,TooliD!B:W,22,FALSE)</f>
        <v>13</v>
      </c>
      <c r="K265" s="18">
        <f>VLOOKUP(C:C,TooliD!B:V,21,FALSE)</f>
        <v>10</v>
      </c>
      <c r="L265" s="19">
        <f t="shared" si="49"/>
        <v>-3</v>
      </c>
      <c r="M265" s="19" t="str">
        <f t="shared" si="38"/>
        <v>Shortfall</v>
      </c>
      <c r="N265" s="18"/>
    </row>
    <row r="266" spans="1:14" x14ac:dyDescent="0.25">
      <c r="A266" s="19" t="s">
        <v>157</v>
      </c>
      <c r="B266" s="18" t="s">
        <v>73</v>
      </c>
      <c r="C266" s="18" t="s">
        <v>73</v>
      </c>
      <c r="D266" s="19" t="s">
        <v>237</v>
      </c>
      <c r="E266" s="19">
        <f>VLOOKUP(C:C,Courts!B:C,2,FALSE)</f>
        <v>35</v>
      </c>
      <c r="F266" s="19">
        <f>VLOOKUP(C:C,Courts!B:E,4,FALSE)</f>
        <v>0</v>
      </c>
      <c r="G266" s="19">
        <f>VLOOKUP(C:C,Courts!B:D,3,FALSE)</f>
        <v>0</v>
      </c>
      <c r="H266" s="19">
        <f>VLOOKUP(C:C,Courts!B:F,5,FALSE)</f>
        <v>35</v>
      </c>
      <c r="I266" s="18" t="s">
        <v>7</v>
      </c>
      <c r="J266" s="19">
        <f>VLOOKUP(C:C,TooliD!B:H,7,FALSE)</f>
        <v>35</v>
      </c>
      <c r="K266" s="19">
        <f>VLOOKUP(C:C,TooliD!B:G,6,FALSE)</f>
        <v>38</v>
      </c>
      <c r="L266" s="19">
        <f>K266-J266</f>
        <v>3</v>
      </c>
      <c r="M266" s="19" t="str">
        <f>IF(L266=0,"OK", IF(L266&gt;0,"Surplus","Shortfall"))</f>
        <v>Surplus</v>
      </c>
      <c r="N266" s="18"/>
    </row>
    <row r="267" spans="1:14" x14ac:dyDescent="0.25">
      <c r="A267" s="19" t="s">
        <v>157</v>
      </c>
      <c r="B267" s="18" t="s">
        <v>73</v>
      </c>
      <c r="C267" s="18" t="s">
        <v>73</v>
      </c>
      <c r="D267" s="19" t="s">
        <v>237</v>
      </c>
      <c r="E267" s="19">
        <f>VLOOKUP(C:C,Courts!B:C,2,FALSE)</f>
        <v>35</v>
      </c>
      <c r="F267" s="19">
        <f>VLOOKUP(C:C,Courts!B:E,4,FALSE)</f>
        <v>0</v>
      </c>
      <c r="G267" s="19">
        <f>VLOOKUP(C:C,Courts!B:D,3,FALSE)</f>
        <v>0</v>
      </c>
      <c r="H267" s="19">
        <f>VLOOKUP(C:C,Courts!B:F,5,FALSE)</f>
        <v>35</v>
      </c>
      <c r="I267" s="18" t="s">
        <v>241</v>
      </c>
      <c r="J267" s="19">
        <f>VLOOKUP(C:C,TooliD!B:K,7,FALSE)</f>
        <v>35</v>
      </c>
      <c r="K267" s="19">
        <f>VLOOKUP(C:C,TooliD!B:J,9,FALSE)</f>
        <v>25</v>
      </c>
      <c r="L267" s="19">
        <f t="shared" ref="L267:L271" si="50">K267-J267</f>
        <v>-10</v>
      </c>
      <c r="M267" s="19" t="str">
        <f t="shared" si="38"/>
        <v>Shortfall</v>
      </c>
      <c r="N267" s="18"/>
    </row>
    <row r="268" spans="1:14" x14ac:dyDescent="0.25">
      <c r="A268" s="19" t="s">
        <v>157</v>
      </c>
      <c r="B268" s="18" t="s">
        <v>73</v>
      </c>
      <c r="C268" s="18" t="s">
        <v>73</v>
      </c>
      <c r="D268" s="19" t="s">
        <v>237</v>
      </c>
      <c r="E268" s="19">
        <f>VLOOKUP(C:C,Courts!B:C,2,FALSE)</f>
        <v>35</v>
      </c>
      <c r="F268" s="19">
        <f>VLOOKUP(C:C,Courts!B:E,4,FALSE)</f>
        <v>0</v>
      </c>
      <c r="G268" s="19">
        <f>VLOOKUP(C:C,Courts!B:D,3,FALSE)</f>
        <v>0</v>
      </c>
      <c r="H268" s="19">
        <f>VLOOKUP(C:C,Courts!B:F,5,FALSE)</f>
        <v>35</v>
      </c>
      <c r="I268" s="18" t="s">
        <v>9</v>
      </c>
      <c r="J268" s="19">
        <f>VLOOKUP(C:C,TooliD!B:N,13,FALSE)</f>
        <v>35</v>
      </c>
      <c r="K268" s="18">
        <f>VLOOKUP(C:C,TooliD!B:M,12,FALSE)</f>
        <v>36</v>
      </c>
      <c r="L268" s="19">
        <f t="shared" si="50"/>
        <v>1</v>
      </c>
      <c r="M268" s="19" t="str">
        <f t="shared" si="38"/>
        <v>Surplus</v>
      </c>
      <c r="N268" s="18"/>
    </row>
    <row r="269" spans="1:14" x14ac:dyDescent="0.25">
      <c r="A269" s="19" t="s">
        <v>157</v>
      </c>
      <c r="B269" s="18" t="s">
        <v>73</v>
      </c>
      <c r="C269" s="18" t="s">
        <v>73</v>
      </c>
      <c r="D269" s="19" t="s">
        <v>237</v>
      </c>
      <c r="E269" s="19">
        <f>VLOOKUP(C:C,Courts!B:C,2,FALSE)</f>
        <v>35</v>
      </c>
      <c r="F269" s="19">
        <f>VLOOKUP(C:C,Courts!B:E,4,FALSE)</f>
        <v>0</v>
      </c>
      <c r="G269" s="19">
        <f>VLOOKUP(C:C,Courts!B:D,3,FALSE)</f>
        <v>0</v>
      </c>
      <c r="H269" s="19">
        <f>VLOOKUP(C:C,Courts!B:F,5,FALSE)</f>
        <v>35</v>
      </c>
      <c r="I269" s="18" t="s">
        <v>239</v>
      </c>
      <c r="J269" s="19">
        <f>VLOOKUP(C:C,TooliD!B:Q,16,FALSE)</f>
        <v>70</v>
      </c>
      <c r="K269" s="18">
        <f>VLOOKUP(C:C,TooliD!B:P,15,FALSE)</f>
        <v>69</v>
      </c>
      <c r="L269" s="19">
        <f t="shared" si="50"/>
        <v>-1</v>
      </c>
      <c r="M269" s="19" t="str">
        <f t="shared" si="38"/>
        <v>Shortfall</v>
      </c>
      <c r="N269" s="18"/>
    </row>
    <row r="270" spans="1:14" x14ac:dyDescent="0.25">
      <c r="A270" s="19" t="s">
        <v>157</v>
      </c>
      <c r="B270" s="18" t="s">
        <v>73</v>
      </c>
      <c r="C270" s="18" t="s">
        <v>73</v>
      </c>
      <c r="D270" s="19" t="s">
        <v>237</v>
      </c>
      <c r="E270" s="19">
        <f>VLOOKUP(C:C,Courts!B:C,2,FALSE)</f>
        <v>35</v>
      </c>
      <c r="F270" s="19">
        <f>VLOOKUP(C:C,Courts!B:E,4,FALSE)</f>
        <v>0</v>
      </c>
      <c r="G270" s="19">
        <f>VLOOKUP(C:C,Courts!B:D,3,FALSE)</f>
        <v>0</v>
      </c>
      <c r="H270" s="19">
        <f>VLOOKUP(C:C,Courts!B:F,5,FALSE)</f>
        <v>35</v>
      </c>
      <c r="I270" s="18" t="s">
        <v>11</v>
      </c>
      <c r="J270" s="19">
        <f>VLOOKUP(C:C,TooliD!B:T,19,FALSE)</f>
        <v>280</v>
      </c>
      <c r="K270" s="18">
        <f>VLOOKUP(C:C,TooliD!B:S,18,FALSE)</f>
        <v>203</v>
      </c>
      <c r="L270" s="19">
        <f t="shared" si="50"/>
        <v>-77</v>
      </c>
      <c r="M270" s="19" t="str">
        <f t="shared" si="38"/>
        <v>Shortfall</v>
      </c>
      <c r="N270" s="18"/>
    </row>
    <row r="271" spans="1:14" x14ac:dyDescent="0.25">
      <c r="A271" s="19" t="s">
        <v>157</v>
      </c>
      <c r="B271" s="18" t="s">
        <v>73</v>
      </c>
      <c r="C271" s="18" t="s">
        <v>73</v>
      </c>
      <c r="D271" s="19" t="s">
        <v>237</v>
      </c>
      <c r="E271" s="19">
        <f>VLOOKUP(C:C,Courts!B:C,2,FALSE)</f>
        <v>35</v>
      </c>
      <c r="F271" s="19">
        <f>VLOOKUP(C:C,Courts!B:E,4,FALSE)</f>
        <v>0</v>
      </c>
      <c r="G271" s="19">
        <f>VLOOKUP(C:C,Courts!B:D,3,FALSE)</f>
        <v>0</v>
      </c>
      <c r="H271" s="19">
        <f>VLOOKUP(C:C,Courts!B:F,5,FALSE)</f>
        <v>35</v>
      </c>
      <c r="I271" s="18" t="s">
        <v>212</v>
      </c>
      <c r="J271" s="19">
        <f>VLOOKUP(C:C,TooliD!B:W,22,FALSE)</f>
        <v>35</v>
      </c>
      <c r="K271" s="18">
        <f>VLOOKUP(C:C,TooliD!B:V,21,FALSE)</f>
        <v>29</v>
      </c>
      <c r="L271" s="19">
        <f t="shared" si="50"/>
        <v>-6</v>
      </c>
      <c r="M271" s="19" t="str">
        <f t="shared" ref="M271" si="51">IF(L271=0,"OK", IF(L271&gt;0,"Surplus","Shortfall"))</f>
        <v>Shortfall</v>
      </c>
      <c r="N271" s="18"/>
    </row>
    <row r="272" spans="1:14" x14ac:dyDescent="0.25">
      <c r="A272" s="19" t="s">
        <v>157</v>
      </c>
      <c r="B272" s="18" t="s">
        <v>73</v>
      </c>
      <c r="C272" s="18" t="s">
        <v>74</v>
      </c>
      <c r="D272" s="19" t="s">
        <v>238</v>
      </c>
      <c r="E272" s="19">
        <f>VLOOKUP(C:C,Courts!B:C,2,FALSE)</f>
        <v>5</v>
      </c>
      <c r="F272" s="19">
        <f>VLOOKUP(C:C,Courts!B:E,4,FALSE)</f>
        <v>1</v>
      </c>
      <c r="G272" s="19">
        <f>VLOOKUP(C:C,Courts!B:D,3,FALSE)</f>
        <v>0</v>
      </c>
      <c r="H272" s="19">
        <f>VLOOKUP(C:C,Courts!B:F,5,FALSE)</f>
        <v>6</v>
      </c>
      <c r="I272" s="18" t="s">
        <v>7</v>
      </c>
      <c r="J272" s="19">
        <f>VLOOKUP(C:C,TooliD!B:H,7,FALSE)</f>
        <v>6</v>
      </c>
      <c r="K272" s="19">
        <f>VLOOKUP(C:C,TooliD!B:G,6,FALSE)</f>
        <v>8</v>
      </c>
      <c r="L272" s="19">
        <f>K272-J272</f>
        <v>2</v>
      </c>
      <c r="M272" s="19" t="str">
        <f>IF(L272=0,"OK", IF(L272&gt;0,"Surplus","Shortfall"))</f>
        <v>Surplus</v>
      </c>
      <c r="N272" s="18"/>
    </row>
    <row r="273" spans="1:14" x14ac:dyDescent="0.25">
      <c r="A273" s="19" t="s">
        <v>157</v>
      </c>
      <c r="B273" s="18" t="s">
        <v>73</v>
      </c>
      <c r="C273" s="18" t="s">
        <v>74</v>
      </c>
      <c r="D273" s="19" t="s">
        <v>238</v>
      </c>
      <c r="E273" s="19">
        <f>VLOOKUP(C:C,Courts!B:C,2,FALSE)</f>
        <v>5</v>
      </c>
      <c r="F273" s="19">
        <f>VLOOKUP(C:C,Courts!B:E,4,FALSE)</f>
        <v>1</v>
      </c>
      <c r="G273" s="19">
        <f>VLOOKUP(C:C,Courts!B:D,3,FALSE)</f>
        <v>0</v>
      </c>
      <c r="H273" s="19">
        <f>VLOOKUP(C:C,Courts!B:F,5,FALSE)</f>
        <v>6</v>
      </c>
      <c r="I273" s="18" t="s">
        <v>241</v>
      </c>
      <c r="J273" s="19">
        <f>VLOOKUP(C:C,TooliD!B:K,7,FALSE)</f>
        <v>6</v>
      </c>
      <c r="K273" s="19">
        <f>VLOOKUP(C:C,TooliD!B:J,9,FALSE)</f>
        <v>5</v>
      </c>
      <c r="L273" s="19">
        <f t="shared" ref="L273:L277" si="52">K273-J273</f>
        <v>-1</v>
      </c>
      <c r="M273" s="19" t="str">
        <f t="shared" ref="M273:M336" si="53">IF(L273=0,"OK", IF(L273&gt;0,"Surplus","Shortfall"))</f>
        <v>Shortfall</v>
      </c>
      <c r="N273" s="18"/>
    </row>
    <row r="274" spans="1:14" x14ac:dyDescent="0.25">
      <c r="A274" s="19" t="s">
        <v>157</v>
      </c>
      <c r="B274" s="18" t="s">
        <v>73</v>
      </c>
      <c r="C274" s="18" t="s">
        <v>74</v>
      </c>
      <c r="D274" s="19" t="s">
        <v>238</v>
      </c>
      <c r="E274" s="19">
        <f>VLOOKUP(C:C,Courts!B:C,2,FALSE)</f>
        <v>5</v>
      </c>
      <c r="F274" s="19">
        <f>VLOOKUP(C:C,Courts!B:E,4,FALSE)</f>
        <v>1</v>
      </c>
      <c r="G274" s="19">
        <f>VLOOKUP(C:C,Courts!B:D,3,FALSE)</f>
        <v>0</v>
      </c>
      <c r="H274" s="19">
        <f>VLOOKUP(C:C,Courts!B:F,5,FALSE)</f>
        <v>6</v>
      </c>
      <c r="I274" s="18" t="s">
        <v>9</v>
      </c>
      <c r="J274" s="19">
        <f>VLOOKUP(C:C,TooliD!B:N,13,FALSE)</f>
        <v>6</v>
      </c>
      <c r="K274" s="18">
        <f>VLOOKUP(C:C,TooliD!B:M,12,FALSE)</f>
        <v>8</v>
      </c>
      <c r="L274" s="19">
        <f t="shared" si="52"/>
        <v>2</v>
      </c>
      <c r="M274" s="19" t="str">
        <f t="shared" si="53"/>
        <v>Surplus</v>
      </c>
      <c r="N274" s="18"/>
    </row>
    <row r="275" spans="1:14" x14ac:dyDescent="0.25">
      <c r="A275" s="19" t="s">
        <v>157</v>
      </c>
      <c r="B275" s="18" t="s">
        <v>73</v>
      </c>
      <c r="C275" s="18" t="s">
        <v>74</v>
      </c>
      <c r="D275" s="19" t="s">
        <v>238</v>
      </c>
      <c r="E275" s="19">
        <f>VLOOKUP(C:C,Courts!B:C,2,FALSE)</f>
        <v>5</v>
      </c>
      <c r="F275" s="19">
        <f>VLOOKUP(C:C,Courts!B:E,4,FALSE)</f>
        <v>1</v>
      </c>
      <c r="G275" s="19">
        <f>VLOOKUP(C:C,Courts!B:D,3,FALSE)</f>
        <v>0</v>
      </c>
      <c r="H275" s="19">
        <f>VLOOKUP(C:C,Courts!B:F,5,FALSE)</f>
        <v>6</v>
      </c>
      <c r="I275" s="18" t="s">
        <v>239</v>
      </c>
      <c r="J275" s="19">
        <f>VLOOKUP(C:C,TooliD!B:Q,16,FALSE)</f>
        <v>10</v>
      </c>
      <c r="K275" s="18">
        <f>VLOOKUP(C:C,TooliD!B:P,15,FALSE)</f>
        <v>14</v>
      </c>
      <c r="L275" s="19">
        <f t="shared" si="52"/>
        <v>4</v>
      </c>
      <c r="M275" s="19" t="str">
        <f t="shared" si="53"/>
        <v>Surplus</v>
      </c>
      <c r="N275" s="18"/>
    </row>
    <row r="276" spans="1:14" x14ac:dyDescent="0.25">
      <c r="A276" s="19" t="s">
        <v>157</v>
      </c>
      <c r="B276" s="18" t="s">
        <v>73</v>
      </c>
      <c r="C276" s="18" t="s">
        <v>74</v>
      </c>
      <c r="D276" s="19" t="s">
        <v>238</v>
      </c>
      <c r="E276" s="19">
        <f>VLOOKUP(C:C,Courts!B:C,2,FALSE)</f>
        <v>5</v>
      </c>
      <c r="F276" s="19">
        <f>VLOOKUP(C:C,Courts!B:E,4,FALSE)</f>
        <v>1</v>
      </c>
      <c r="G276" s="19">
        <f>VLOOKUP(C:C,Courts!B:D,3,FALSE)</f>
        <v>0</v>
      </c>
      <c r="H276" s="19">
        <f>VLOOKUP(C:C,Courts!B:F,5,FALSE)</f>
        <v>6</v>
      </c>
      <c r="I276" s="18" t="s">
        <v>11</v>
      </c>
      <c r="J276" s="19">
        <f>VLOOKUP(C:C,TooliD!B:T,19,FALSE)</f>
        <v>44</v>
      </c>
      <c r="K276" s="18">
        <f>VLOOKUP(C:C,TooliD!B:S,18,FALSE)</f>
        <v>36</v>
      </c>
      <c r="L276" s="19">
        <f t="shared" si="52"/>
        <v>-8</v>
      </c>
      <c r="M276" s="19" t="str">
        <f t="shared" si="53"/>
        <v>Shortfall</v>
      </c>
      <c r="N276" s="18"/>
    </row>
    <row r="277" spans="1:14" x14ac:dyDescent="0.25">
      <c r="A277" s="19" t="s">
        <v>157</v>
      </c>
      <c r="B277" s="18" t="s">
        <v>73</v>
      </c>
      <c r="C277" s="18" t="s">
        <v>74</v>
      </c>
      <c r="D277" s="19" t="s">
        <v>238</v>
      </c>
      <c r="E277" s="19">
        <f>VLOOKUP(C:C,Courts!B:C,2,FALSE)</f>
        <v>5</v>
      </c>
      <c r="F277" s="19">
        <f>VLOOKUP(C:C,Courts!B:E,4,FALSE)</f>
        <v>1</v>
      </c>
      <c r="G277" s="19">
        <f>VLOOKUP(C:C,Courts!B:D,3,FALSE)</f>
        <v>0</v>
      </c>
      <c r="H277" s="19">
        <f>VLOOKUP(C:C,Courts!B:F,5,FALSE)</f>
        <v>6</v>
      </c>
      <c r="I277" s="18" t="s">
        <v>212</v>
      </c>
      <c r="J277" s="19">
        <f>VLOOKUP(C:C,TooliD!B:W,22,FALSE)</f>
        <v>6</v>
      </c>
      <c r="K277" s="18">
        <f>VLOOKUP(C:C,TooliD!B:V,21,FALSE)</f>
        <v>5</v>
      </c>
      <c r="L277" s="19">
        <f t="shared" si="52"/>
        <v>-1</v>
      </c>
      <c r="M277" s="19" t="str">
        <f t="shared" si="53"/>
        <v>Shortfall</v>
      </c>
      <c r="N277" s="18"/>
    </row>
    <row r="278" spans="1:14" x14ac:dyDescent="0.25">
      <c r="A278" s="19" t="s">
        <v>157</v>
      </c>
      <c r="B278" s="18" t="s">
        <v>73</v>
      </c>
      <c r="C278" s="18" t="s">
        <v>75</v>
      </c>
      <c r="D278" s="19" t="s">
        <v>238</v>
      </c>
      <c r="E278" s="19">
        <f>VLOOKUP(C:C,Courts!B:C,2,FALSE)</f>
        <v>6</v>
      </c>
      <c r="F278" s="19">
        <f>VLOOKUP(C:C,Courts!B:E,4,FALSE)</f>
        <v>1</v>
      </c>
      <c r="G278" s="19">
        <f>VLOOKUP(C:C,Courts!B:D,3,FALSE)</f>
        <v>0</v>
      </c>
      <c r="H278" s="19">
        <f>VLOOKUP(C:C,Courts!B:F,5,FALSE)</f>
        <v>7</v>
      </c>
      <c r="I278" s="18" t="s">
        <v>7</v>
      </c>
      <c r="J278" s="19">
        <f>VLOOKUP(C:C,TooliD!B:H,7,FALSE)</f>
        <v>7</v>
      </c>
      <c r="K278" s="19">
        <f>VLOOKUP(C:C,TooliD!B:G,6,FALSE)</f>
        <v>8</v>
      </c>
      <c r="L278" s="19">
        <f>K278-J278</f>
        <v>1</v>
      </c>
      <c r="M278" s="19" t="str">
        <f>IF(L278=0,"OK", IF(L278&gt;0,"Surplus","Shortfall"))</f>
        <v>Surplus</v>
      </c>
      <c r="N278" s="18"/>
    </row>
    <row r="279" spans="1:14" x14ac:dyDescent="0.25">
      <c r="A279" s="19" t="s">
        <v>157</v>
      </c>
      <c r="B279" s="18" t="s">
        <v>73</v>
      </c>
      <c r="C279" s="18" t="s">
        <v>75</v>
      </c>
      <c r="D279" s="19" t="s">
        <v>238</v>
      </c>
      <c r="E279" s="19">
        <f>VLOOKUP(C:C,Courts!B:C,2,FALSE)</f>
        <v>6</v>
      </c>
      <c r="F279" s="19">
        <f>VLOOKUP(C:C,Courts!B:E,4,FALSE)</f>
        <v>1</v>
      </c>
      <c r="G279" s="19">
        <f>VLOOKUP(C:C,Courts!B:D,3,FALSE)</f>
        <v>0</v>
      </c>
      <c r="H279" s="19">
        <f>VLOOKUP(C:C,Courts!B:F,5,FALSE)</f>
        <v>7</v>
      </c>
      <c r="I279" s="18" t="s">
        <v>241</v>
      </c>
      <c r="J279" s="19">
        <f>VLOOKUP(C:C,TooliD!B:K,7,FALSE)</f>
        <v>7</v>
      </c>
      <c r="K279" s="19">
        <f>VLOOKUP(C:C,TooliD!B:J,9,FALSE)</f>
        <v>6</v>
      </c>
      <c r="L279" s="19">
        <f t="shared" ref="L279:L283" si="54">K279-J279</f>
        <v>-1</v>
      </c>
      <c r="M279" s="19" t="str">
        <f t="shared" si="53"/>
        <v>Shortfall</v>
      </c>
      <c r="N279" s="18"/>
    </row>
    <row r="280" spans="1:14" x14ac:dyDescent="0.25">
      <c r="A280" s="19" t="s">
        <v>157</v>
      </c>
      <c r="B280" s="18" t="s">
        <v>73</v>
      </c>
      <c r="C280" s="18" t="s">
        <v>75</v>
      </c>
      <c r="D280" s="19" t="s">
        <v>238</v>
      </c>
      <c r="E280" s="19">
        <f>VLOOKUP(C:C,Courts!B:C,2,FALSE)</f>
        <v>6</v>
      </c>
      <c r="F280" s="19">
        <f>VLOOKUP(C:C,Courts!B:E,4,FALSE)</f>
        <v>1</v>
      </c>
      <c r="G280" s="19">
        <f>VLOOKUP(C:C,Courts!B:D,3,FALSE)</f>
        <v>0</v>
      </c>
      <c r="H280" s="19">
        <f>VLOOKUP(C:C,Courts!B:F,5,FALSE)</f>
        <v>7</v>
      </c>
      <c r="I280" s="18" t="s">
        <v>9</v>
      </c>
      <c r="J280" s="19">
        <f>VLOOKUP(C:C,TooliD!B:N,13,FALSE)</f>
        <v>7</v>
      </c>
      <c r="K280" s="18">
        <f>VLOOKUP(C:C,TooliD!B:M,12,FALSE)</f>
        <v>8</v>
      </c>
      <c r="L280" s="19">
        <f t="shared" si="54"/>
        <v>1</v>
      </c>
      <c r="M280" s="19" t="str">
        <f t="shared" si="53"/>
        <v>Surplus</v>
      </c>
      <c r="N280" s="18"/>
    </row>
    <row r="281" spans="1:14" x14ac:dyDescent="0.25">
      <c r="A281" s="19" t="s">
        <v>157</v>
      </c>
      <c r="B281" s="18" t="s">
        <v>73</v>
      </c>
      <c r="C281" s="18" t="s">
        <v>75</v>
      </c>
      <c r="D281" s="19" t="s">
        <v>238</v>
      </c>
      <c r="E281" s="19">
        <f>VLOOKUP(C:C,Courts!B:C,2,FALSE)</f>
        <v>6</v>
      </c>
      <c r="F281" s="19">
        <f>VLOOKUP(C:C,Courts!B:E,4,FALSE)</f>
        <v>1</v>
      </c>
      <c r="G281" s="19">
        <f>VLOOKUP(C:C,Courts!B:D,3,FALSE)</f>
        <v>0</v>
      </c>
      <c r="H281" s="19">
        <f>VLOOKUP(C:C,Courts!B:F,5,FALSE)</f>
        <v>7</v>
      </c>
      <c r="I281" s="18" t="s">
        <v>239</v>
      </c>
      <c r="J281" s="19">
        <f>VLOOKUP(C:C,TooliD!B:Q,16,FALSE)</f>
        <v>12</v>
      </c>
      <c r="K281" s="18">
        <f>VLOOKUP(C:C,TooliD!B:P,15,FALSE)</f>
        <v>14</v>
      </c>
      <c r="L281" s="19">
        <f t="shared" si="54"/>
        <v>2</v>
      </c>
      <c r="M281" s="19" t="str">
        <f t="shared" si="53"/>
        <v>Surplus</v>
      </c>
      <c r="N281" s="18"/>
    </row>
    <row r="282" spans="1:14" x14ac:dyDescent="0.25">
      <c r="A282" s="19" t="s">
        <v>157</v>
      </c>
      <c r="B282" s="18" t="s">
        <v>73</v>
      </c>
      <c r="C282" s="18" t="s">
        <v>75</v>
      </c>
      <c r="D282" s="19" t="s">
        <v>238</v>
      </c>
      <c r="E282" s="19">
        <f>VLOOKUP(C:C,Courts!B:C,2,FALSE)</f>
        <v>6</v>
      </c>
      <c r="F282" s="19">
        <f>VLOOKUP(C:C,Courts!B:E,4,FALSE)</f>
        <v>1</v>
      </c>
      <c r="G282" s="19">
        <f>VLOOKUP(C:C,Courts!B:D,3,FALSE)</f>
        <v>0</v>
      </c>
      <c r="H282" s="19">
        <f>VLOOKUP(C:C,Courts!B:F,5,FALSE)</f>
        <v>7</v>
      </c>
      <c r="I282" s="18" t="s">
        <v>11</v>
      </c>
      <c r="J282" s="19">
        <f>VLOOKUP(C:C,TooliD!B:T,19,FALSE)</f>
        <v>52</v>
      </c>
      <c r="K282" s="18">
        <f>VLOOKUP(C:C,TooliD!B:S,18,FALSE)</f>
        <v>44</v>
      </c>
      <c r="L282" s="19">
        <f t="shared" si="54"/>
        <v>-8</v>
      </c>
      <c r="M282" s="19" t="str">
        <f t="shared" si="53"/>
        <v>Shortfall</v>
      </c>
      <c r="N282" s="18"/>
    </row>
    <row r="283" spans="1:14" x14ac:dyDescent="0.25">
      <c r="A283" s="19" t="s">
        <v>157</v>
      </c>
      <c r="B283" s="18" t="s">
        <v>73</v>
      </c>
      <c r="C283" s="18" t="s">
        <v>75</v>
      </c>
      <c r="D283" s="19" t="s">
        <v>238</v>
      </c>
      <c r="E283" s="19">
        <f>VLOOKUP(C:C,Courts!B:C,2,FALSE)</f>
        <v>6</v>
      </c>
      <c r="F283" s="19">
        <f>VLOOKUP(C:C,Courts!B:E,4,FALSE)</f>
        <v>1</v>
      </c>
      <c r="G283" s="19">
        <f>VLOOKUP(C:C,Courts!B:D,3,FALSE)</f>
        <v>0</v>
      </c>
      <c r="H283" s="19">
        <f>VLOOKUP(C:C,Courts!B:F,5,FALSE)</f>
        <v>7</v>
      </c>
      <c r="I283" s="18" t="s">
        <v>212</v>
      </c>
      <c r="J283" s="19">
        <f>VLOOKUP(C:C,TooliD!B:W,22,FALSE)</f>
        <v>7</v>
      </c>
      <c r="K283" s="18">
        <f>VLOOKUP(C:C,TooliD!B:V,21,FALSE)</f>
        <v>7</v>
      </c>
      <c r="L283" s="19">
        <f t="shared" si="54"/>
        <v>0</v>
      </c>
      <c r="M283" s="19" t="str">
        <f t="shared" si="53"/>
        <v>OK</v>
      </c>
      <c r="N283" s="18"/>
    </row>
    <row r="284" spans="1:14" x14ac:dyDescent="0.25">
      <c r="A284" s="19" t="s">
        <v>157</v>
      </c>
      <c r="B284" s="18" t="s">
        <v>73</v>
      </c>
      <c r="C284" s="18" t="s">
        <v>76</v>
      </c>
      <c r="D284" s="19" t="s">
        <v>238</v>
      </c>
      <c r="E284" s="19">
        <f>VLOOKUP(C:C,Courts!B:C,2,FALSE)</f>
        <v>6</v>
      </c>
      <c r="F284" s="19">
        <f>VLOOKUP(C:C,Courts!B:E,4,FALSE)</f>
        <v>1</v>
      </c>
      <c r="G284" s="19">
        <f>VLOOKUP(C:C,Courts!B:D,3,FALSE)</f>
        <v>0</v>
      </c>
      <c r="H284" s="19">
        <f>VLOOKUP(C:C,Courts!B:F,5,FALSE)</f>
        <v>7</v>
      </c>
      <c r="I284" s="18" t="s">
        <v>7</v>
      </c>
      <c r="J284" s="19">
        <f>VLOOKUP(C:C,TooliD!B:H,7,FALSE)</f>
        <v>7</v>
      </c>
      <c r="K284" s="19">
        <f>VLOOKUP(C:C,TooliD!B:G,6,FALSE)</f>
        <v>8</v>
      </c>
      <c r="L284" s="19">
        <f>K284-J284</f>
        <v>1</v>
      </c>
      <c r="M284" s="19" t="str">
        <f>IF(L284=0,"OK", IF(L284&gt;0,"Surplus","Shortfall"))</f>
        <v>Surplus</v>
      </c>
      <c r="N284" s="18"/>
    </row>
    <row r="285" spans="1:14" x14ac:dyDescent="0.25">
      <c r="A285" s="19" t="s">
        <v>157</v>
      </c>
      <c r="B285" s="18" t="s">
        <v>73</v>
      </c>
      <c r="C285" s="18" t="s">
        <v>76</v>
      </c>
      <c r="D285" s="19" t="s">
        <v>238</v>
      </c>
      <c r="E285" s="19">
        <f>VLOOKUP(C:C,Courts!B:C,2,FALSE)</f>
        <v>6</v>
      </c>
      <c r="F285" s="19">
        <f>VLOOKUP(C:C,Courts!B:E,4,FALSE)</f>
        <v>1</v>
      </c>
      <c r="G285" s="19">
        <f>VLOOKUP(C:C,Courts!B:D,3,FALSE)</f>
        <v>0</v>
      </c>
      <c r="H285" s="19">
        <f>VLOOKUP(C:C,Courts!B:F,5,FALSE)</f>
        <v>7</v>
      </c>
      <c r="I285" s="18" t="s">
        <v>241</v>
      </c>
      <c r="J285" s="19">
        <f>VLOOKUP(C:C,TooliD!B:K,7,FALSE)</f>
        <v>7</v>
      </c>
      <c r="K285" s="19">
        <f>VLOOKUP(C:C,TooliD!B:J,9,FALSE)</f>
        <v>5</v>
      </c>
      <c r="L285" s="19">
        <f t="shared" ref="L285:L289" si="55">K285-J285</f>
        <v>-2</v>
      </c>
      <c r="M285" s="19" t="str">
        <f t="shared" si="53"/>
        <v>Shortfall</v>
      </c>
      <c r="N285" s="18"/>
    </row>
    <row r="286" spans="1:14" x14ac:dyDescent="0.25">
      <c r="A286" s="19" t="s">
        <v>157</v>
      </c>
      <c r="B286" s="18" t="s">
        <v>73</v>
      </c>
      <c r="C286" s="18" t="s">
        <v>76</v>
      </c>
      <c r="D286" s="19" t="s">
        <v>238</v>
      </c>
      <c r="E286" s="19">
        <f>VLOOKUP(C:C,Courts!B:C,2,FALSE)</f>
        <v>6</v>
      </c>
      <c r="F286" s="19">
        <f>VLOOKUP(C:C,Courts!B:E,4,FALSE)</f>
        <v>1</v>
      </c>
      <c r="G286" s="19">
        <f>VLOOKUP(C:C,Courts!B:D,3,FALSE)</f>
        <v>0</v>
      </c>
      <c r="H286" s="19">
        <f>VLOOKUP(C:C,Courts!B:F,5,FALSE)</f>
        <v>7</v>
      </c>
      <c r="I286" s="18" t="s">
        <v>9</v>
      </c>
      <c r="J286" s="19">
        <f>VLOOKUP(C:C,TooliD!B:N,13,FALSE)</f>
        <v>7</v>
      </c>
      <c r="K286" s="18">
        <f>VLOOKUP(C:C,TooliD!B:M,12,FALSE)</f>
        <v>7</v>
      </c>
      <c r="L286" s="19">
        <f t="shared" si="55"/>
        <v>0</v>
      </c>
      <c r="M286" s="19" t="str">
        <f t="shared" si="53"/>
        <v>OK</v>
      </c>
      <c r="N286" s="18"/>
    </row>
    <row r="287" spans="1:14" x14ac:dyDescent="0.25">
      <c r="A287" s="19" t="s">
        <v>157</v>
      </c>
      <c r="B287" s="18" t="s">
        <v>73</v>
      </c>
      <c r="C287" s="18" t="s">
        <v>76</v>
      </c>
      <c r="D287" s="19" t="s">
        <v>238</v>
      </c>
      <c r="E287" s="19">
        <f>VLOOKUP(C:C,Courts!B:C,2,FALSE)</f>
        <v>6</v>
      </c>
      <c r="F287" s="19">
        <f>VLOOKUP(C:C,Courts!B:E,4,FALSE)</f>
        <v>1</v>
      </c>
      <c r="G287" s="19">
        <f>VLOOKUP(C:C,Courts!B:D,3,FALSE)</f>
        <v>0</v>
      </c>
      <c r="H287" s="19">
        <f>VLOOKUP(C:C,Courts!B:F,5,FALSE)</f>
        <v>7</v>
      </c>
      <c r="I287" s="18" t="s">
        <v>239</v>
      </c>
      <c r="J287" s="19">
        <f>VLOOKUP(C:C,TooliD!B:Q,16,FALSE)</f>
        <v>12</v>
      </c>
      <c r="K287" s="18">
        <f>VLOOKUP(C:C,TooliD!B:P,15,FALSE)</f>
        <v>12</v>
      </c>
      <c r="L287" s="19">
        <f t="shared" si="55"/>
        <v>0</v>
      </c>
      <c r="M287" s="19" t="str">
        <f t="shared" si="53"/>
        <v>OK</v>
      </c>
      <c r="N287" s="18"/>
    </row>
    <row r="288" spans="1:14" x14ac:dyDescent="0.25">
      <c r="A288" s="19" t="s">
        <v>157</v>
      </c>
      <c r="B288" s="18" t="s">
        <v>73</v>
      </c>
      <c r="C288" s="18" t="s">
        <v>76</v>
      </c>
      <c r="D288" s="19" t="s">
        <v>238</v>
      </c>
      <c r="E288" s="19">
        <f>VLOOKUP(C:C,Courts!B:C,2,FALSE)</f>
        <v>6</v>
      </c>
      <c r="F288" s="19">
        <f>VLOOKUP(C:C,Courts!B:E,4,FALSE)</f>
        <v>1</v>
      </c>
      <c r="G288" s="19">
        <f>VLOOKUP(C:C,Courts!B:D,3,FALSE)</f>
        <v>0</v>
      </c>
      <c r="H288" s="19">
        <f>VLOOKUP(C:C,Courts!B:F,5,FALSE)</f>
        <v>7</v>
      </c>
      <c r="I288" s="18" t="s">
        <v>11</v>
      </c>
      <c r="J288" s="19">
        <f>VLOOKUP(C:C,TooliD!B:T,19,FALSE)</f>
        <v>52</v>
      </c>
      <c r="K288" s="18">
        <f>VLOOKUP(C:C,TooliD!B:S,18,FALSE)</f>
        <v>36</v>
      </c>
      <c r="L288" s="19">
        <f t="shared" si="55"/>
        <v>-16</v>
      </c>
      <c r="M288" s="19" t="str">
        <f t="shared" si="53"/>
        <v>Shortfall</v>
      </c>
      <c r="N288" s="18"/>
    </row>
    <row r="289" spans="1:14" x14ac:dyDescent="0.25">
      <c r="A289" s="19" t="s">
        <v>157</v>
      </c>
      <c r="B289" s="18" t="s">
        <v>73</v>
      </c>
      <c r="C289" s="18" t="s">
        <v>76</v>
      </c>
      <c r="D289" s="19" t="s">
        <v>238</v>
      </c>
      <c r="E289" s="19">
        <f>VLOOKUP(C:C,Courts!B:C,2,FALSE)</f>
        <v>6</v>
      </c>
      <c r="F289" s="19">
        <f>VLOOKUP(C:C,Courts!B:E,4,FALSE)</f>
        <v>1</v>
      </c>
      <c r="G289" s="19">
        <f>VLOOKUP(C:C,Courts!B:D,3,FALSE)</f>
        <v>0</v>
      </c>
      <c r="H289" s="19">
        <f>VLOOKUP(C:C,Courts!B:F,5,FALSE)</f>
        <v>7</v>
      </c>
      <c r="I289" s="18" t="s">
        <v>212</v>
      </c>
      <c r="J289" s="19">
        <f>VLOOKUP(C:C,TooliD!B:W,22,FALSE)</f>
        <v>7</v>
      </c>
      <c r="K289" s="18">
        <f>VLOOKUP(C:C,TooliD!B:V,21,FALSE)</f>
        <v>5</v>
      </c>
      <c r="L289" s="19">
        <f t="shared" si="55"/>
        <v>-2</v>
      </c>
      <c r="M289" s="19" t="str">
        <f t="shared" si="53"/>
        <v>Shortfall</v>
      </c>
      <c r="N289" s="18"/>
    </row>
    <row r="290" spans="1:14" x14ac:dyDescent="0.25">
      <c r="A290" s="19" t="s">
        <v>157</v>
      </c>
      <c r="B290" s="18" t="s">
        <v>77</v>
      </c>
      <c r="C290" s="18" t="s">
        <v>77</v>
      </c>
      <c r="D290" s="19" t="s">
        <v>237</v>
      </c>
      <c r="E290" s="19">
        <f>VLOOKUP(C:C,Courts!B:C,2,FALSE)</f>
        <v>14</v>
      </c>
      <c r="F290" s="19">
        <f>VLOOKUP(C:C,Courts!B:E,4,FALSE)</f>
        <v>0</v>
      </c>
      <c r="G290" s="19">
        <f>VLOOKUP(C:C,Courts!B:D,3,FALSE)</f>
        <v>0</v>
      </c>
      <c r="H290" s="19">
        <f>VLOOKUP(C:C,Courts!B:F,5,FALSE)</f>
        <v>14</v>
      </c>
      <c r="I290" s="18" t="s">
        <v>7</v>
      </c>
      <c r="J290" s="19">
        <f>VLOOKUP(C:C,TooliD!B:H,7,FALSE)</f>
        <v>14</v>
      </c>
      <c r="K290" s="19">
        <f>VLOOKUP(C:C,TooliD!B:G,6,FALSE)</f>
        <v>16</v>
      </c>
      <c r="L290" s="19">
        <f>K290-J290</f>
        <v>2</v>
      </c>
      <c r="M290" s="19" t="str">
        <f>IF(L290=0,"OK", IF(L290&gt;0,"Surplus","Shortfall"))</f>
        <v>Surplus</v>
      </c>
      <c r="N290" s="18"/>
    </row>
    <row r="291" spans="1:14" x14ac:dyDescent="0.25">
      <c r="A291" s="19" t="s">
        <v>157</v>
      </c>
      <c r="B291" s="18" t="s">
        <v>77</v>
      </c>
      <c r="C291" s="18" t="s">
        <v>77</v>
      </c>
      <c r="D291" s="19" t="s">
        <v>237</v>
      </c>
      <c r="E291" s="19">
        <f>VLOOKUP(C:C,Courts!B:C,2,FALSE)</f>
        <v>14</v>
      </c>
      <c r="F291" s="19">
        <f>VLOOKUP(C:C,Courts!B:E,4,FALSE)</f>
        <v>0</v>
      </c>
      <c r="G291" s="19">
        <f>VLOOKUP(C:C,Courts!B:D,3,FALSE)</f>
        <v>0</v>
      </c>
      <c r="H291" s="19">
        <f>VLOOKUP(C:C,Courts!B:F,5,FALSE)</f>
        <v>14</v>
      </c>
      <c r="I291" s="18" t="s">
        <v>241</v>
      </c>
      <c r="J291" s="19">
        <f>VLOOKUP(C:C,TooliD!B:K,7,FALSE)</f>
        <v>14</v>
      </c>
      <c r="K291" s="19">
        <f>VLOOKUP(C:C,TooliD!B:J,9,FALSE)</f>
        <v>14</v>
      </c>
      <c r="L291" s="19">
        <f t="shared" ref="L291:L295" si="56">K291-J291</f>
        <v>0</v>
      </c>
      <c r="M291" s="19" t="str">
        <f t="shared" si="53"/>
        <v>OK</v>
      </c>
      <c r="N291" s="18"/>
    </row>
    <row r="292" spans="1:14" x14ac:dyDescent="0.25">
      <c r="A292" s="19" t="s">
        <v>157</v>
      </c>
      <c r="B292" s="18" t="s">
        <v>77</v>
      </c>
      <c r="C292" s="18" t="s">
        <v>77</v>
      </c>
      <c r="D292" s="19" t="s">
        <v>237</v>
      </c>
      <c r="E292" s="19">
        <f>VLOOKUP(C:C,Courts!B:C,2,FALSE)</f>
        <v>14</v>
      </c>
      <c r="F292" s="19">
        <f>VLOOKUP(C:C,Courts!B:E,4,FALSE)</f>
        <v>0</v>
      </c>
      <c r="G292" s="19">
        <f>VLOOKUP(C:C,Courts!B:D,3,FALSE)</f>
        <v>0</v>
      </c>
      <c r="H292" s="19">
        <f>VLOOKUP(C:C,Courts!B:F,5,FALSE)</f>
        <v>14</v>
      </c>
      <c r="I292" s="18" t="s">
        <v>9</v>
      </c>
      <c r="J292" s="19">
        <f>VLOOKUP(C:C,TooliD!B:N,13,FALSE)</f>
        <v>14</v>
      </c>
      <c r="K292" s="18">
        <f>VLOOKUP(C:C,TooliD!B:M,12,FALSE)</f>
        <v>15</v>
      </c>
      <c r="L292" s="19">
        <f t="shared" si="56"/>
        <v>1</v>
      </c>
      <c r="M292" s="19" t="str">
        <f t="shared" si="53"/>
        <v>Surplus</v>
      </c>
      <c r="N292" s="18"/>
    </row>
    <row r="293" spans="1:14" x14ac:dyDescent="0.25">
      <c r="A293" s="19" t="s">
        <v>157</v>
      </c>
      <c r="B293" s="18" t="s">
        <v>77</v>
      </c>
      <c r="C293" s="18" t="s">
        <v>77</v>
      </c>
      <c r="D293" s="19" t="s">
        <v>237</v>
      </c>
      <c r="E293" s="19">
        <f>VLOOKUP(C:C,Courts!B:C,2,FALSE)</f>
        <v>14</v>
      </c>
      <c r="F293" s="19">
        <f>VLOOKUP(C:C,Courts!B:E,4,FALSE)</f>
        <v>0</v>
      </c>
      <c r="G293" s="19">
        <f>VLOOKUP(C:C,Courts!B:D,3,FALSE)</f>
        <v>0</v>
      </c>
      <c r="H293" s="19">
        <f>VLOOKUP(C:C,Courts!B:F,5,FALSE)</f>
        <v>14</v>
      </c>
      <c r="I293" s="18" t="s">
        <v>239</v>
      </c>
      <c r="J293" s="19">
        <f>VLOOKUP(C:C,TooliD!B:Q,16,FALSE)</f>
        <v>28</v>
      </c>
      <c r="K293" s="18">
        <f>VLOOKUP(C:C,TooliD!B:P,15,FALSE)</f>
        <v>28</v>
      </c>
      <c r="L293" s="19">
        <f t="shared" si="56"/>
        <v>0</v>
      </c>
      <c r="M293" s="19" t="str">
        <f t="shared" si="53"/>
        <v>OK</v>
      </c>
      <c r="N293" s="18"/>
    </row>
    <row r="294" spans="1:14" x14ac:dyDescent="0.25">
      <c r="A294" s="19" t="s">
        <v>157</v>
      </c>
      <c r="B294" s="18" t="s">
        <v>77</v>
      </c>
      <c r="C294" s="18" t="s">
        <v>77</v>
      </c>
      <c r="D294" s="19" t="s">
        <v>237</v>
      </c>
      <c r="E294" s="19">
        <f>VLOOKUP(C:C,Courts!B:C,2,FALSE)</f>
        <v>14</v>
      </c>
      <c r="F294" s="19">
        <f>VLOOKUP(C:C,Courts!B:E,4,FALSE)</f>
        <v>0</v>
      </c>
      <c r="G294" s="19">
        <f>VLOOKUP(C:C,Courts!B:D,3,FALSE)</f>
        <v>0</v>
      </c>
      <c r="H294" s="19">
        <f>VLOOKUP(C:C,Courts!B:F,5,FALSE)</f>
        <v>14</v>
      </c>
      <c r="I294" s="18" t="s">
        <v>11</v>
      </c>
      <c r="J294" s="19">
        <f>VLOOKUP(C:C,TooliD!B:T,19,FALSE)</f>
        <v>112</v>
      </c>
      <c r="K294" s="18">
        <f>VLOOKUP(C:C,TooliD!B:S,18,FALSE)</f>
        <v>108</v>
      </c>
      <c r="L294" s="19">
        <f t="shared" si="56"/>
        <v>-4</v>
      </c>
      <c r="M294" s="19" t="str">
        <f t="shared" si="53"/>
        <v>Shortfall</v>
      </c>
      <c r="N294" s="18"/>
    </row>
    <row r="295" spans="1:14" x14ac:dyDescent="0.25">
      <c r="A295" s="19" t="s">
        <v>157</v>
      </c>
      <c r="B295" s="18" t="s">
        <v>77</v>
      </c>
      <c r="C295" s="18" t="s">
        <v>77</v>
      </c>
      <c r="D295" s="19" t="s">
        <v>237</v>
      </c>
      <c r="E295" s="19">
        <f>VLOOKUP(C:C,Courts!B:C,2,FALSE)</f>
        <v>14</v>
      </c>
      <c r="F295" s="19">
        <f>VLOOKUP(C:C,Courts!B:E,4,FALSE)</f>
        <v>0</v>
      </c>
      <c r="G295" s="19">
        <f>VLOOKUP(C:C,Courts!B:D,3,FALSE)</f>
        <v>0</v>
      </c>
      <c r="H295" s="19">
        <f>VLOOKUP(C:C,Courts!B:F,5,FALSE)</f>
        <v>14</v>
      </c>
      <c r="I295" s="18" t="s">
        <v>212</v>
      </c>
      <c r="J295" s="19">
        <f>VLOOKUP(C:C,TooliD!B:W,22,FALSE)</f>
        <v>14</v>
      </c>
      <c r="K295" s="18">
        <f>VLOOKUP(C:C,TooliD!B:V,21,FALSE)</f>
        <v>14</v>
      </c>
      <c r="L295" s="19">
        <f t="shared" si="56"/>
        <v>0</v>
      </c>
      <c r="M295" s="19" t="str">
        <f t="shared" si="53"/>
        <v>OK</v>
      </c>
      <c r="N295" s="18"/>
    </row>
    <row r="296" spans="1:14" x14ac:dyDescent="0.25">
      <c r="A296" s="19" t="s">
        <v>157</v>
      </c>
      <c r="B296" s="18" t="s">
        <v>77</v>
      </c>
      <c r="C296" s="18" t="s">
        <v>78</v>
      </c>
      <c r="D296" s="19" t="s">
        <v>238</v>
      </c>
      <c r="E296" s="19">
        <f>VLOOKUP(C:C,Courts!B:C,2,FALSE)</f>
        <v>3</v>
      </c>
      <c r="F296" s="19">
        <f>VLOOKUP(C:C,Courts!B:E,4,FALSE)</f>
        <v>1</v>
      </c>
      <c r="G296" s="19">
        <f>VLOOKUP(C:C,Courts!B:D,3,FALSE)</f>
        <v>0</v>
      </c>
      <c r="H296" s="19">
        <f>VLOOKUP(C:C,Courts!B:F,5,FALSE)</f>
        <v>4</v>
      </c>
      <c r="I296" s="18" t="s">
        <v>7</v>
      </c>
      <c r="J296" s="19">
        <f>VLOOKUP(C:C,TooliD!B:H,7,FALSE)</f>
        <v>4</v>
      </c>
      <c r="K296" s="19">
        <f>VLOOKUP(C:C,TooliD!B:G,6,FALSE)</f>
        <v>5</v>
      </c>
      <c r="L296" s="19">
        <f>K296-J296</f>
        <v>1</v>
      </c>
      <c r="M296" s="19" t="str">
        <f>IF(L296=0,"OK", IF(L296&gt;0,"Surplus","Shortfall"))</f>
        <v>Surplus</v>
      </c>
      <c r="N296" s="18"/>
    </row>
    <row r="297" spans="1:14" x14ac:dyDescent="0.25">
      <c r="A297" s="19" t="s">
        <v>157</v>
      </c>
      <c r="B297" s="18" t="s">
        <v>77</v>
      </c>
      <c r="C297" s="18" t="s">
        <v>78</v>
      </c>
      <c r="D297" s="19" t="s">
        <v>238</v>
      </c>
      <c r="E297" s="19">
        <f>VLOOKUP(C:C,Courts!B:C,2,FALSE)</f>
        <v>3</v>
      </c>
      <c r="F297" s="19">
        <f>VLOOKUP(C:C,Courts!B:E,4,FALSE)</f>
        <v>1</v>
      </c>
      <c r="G297" s="19">
        <f>VLOOKUP(C:C,Courts!B:D,3,FALSE)</f>
        <v>0</v>
      </c>
      <c r="H297" s="19">
        <f>VLOOKUP(C:C,Courts!B:F,5,FALSE)</f>
        <v>4</v>
      </c>
      <c r="I297" s="18" t="s">
        <v>241</v>
      </c>
      <c r="J297" s="19">
        <f>VLOOKUP(C:C,TooliD!B:K,7,FALSE)</f>
        <v>4</v>
      </c>
      <c r="K297" s="19">
        <f>VLOOKUP(C:C,TooliD!B:J,9,FALSE)</f>
        <v>4</v>
      </c>
      <c r="L297" s="19">
        <f t="shared" ref="L297:L301" si="57">K297-J297</f>
        <v>0</v>
      </c>
      <c r="M297" s="19" t="str">
        <f t="shared" si="53"/>
        <v>OK</v>
      </c>
      <c r="N297" s="18"/>
    </row>
    <row r="298" spans="1:14" x14ac:dyDescent="0.25">
      <c r="A298" s="19" t="s">
        <v>157</v>
      </c>
      <c r="B298" s="18" t="s">
        <v>77</v>
      </c>
      <c r="C298" s="18" t="s">
        <v>78</v>
      </c>
      <c r="D298" s="19" t="s">
        <v>238</v>
      </c>
      <c r="E298" s="19">
        <f>VLOOKUP(C:C,Courts!B:C,2,FALSE)</f>
        <v>3</v>
      </c>
      <c r="F298" s="19">
        <f>VLOOKUP(C:C,Courts!B:E,4,FALSE)</f>
        <v>1</v>
      </c>
      <c r="G298" s="19">
        <f>VLOOKUP(C:C,Courts!B:D,3,FALSE)</f>
        <v>0</v>
      </c>
      <c r="H298" s="19">
        <f>VLOOKUP(C:C,Courts!B:F,5,FALSE)</f>
        <v>4</v>
      </c>
      <c r="I298" s="18" t="s">
        <v>9</v>
      </c>
      <c r="J298" s="19">
        <f>VLOOKUP(C:C,TooliD!B:N,13,FALSE)</f>
        <v>4</v>
      </c>
      <c r="K298" s="18">
        <f>VLOOKUP(C:C,TooliD!B:M,12,FALSE)</f>
        <v>5</v>
      </c>
      <c r="L298" s="19">
        <f t="shared" si="57"/>
        <v>1</v>
      </c>
      <c r="M298" s="19" t="str">
        <f t="shared" si="53"/>
        <v>Surplus</v>
      </c>
      <c r="N298" s="18"/>
    </row>
    <row r="299" spans="1:14" x14ac:dyDescent="0.25">
      <c r="A299" s="19" t="s">
        <v>157</v>
      </c>
      <c r="B299" s="18" t="s">
        <v>77</v>
      </c>
      <c r="C299" s="18" t="s">
        <v>78</v>
      </c>
      <c r="D299" s="19" t="s">
        <v>238</v>
      </c>
      <c r="E299" s="19">
        <f>VLOOKUP(C:C,Courts!B:C,2,FALSE)</f>
        <v>3</v>
      </c>
      <c r="F299" s="19">
        <f>VLOOKUP(C:C,Courts!B:E,4,FALSE)</f>
        <v>1</v>
      </c>
      <c r="G299" s="19">
        <f>VLOOKUP(C:C,Courts!B:D,3,FALSE)</f>
        <v>0</v>
      </c>
      <c r="H299" s="19">
        <f>VLOOKUP(C:C,Courts!B:F,5,FALSE)</f>
        <v>4</v>
      </c>
      <c r="I299" s="18" t="s">
        <v>239</v>
      </c>
      <c r="J299" s="19">
        <f>VLOOKUP(C:C,TooliD!B:Q,16,FALSE)</f>
        <v>6</v>
      </c>
      <c r="K299" s="18">
        <f>VLOOKUP(C:C,TooliD!B:P,15,FALSE)</f>
        <v>10</v>
      </c>
      <c r="L299" s="19">
        <f t="shared" si="57"/>
        <v>4</v>
      </c>
      <c r="M299" s="19" t="str">
        <f t="shared" si="53"/>
        <v>Surplus</v>
      </c>
      <c r="N299" s="18"/>
    </row>
    <row r="300" spans="1:14" x14ac:dyDescent="0.25">
      <c r="A300" s="19" t="s">
        <v>157</v>
      </c>
      <c r="B300" s="18" t="s">
        <v>77</v>
      </c>
      <c r="C300" s="18" t="s">
        <v>78</v>
      </c>
      <c r="D300" s="19" t="s">
        <v>238</v>
      </c>
      <c r="E300" s="19">
        <f>VLOOKUP(C:C,Courts!B:C,2,FALSE)</f>
        <v>3</v>
      </c>
      <c r="F300" s="19">
        <f>VLOOKUP(C:C,Courts!B:E,4,FALSE)</f>
        <v>1</v>
      </c>
      <c r="G300" s="19">
        <f>VLOOKUP(C:C,Courts!B:D,3,FALSE)</f>
        <v>0</v>
      </c>
      <c r="H300" s="19">
        <f>VLOOKUP(C:C,Courts!B:F,5,FALSE)</f>
        <v>4</v>
      </c>
      <c r="I300" s="18" t="s">
        <v>11</v>
      </c>
      <c r="J300" s="19">
        <f>VLOOKUP(C:C,TooliD!B:T,19,FALSE)</f>
        <v>28</v>
      </c>
      <c r="K300" s="18">
        <f>VLOOKUP(C:C,TooliD!B:S,18,FALSE)</f>
        <v>28</v>
      </c>
      <c r="L300" s="19">
        <f t="shared" si="57"/>
        <v>0</v>
      </c>
      <c r="M300" s="19" t="str">
        <f t="shared" si="53"/>
        <v>OK</v>
      </c>
      <c r="N300" s="18"/>
    </row>
    <row r="301" spans="1:14" x14ac:dyDescent="0.25">
      <c r="A301" s="19" t="s">
        <v>157</v>
      </c>
      <c r="B301" s="18" t="s">
        <v>77</v>
      </c>
      <c r="C301" s="18" t="s">
        <v>78</v>
      </c>
      <c r="D301" s="19" t="s">
        <v>238</v>
      </c>
      <c r="E301" s="19">
        <f>VLOOKUP(C:C,Courts!B:C,2,FALSE)</f>
        <v>3</v>
      </c>
      <c r="F301" s="19">
        <f>VLOOKUP(C:C,Courts!B:E,4,FALSE)</f>
        <v>1</v>
      </c>
      <c r="G301" s="19">
        <f>VLOOKUP(C:C,Courts!B:D,3,FALSE)</f>
        <v>0</v>
      </c>
      <c r="H301" s="19">
        <f>VLOOKUP(C:C,Courts!B:F,5,FALSE)</f>
        <v>4</v>
      </c>
      <c r="I301" s="18" t="s">
        <v>212</v>
      </c>
      <c r="J301" s="19">
        <f>VLOOKUP(C:C,TooliD!B:W,22,FALSE)</f>
        <v>4</v>
      </c>
      <c r="K301" s="18">
        <f>VLOOKUP(C:C,TooliD!B:V,21,FALSE)</f>
        <v>5</v>
      </c>
      <c r="L301" s="19">
        <f t="shared" si="57"/>
        <v>1</v>
      </c>
      <c r="M301" s="19" t="str">
        <f t="shared" si="53"/>
        <v>Surplus</v>
      </c>
      <c r="N301" s="18"/>
    </row>
    <row r="302" spans="1:14" x14ac:dyDescent="0.25">
      <c r="A302" s="19" t="s">
        <v>157</v>
      </c>
      <c r="B302" s="18" t="s">
        <v>77</v>
      </c>
      <c r="C302" s="18" t="s">
        <v>79</v>
      </c>
      <c r="D302" s="19" t="s">
        <v>238</v>
      </c>
      <c r="E302" s="19">
        <f>VLOOKUP(C:C,Courts!B:C,2,FALSE)</f>
        <v>2</v>
      </c>
      <c r="F302" s="19">
        <f>VLOOKUP(C:C,Courts!B:E,4,FALSE)</f>
        <v>1</v>
      </c>
      <c r="G302" s="19">
        <f>VLOOKUP(C:C,Courts!B:D,3,FALSE)</f>
        <v>0</v>
      </c>
      <c r="H302" s="19">
        <f>VLOOKUP(C:C,Courts!B:F,5,FALSE)</f>
        <v>3</v>
      </c>
      <c r="I302" s="18" t="s">
        <v>7</v>
      </c>
      <c r="J302" s="19">
        <f>VLOOKUP(C:C,TooliD!B:H,7,FALSE)</f>
        <v>3</v>
      </c>
      <c r="K302" s="19">
        <f>VLOOKUP(C:C,TooliD!B:G,6,FALSE)</f>
        <v>2</v>
      </c>
      <c r="L302" s="19">
        <f>K302-J302</f>
        <v>-1</v>
      </c>
      <c r="M302" s="19" t="str">
        <f>IF(L302=0,"OK", IF(L302&gt;0,"Surplus","Shortfall"))</f>
        <v>Shortfall</v>
      </c>
      <c r="N302" s="18"/>
    </row>
    <row r="303" spans="1:14" x14ac:dyDescent="0.25">
      <c r="A303" s="19" t="s">
        <v>157</v>
      </c>
      <c r="B303" s="18" t="s">
        <v>77</v>
      </c>
      <c r="C303" s="18" t="s">
        <v>79</v>
      </c>
      <c r="D303" s="19" t="s">
        <v>238</v>
      </c>
      <c r="E303" s="19">
        <f>VLOOKUP(C:C,Courts!B:C,2,FALSE)</f>
        <v>2</v>
      </c>
      <c r="F303" s="19">
        <f>VLOOKUP(C:C,Courts!B:E,4,FALSE)</f>
        <v>1</v>
      </c>
      <c r="G303" s="19">
        <f>VLOOKUP(C:C,Courts!B:D,3,FALSE)</f>
        <v>0</v>
      </c>
      <c r="H303" s="19">
        <f>VLOOKUP(C:C,Courts!B:F,5,FALSE)</f>
        <v>3</v>
      </c>
      <c r="I303" s="18" t="s">
        <v>241</v>
      </c>
      <c r="J303" s="19">
        <f>VLOOKUP(C:C,TooliD!B:K,7,FALSE)</f>
        <v>3</v>
      </c>
      <c r="K303" s="19">
        <f>VLOOKUP(C:C,TooliD!B:J,9,FALSE)</f>
        <v>2</v>
      </c>
      <c r="L303" s="19">
        <f t="shared" ref="L303:L307" si="58">K303-J303</f>
        <v>-1</v>
      </c>
      <c r="M303" s="19" t="str">
        <f t="shared" si="53"/>
        <v>Shortfall</v>
      </c>
      <c r="N303" s="18"/>
    </row>
    <row r="304" spans="1:14" x14ac:dyDescent="0.25">
      <c r="A304" s="19" t="s">
        <v>157</v>
      </c>
      <c r="B304" s="18" t="s">
        <v>77</v>
      </c>
      <c r="C304" s="18" t="s">
        <v>79</v>
      </c>
      <c r="D304" s="19" t="s">
        <v>238</v>
      </c>
      <c r="E304" s="19">
        <f>VLOOKUP(C:C,Courts!B:C,2,FALSE)</f>
        <v>2</v>
      </c>
      <c r="F304" s="19">
        <f>VLOOKUP(C:C,Courts!B:E,4,FALSE)</f>
        <v>1</v>
      </c>
      <c r="G304" s="19">
        <f>VLOOKUP(C:C,Courts!B:D,3,FALSE)</f>
        <v>0</v>
      </c>
      <c r="H304" s="19">
        <f>VLOOKUP(C:C,Courts!B:F,5,FALSE)</f>
        <v>3</v>
      </c>
      <c r="I304" s="18" t="s">
        <v>9</v>
      </c>
      <c r="J304" s="19">
        <f>VLOOKUP(C:C,TooliD!B:N,13,FALSE)</f>
        <v>3</v>
      </c>
      <c r="K304" s="18">
        <f>VLOOKUP(C:C,TooliD!B:M,12,FALSE)</f>
        <v>3</v>
      </c>
      <c r="L304" s="19">
        <f t="shared" si="58"/>
        <v>0</v>
      </c>
      <c r="M304" s="19" t="str">
        <f t="shared" si="53"/>
        <v>OK</v>
      </c>
      <c r="N304" s="18"/>
    </row>
    <row r="305" spans="1:14" x14ac:dyDescent="0.25">
      <c r="A305" s="19" t="s">
        <v>157</v>
      </c>
      <c r="B305" s="18" t="s">
        <v>77</v>
      </c>
      <c r="C305" s="18" t="s">
        <v>79</v>
      </c>
      <c r="D305" s="19" t="s">
        <v>238</v>
      </c>
      <c r="E305" s="19">
        <f>VLOOKUP(C:C,Courts!B:C,2,FALSE)</f>
        <v>2</v>
      </c>
      <c r="F305" s="19">
        <f>VLOOKUP(C:C,Courts!B:E,4,FALSE)</f>
        <v>1</v>
      </c>
      <c r="G305" s="19">
        <f>VLOOKUP(C:C,Courts!B:D,3,FALSE)</f>
        <v>0</v>
      </c>
      <c r="H305" s="19">
        <f>VLOOKUP(C:C,Courts!B:F,5,FALSE)</f>
        <v>3</v>
      </c>
      <c r="I305" s="18" t="s">
        <v>239</v>
      </c>
      <c r="J305" s="19">
        <f>VLOOKUP(C:C,TooliD!B:Q,16,FALSE)</f>
        <v>4</v>
      </c>
      <c r="K305" s="18">
        <f>VLOOKUP(C:C,TooliD!B:P,15,FALSE)</f>
        <v>2</v>
      </c>
      <c r="L305" s="19">
        <f t="shared" si="58"/>
        <v>-2</v>
      </c>
      <c r="M305" s="19" t="str">
        <f t="shared" si="53"/>
        <v>Shortfall</v>
      </c>
      <c r="N305" s="18"/>
    </row>
    <row r="306" spans="1:14" x14ac:dyDescent="0.25">
      <c r="A306" s="19" t="s">
        <v>157</v>
      </c>
      <c r="B306" s="18" t="s">
        <v>77</v>
      </c>
      <c r="C306" s="18" t="s">
        <v>79</v>
      </c>
      <c r="D306" s="19" t="s">
        <v>238</v>
      </c>
      <c r="E306" s="19">
        <f>VLOOKUP(C:C,Courts!B:C,2,FALSE)</f>
        <v>2</v>
      </c>
      <c r="F306" s="19">
        <f>VLOOKUP(C:C,Courts!B:E,4,FALSE)</f>
        <v>1</v>
      </c>
      <c r="G306" s="19">
        <f>VLOOKUP(C:C,Courts!B:D,3,FALSE)</f>
        <v>0</v>
      </c>
      <c r="H306" s="19">
        <f>VLOOKUP(C:C,Courts!B:F,5,FALSE)</f>
        <v>3</v>
      </c>
      <c r="I306" s="18" t="s">
        <v>11</v>
      </c>
      <c r="J306" s="19">
        <f>VLOOKUP(C:C,TooliD!B:T,19,FALSE)</f>
        <v>20</v>
      </c>
      <c r="K306" s="18">
        <f>VLOOKUP(C:C,TooliD!B:S,18,FALSE)</f>
        <v>20</v>
      </c>
      <c r="L306" s="19">
        <f t="shared" si="58"/>
        <v>0</v>
      </c>
      <c r="M306" s="19" t="str">
        <f t="shared" si="53"/>
        <v>OK</v>
      </c>
      <c r="N306" s="18"/>
    </row>
    <row r="307" spans="1:14" x14ac:dyDescent="0.25">
      <c r="A307" s="19" t="s">
        <v>157</v>
      </c>
      <c r="B307" s="18" t="s">
        <v>77</v>
      </c>
      <c r="C307" s="18" t="s">
        <v>79</v>
      </c>
      <c r="D307" s="19" t="s">
        <v>238</v>
      </c>
      <c r="E307" s="19">
        <f>VLOOKUP(C:C,Courts!B:C,2,FALSE)</f>
        <v>2</v>
      </c>
      <c r="F307" s="19">
        <f>VLOOKUP(C:C,Courts!B:E,4,FALSE)</f>
        <v>1</v>
      </c>
      <c r="G307" s="19">
        <f>VLOOKUP(C:C,Courts!B:D,3,FALSE)</f>
        <v>0</v>
      </c>
      <c r="H307" s="19">
        <f>VLOOKUP(C:C,Courts!B:F,5,FALSE)</f>
        <v>3</v>
      </c>
      <c r="I307" s="18" t="s">
        <v>212</v>
      </c>
      <c r="J307" s="19">
        <f>VLOOKUP(C:C,TooliD!B:W,22,FALSE)</f>
        <v>3</v>
      </c>
      <c r="K307" s="18">
        <f>VLOOKUP(C:C,TooliD!B:V,21,FALSE)</f>
        <v>2</v>
      </c>
      <c r="L307" s="19">
        <f t="shared" si="58"/>
        <v>-1</v>
      </c>
      <c r="M307" s="19" t="str">
        <f t="shared" si="53"/>
        <v>Shortfall</v>
      </c>
      <c r="N307" s="18"/>
    </row>
    <row r="308" spans="1:14" x14ac:dyDescent="0.25">
      <c r="A308" s="19" t="s">
        <v>157</v>
      </c>
      <c r="B308" s="18" t="s">
        <v>77</v>
      </c>
      <c r="C308" s="18" t="s">
        <v>80</v>
      </c>
      <c r="D308" s="18" t="s">
        <v>242</v>
      </c>
      <c r="E308" s="19">
        <f>VLOOKUP(C:C,Courts!B:C,2,FALSE)</f>
        <v>0</v>
      </c>
      <c r="F308" s="19">
        <f>VLOOKUP(C:C,Courts!B:E,4,FALSE)</f>
        <v>1</v>
      </c>
      <c r="G308" s="19">
        <f>VLOOKUP(C:C,Courts!B:D,3,FALSE)</f>
        <v>0</v>
      </c>
      <c r="H308" s="19">
        <f>VLOOKUP(C:C,Courts!B:F,5,FALSE)</f>
        <v>1</v>
      </c>
      <c r="I308" s="18" t="s">
        <v>7</v>
      </c>
      <c r="J308" s="19">
        <f>VLOOKUP(C:C,TooliD!B:H,7,FALSE)</f>
        <v>1</v>
      </c>
      <c r="K308" s="19">
        <f>VLOOKUP(C:C,TooliD!B:G,6,FALSE)</f>
        <v>1</v>
      </c>
      <c r="L308" s="19">
        <f>K308-J308</f>
        <v>0</v>
      </c>
      <c r="M308" s="19" t="str">
        <f>IF(L308=0,"OK", IF(L308&gt;0,"Surplus","Shortfall"))</f>
        <v>OK</v>
      </c>
      <c r="N308" s="18"/>
    </row>
    <row r="309" spans="1:14" x14ac:dyDescent="0.25">
      <c r="A309" s="19" t="s">
        <v>157</v>
      </c>
      <c r="B309" s="18" t="s">
        <v>77</v>
      </c>
      <c r="C309" s="18" t="s">
        <v>80</v>
      </c>
      <c r="D309" s="18" t="s">
        <v>242</v>
      </c>
      <c r="E309" s="19">
        <f>VLOOKUP(C:C,Courts!B:C,2,FALSE)</f>
        <v>0</v>
      </c>
      <c r="F309" s="19">
        <f>VLOOKUP(C:C,Courts!B:E,4,FALSE)</f>
        <v>1</v>
      </c>
      <c r="G309" s="19">
        <f>VLOOKUP(C:C,Courts!B:D,3,FALSE)</f>
        <v>0</v>
      </c>
      <c r="H309" s="19">
        <f>VLOOKUP(C:C,Courts!B:F,5,FALSE)</f>
        <v>1</v>
      </c>
      <c r="I309" s="18" t="s">
        <v>241</v>
      </c>
      <c r="J309" s="19">
        <f>VLOOKUP(C:C,TooliD!B:K,7,FALSE)</f>
        <v>1</v>
      </c>
      <c r="K309" s="19">
        <f>VLOOKUP(C:C,TooliD!B:J,9,FALSE)</f>
        <v>1</v>
      </c>
      <c r="L309" s="19">
        <f t="shared" ref="L309:L313" si="59">K309-J309</f>
        <v>0</v>
      </c>
      <c r="M309" s="19" t="str">
        <f t="shared" si="53"/>
        <v>OK</v>
      </c>
      <c r="N309" s="18"/>
    </row>
    <row r="310" spans="1:14" x14ac:dyDescent="0.25">
      <c r="A310" s="19" t="s">
        <v>157</v>
      </c>
      <c r="B310" s="18" t="s">
        <v>77</v>
      </c>
      <c r="C310" s="18" t="s">
        <v>80</v>
      </c>
      <c r="D310" s="18" t="s">
        <v>242</v>
      </c>
      <c r="E310" s="19">
        <f>VLOOKUP(C:C,Courts!B:C,2,FALSE)</f>
        <v>0</v>
      </c>
      <c r="F310" s="19">
        <f>VLOOKUP(C:C,Courts!B:E,4,FALSE)</f>
        <v>1</v>
      </c>
      <c r="G310" s="19">
        <f>VLOOKUP(C:C,Courts!B:D,3,FALSE)</f>
        <v>0</v>
      </c>
      <c r="H310" s="19">
        <f>VLOOKUP(C:C,Courts!B:F,5,FALSE)</f>
        <v>1</v>
      </c>
      <c r="I310" s="18" t="s">
        <v>9</v>
      </c>
      <c r="J310" s="19">
        <f>VLOOKUP(C:C,TooliD!B:N,13,FALSE)</f>
        <v>1</v>
      </c>
      <c r="K310" s="18">
        <f>VLOOKUP(C:C,TooliD!B:M,12,FALSE)</f>
        <v>1</v>
      </c>
      <c r="L310" s="19">
        <f t="shared" si="59"/>
        <v>0</v>
      </c>
      <c r="M310" s="19" t="str">
        <f t="shared" si="53"/>
        <v>OK</v>
      </c>
      <c r="N310" s="18"/>
    </row>
    <row r="311" spans="1:14" x14ac:dyDescent="0.25">
      <c r="A311" s="19" t="s">
        <v>157</v>
      </c>
      <c r="B311" s="18" t="s">
        <v>77</v>
      </c>
      <c r="C311" s="18" t="s">
        <v>80</v>
      </c>
      <c r="D311" s="18" t="s">
        <v>242</v>
      </c>
      <c r="E311" s="19">
        <f>VLOOKUP(C:C,Courts!B:C,2,FALSE)</f>
        <v>0</v>
      </c>
      <c r="F311" s="19">
        <f>VLOOKUP(C:C,Courts!B:E,4,FALSE)</f>
        <v>1</v>
      </c>
      <c r="G311" s="19">
        <f>VLOOKUP(C:C,Courts!B:D,3,FALSE)</f>
        <v>0</v>
      </c>
      <c r="H311" s="19">
        <f>VLOOKUP(C:C,Courts!B:F,5,FALSE)</f>
        <v>1</v>
      </c>
      <c r="I311" s="18" t="s">
        <v>239</v>
      </c>
      <c r="J311" s="19">
        <f>VLOOKUP(C:C,TooliD!B:Q,16,FALSE)</f>
        <v>0</v>
      </c>
      <c r="K311" s="18">
        <f>VLOOKUP(C:C,TooliD!B:P,15,FALSE)</f>
        <v>2</v>
      </c>
      <c r="L311" s="19">
        <f t="shared" si="59"/>
        <v>2</v>
      </c>
      <c r="M311" s="19" t="str">
        <f t="shared" si="53"/>
        <v>Surplus</v>
      </c>
      <c r="N311" s="18"/>
    </row>
    <row r="312" spans="1:14" x14ac:dyDescent="0.25">
      <c r="A312" s="19" t="s">
        <v>157</v>
      </c>
      <c r="B312" s="18" t="s">
        <v>77</v>
      </c>
      <c r="C312" s="18" t="s">
        <v>80</v>
      </c>
      <c r="D312" s="18" t="s">
        <v>242</v>
      </c>
      <c r="E312" s="19">
        <f>VLOOKUP(C:C,Courts!B:C,2,FALSE)</f>
        <v>0</v>
      </c>
      <c r="F312" s="19">
        <f>VLOOKUP(C:C,Courts!B:E,4,FALSE)</f>
        <v>1</v>
      </c>
      <c r="G312" s="19">
        <f>VLOOKUP(C:C,Courts!B:D,3,FALSE)</f>
        <v>0</v>
      </c>
      <c r="H312" s="19">
        <f>VLOOKUP(C:C,Courts!B:F,5,FALSE)</f>
        <v>1</v>
      </c>
      <c r="I312" s="18" t="s">
        <v>11</v>
      </c>
      <c r="J312" s="19">
        <f>VLOOKUP(C:C,TooliD!B:T,19,FALSE)</f>
        <v>4</v>
      </c>
      <c r="K312" s="18">
        <f>VLOOKUP(C:C,TooliD!B:S,18,FALSE)</f>
        <v>5</v>
      </c>
      <c r="L312" s="19">
        <f t="shared" si="59"/>
        <v>1</v>
      </c>
      <c r="M312" s="19" t="str">
        <f t="shared" si="53"/>
        <v>Surplus</v>
      </c>
      <c r="N312" s="18"/>
    </row>
    <row r="313" spans="1:14" x14ac:dyDescent="0.25">
      <c r="A313" s="19" t="s">
        <v>157</v>
      </c>
      <c r="B313" s="18" t="s">
        <v>77</v>
      </c>
      <c r="C313" s="18" t="s">
        <v>80</v>
      </c>
      <c r="D313" s="18" t="s">
        <v>242</v>
      </c>
      <c r="E313" s="19">
        <f>VLOOKUP(C:C,Courts!B:C,2,FALSE)</f>
        <v>0</v>
      </c>
      <c r="F313" s="19">
        <f>VLOOKUP(C:C,Courts!B:E,4,FALSE)</f>
        <v>1</v>
      </c>
      <c r="G313" s="19">
        <f>VLOOKUP(C:C,Courts!B:D,3,FALSE)</f>
        <v>0</v>
      </c>
      <c r="H313" s="19">
        <f>VLOOKUP(C:C,Courts!B:F,5,FALSE)</f>
        <v>1</v>
      </c>
      <c r="I313" s="18" t="s">
        <v>212</v>
      </c>
      <c r="J313" s="19">
        <f>VLOOKUP(C:C,TooliD!B:W,22,FALSE)</f>
        <v>1</v>
      </c>
      <c r="K313" s="18">
        <f>VLOOKUP(C:C,TooliD!B:V,21,FALSE)</f>
        <v>2</v>
      </c>
      <c r="L313" s="19">
        <f t="shared" si="59"/>
        <v>1</v>
      </c>
      <c r="M313" s="19" t="str">
        <f t="shared" si="53"/>
        <v>Surplus</v>
      </c>
      <c r="N313" s="18"/>
    </row>
    <row r="314" spans="1:14" x14ac:dyDescent="0.25">
      <c r="A314" s="19" t="s">
        <v>157</v>
      </c>
      <c r="B314" s="18" t="s">
        <v>81</v>
      </c>
      <c r="C314" s="18" t="s">
        <v>81</v>
      </c>
      <c r="D314" s="18" t="s">
        <v>237</v>
      </c>
      <c r="E314" s="19">
        <f>VLOOKUP(C:C,Courts!B:C,2,FALSE)</f>
        <v>22</v>
      </c>
      <c r="F314" s="19">
        <f>VLOOKUP(C:C,Courts!B:E,4,FALSE)</f>
        <v>0</v>
      </c>
      <c r="G314" s="19">
        <f>VLOOKUP(C:C,Courts!B:D,3,FALSE)</f>
        <v>0</v>
      </c>
      <c r="H314" s="19">
        <f>VLOOKUP(C:C,Courts!B:F,5,FALSE)</f>
        <v>22</v>
      </c>
      <c r="I314" s="18" t="s">
        <v>7</v>
      </c>
      <c r="J314" s="19">
        <f>VLOOKUP(C:C,TooliD!B:H,7,FALSE)</f>
        <v>22</v>
      </c>
      <c r="K314" s="19">
        <f>VLOOKUP(C:C,TooliD!B:G,6,FALSE)</f>
        <v>25</v>
      </c>
      <c r="L314" s="19">
        <f>K314-J314</f>
        <v>3</v>
      </c>
      <c r="M314" s="19" t="str">
        <f>IF(L314=0,"OK", IF(L314&gt;0,"Surplus","Shortfall"))</f>
        <v>Surplus</v>
      </c>
      <c r="N314" s="18"/>
    </row>
    <row r="315" spans="1:14" x14ac:dyDescent="0.25">
      <c r="A315" s="19" t="s">
        <v>157</v>
      </c>
      <c r="B315" s="18" t="s">
        <v>81</v>
      </c>
      <c r="C315" s="18" t="s">
        <v>81</v>
      </c>
      <c r="D315" s="18" t="s">
        <v>237</v>
      </c>
      <c r="E315" s="19">
        <f>VLOOKUP(C:C,Courts!B:C,2,FALSE)</f>
        <v>22</v>
      </c>
      <c r="F315" s="19">
        <f>VLOOKUP(C:C,Courts!B:E,4,FALSE)</f>
        <v>0</v>
      </c>
      <c r="G315" s="19">
        <f>VLOOKUP(C:C,Courts!B:D,3,FALSE)</f>
        <v>0</v>
      </c>
      <c r="H315" s="19">
        <f>VLOOKUP(C:C,Courts!B:F,5,FALSE)</f>
        <v>22</v>
      </c>
      <c r="I315" s="18" t="s">
        <v>241</v>
      </c>
      <c r="J315" s="19">
        <f>VLOOKUP(C:C,TooliD!B:K,7,FALSE)</f>
        <v>22</v>
      </c>
      <c r="K315" s="19">
        <f>VLOOKUP(C:C,TooliD!B:J,9,FALSE)</f>
        <v>19</v>
      </c>
      <c r="L315" s="19">
        <f t="shared" ref="L315:L319" si="60">K315-J315</f>
        <v>-3</v>
      </c>
      <c r="M315" s="19" t="str">
        <f t="shared" si="53"/>
        <v>Shortfall</v>
      </c>
      <c r="N315" s="18"/>
    </row>
    <row r="316" spans="1:14" x14ac:dyDescent="0.25">
      <c r="A316" s="19" t="s">
        <v>157</v>
      </c>
      <c r="B316" s="18" t="s">
        <v>81</v>
      </c>
      <c r="C316" s="18" t="s">
        <v>81</v>
      </c>
      <c r="D316" s="18" t="s">
        <v>237</v>
      </c>
      <c r="E316" s="19">
        <f>VLOOKUP(C:C,Courts!B:C,2,FALSE)</f>
        <v>22</v>
      </c>
      <c r="F316" s="19">
        <f>VLOOKUP(C:C,Courts!B:E,4,FALSE)</f>
        <v>0</v>
      </c>
      <c r="G316" s="19">
        <f>VLOOKUP(C:C,Courts!B:D,3,FALSE)</f>
        <v>0</v>
      </c>
      <c r="H316" s="19">
        <f>VLOOKUP(C:C,Courts!B:F,5,FALSE)</f>
        <v>22</v>
      </c>
      <c r="I316" s="18" t="s">
        <v>9</v>
      </c>
      <c r="J316" s="19">
        <f>VLOOKUP(C:C,TooliD!B:N,13,FALSE)</f>
        <v>22</v>
      </c>
      <c r="K316" s="18">
        <f>VLOOKUP(C:C,TooliD!B:M,12,FALSE)</f>
        <v>22</v>
      </c>
      <c r="L316" s="19">
        <f t="shared" si="60"/>
        <v>0</v>
      </c>
      <c r="M316" s="19" t="str">
        <f t="shared" si="53"/>
        <v>OK</v>
      </c>
      <c r="N316" s="18"/>
    </row>
    <row r="317" spans="1:14" x14ac:dyDescent="0.25">
      <c r="A317" s="19" t="s">
        <v>157</v>
      </c>
      <c r="B317" s="18" t="s">
        <v>81</v>
      </c>
      <c r="C317" s="18" t="s">
        <v>81</v>
      </c>
      <c r="D317" s="18" t="s">
        <v>237</v>
      </c>
      <c r="E317" s="19">
        <f>VLOOKUP(C:C,Courts!B:C,2,FALSE)</f>
        <v>22</v>
      </c>
      <c r="F317" s="19">
        <f>VLOOKUP(C:C,Courts!B:E,4,FALSE)</f>
        <v>0</v>
      </c>
      <c r="G317" s="19">
        <f>VLOOKUP(C:C,Courts!B:D,3,FALSE)</f>
        <v>0</v>
      </c>
      <c r="H317" s="19">
        <f>VLOOKUP(C:C,Courts!B:F,5,FALSE)</f>
        <v>22</v>
      </c>
      <c r="I317" s="18" t="s">
        <v>239</v>
      </c>
      <c r="J317" s="19">
        <f>VLOOKUP(C:C,TooliD!B:Q,16,FALSE)</f>
        <v>44</v>
      </c>
      <c r="K317" s="18">
        <f>VLOOKUP(C:C,TooliD!B:P,15,FALSE)</f>
        <v>42</v>
      </c>
      <c r="L317" s="19">
        <f t="shared" si="60"/>
        <v>-2</v>
      </c>
      <c r="M317" s="19" t="str">
        <f t="shared" si="53"/>
        <v>Shortfall</v>
      </c>
      <c r="N317" s="18"/>
    </row>
    <row r="318" spans="1:14" x14ac:dyDescent="0.25">
      <c r="A318" s="19" t="s">
        <v>157</v>
      </c>
      <c r="B318" s="18" t="s">
        <v>81</v>
      </c>
      <c r="C318" s="18" t="s">
        <v>81</v>
      </c>
      <c r="D318" s="18" t="s">
        <v>237</v>
      </c>
      <c r="E318" s="19">
        <f>VLOOKUP(C:C,Courts!B:C,2,FALSE)</f>
        <v>22</v>
      </c>
      <c r="F318" s="19">
        <f>VLOOKUP(C:C,Courts!B:E,4,FALSE)</f>
        <v>0</v>
      </c>
      <c r="G318" s="19">
        <f>VLOOKUP(C:C,Courts!B:D,3,FALSE)</f>
        <v>0</v>
      </c>
      <c r="H318" s="19">
        <f>VLOOKUP(C:C,Courts!B:F,5,FALSE)</f>
        <v>22</v>
      </c>
      <c r="I318" s="18" t="s">
        <v>11</v>
      </c>
      <c r="J318" s="19">
        <f>VLOOKUP(C:C,TooliD!B:T,19,FALSE)</f>
        <v>176</v>
      </c>
      <c r="K318" s="18">
        <f>VLOOKUP(C:C,TooliD!B:S,18,FALSE)</f>
        <v>136</v>
      </c>
      <c r="L318" s="19">
        <f t="shared" si="60"/>
        <v>-40</v>
      </c>
      <c r="M318" s="19" t="str">
        <f t="shared" si="53"/>
        <v>Shortfall</v>
      </c>
      <c r="N318" s="18"/>
    </row>
    <row r="319" spans="1:14" x14ac:dyDescent="0.25">
      <c r="A319" s="19" t="s">
        <v>157</v>
      </c>
      <c r="B319" s="18" t="s">
        <v>81</v>
      </c>
      <c r="C319" s="18" t="s">
        <v>81</v>
      </c>
      <c r="D319" s="18" t="s">
        <v>237</v>
      </c>
      <c r="E319" s="19">
        <f>VLOOKUP(C:C,Courts!B:C,2,FALSE)</f>
        <v>22</v>
      </c>
      <c r="F319" s="19">
        <f>VLOOKUP(C:C,Courts!B:E,4,FALSE)</f>
        <v>0</v>
      </c>
      <c r="G319" s="19">
        <f>VLOOKUP(C:C,Courts!B:D,3,FALSE)</f>
        <v>0</v>
      </c>
      <c r="H319" s="19">
        <f>VLOOKUP(C:C,Courts!B:F,5,FALSE)</f>
        <v>22</v>
      </c>
      <c r="I319" s="18" t="s">
        <v>212</v>
      </c>
      <c r="J319" s="19">
        <f>VLOOKUP(C:C,TooliD!B:W,22,FALSE)</f>
        <v>22</v>
      </c>
      <c r="K319" s="18">
        <f>VLOOKUP(C:C,TooliD!B:V,21,FALSE)</f>
        <v>20</v>
      </c>
      <c r="L319" s="19">
        <f t="shared" si="60"/>
        <v>-2</v>
      </c>
      <c r="M319" s="19" t="str">
        <f t="shared" si="53"/>
        <v>Shortfall</v>
      </c>
      <c r="N319" s="18"/>
    </row>
    <row r="320" spans="1:14" x14ac:dyDescent="0.25">
      <c r="A320" s="19" t="s">
        <v>157</v>
      </c>
      <c r="B320" s="18" t="s">
        <v>81</v>
      </c>
      <c r="C320" s="18" t="s">
        <v>82</v>
      </c>
      <c r="D320" s="18" t="s">
        <v>238</v>
      </c>
      <c r="E320" s="19">
        <f>VLOOKUP(C:C,Courts!B:C,2,FALSE)</f>
        <v>9</v>
      </c>
      <c r="F320" s="19">
        <f>VLOOKUP(C:C,Courts!B:E,4,FALSE)</f>
        <v>1</v>
      </c>
      <c r="G320" s="19">
        <f>VLOOKUP(C:C,Courts!B:D,3,FALSE)</f>
        <v>0</v>
      </c>
      <c r="H320" s="19">
        <f>VLOOKUP(C:C,Courts!B:F,5,FALSE)</f>
        <v>10</v>
      </c>
      <c r="I320" s="18" t="s">
        <v>7</v>
      </c>
      <c r="J320" s="19">
        <f>VLOOKUP(C:C,TooliD!B:H,7,FALSE)</f>
        <v>10</v>
      </c>
      <c r="K320" s="19">
        <f>VLOOKUP(C:C,TooliD!B:G,6,FALSE)</f>
        <v>10</v>
      </c>
      <c r="L320" s="19">
        <f>K320-J320</f>
        <v>0</v>
      </c>
      <c r="M320" s="19" t="str">
        <f>IF(L320=0,"OK", IF(L320&gt;0,"Surplus","Shortfall"))</f>
        <v>OK</v>
      </c>
      <c r="N320" s="18"/>
    </row>
    <row r="321" spans="1:14" x14ac:dyDescent="0.25">
      <c r="A321" s="19" t="s">
        <v>157</v>
      </c>
      <c r="B321" s="18" t="s">
        <v>81</v>
      </c>
      <c r="C321" s="18" t="s">
        <v>82</v>
      </c>
      <c r="D321" s="18" t="s">
        <v>238</v>
      </c>
      <c r="E321" s="19">
        <f>VLOOKUP(C:C,Courts!B:C,2,FALSE)</f>
        <v>9</v>
      </c>
      <c r="F321" s="19">
        <f>VLOOKUP(C:C,Courts!B:E,4,FALSE)</f>
        <v>1</v>
      </c>
      <c r="G321" s="19">
        <f>VLOOKUP(C:C,Courts!B:D,3,FALSE)</f>
        <v>0</v>
      </c>
      <c r="H321" s="19">
        <f>VLOOKUP(C:C,Courts!B:F,5,FALSE)</f>
        <v>10</v>
      </c>
      <c r="I321" s="18" t="s">
        <v>241</v>
      </c>
      <c r="J321" s="19">
        <f>VLOOKUP(C:C,TooliD!B:K,7,FALSE)</f>
        <v>10</v>
      </c>
      <c r="K321" s="19">
        <f>VLOOKUP(C:C,TooliD!B:J,9,FALSE)</f>
        <v>3</v>
      </c>
      <c r="L321" s="19">
        <f t="shared" ref="L321:L325" si="61">K321-J321</f>
        <v>-7</v>
      </c>
      <c r="M321" s="19" t="str">
        <f t="shared" si="53"/>
        <v>Shortfall</v>
      </c>
      <c r="N321" s="18"/>
    </row>
    <row r="322" spans="1:14" x14ac:dyDescent="0.25">
      <c r="A322" s="19" t="s">
        <v>157</v>
      </c>
      <c r="B322" s="18" t="s">
        <v>81</v>
      </c>
      <c r="C322" s="18" t="s">
        <v>82</v>
      </c>
      <c r="D322" s="18" t="s">
        <v>238</v>
      </c>
      <c r="E322" s="19">
        <f>VLOOKUP(C:C,Courts!B:C,2,FALSE)</f>
        <v>9</v>
      </c>
      <c r="F322" s="19">
        <f>VLOOKUP(C:C,Courts!B:E,4,FALSE)</f>
        <v>1</v>
      </c>
      <c r="G322" s="19">
        <f>VLOOKUP(C:C,Courts!B:D,3,FALSE)</f>
        <v>0</v>
      </c>
      <c r="H322" s="19">
        <f>VLOOKUP(C:C,Courts!B:F,5,FALSE)</f>
        <v>10</v>
      </c>
      <c r="I322" s="18" t="s">
        <v>9</v>
      </c>
      <c r="J322" s="19">
        <f>VLOOKUP(C:C,TooliD!B:N,13,FALSE)</f>
        <v>10</v>
      </c>
      <c r="K322" s="18">
        <f>VLOOKUP(C:C,TooliD!B:M,12,FALSE)</f>
        <v>10</v>
      </c>
      <c r="L322" s="19">
        <f t="shared" si="61"/>
        <v>0</v>
      </c>
      <c r="M322" s="19" t="str">
        <f t="shared" si="53"/>
        <v>OK</v>
      </c>
      <c r="N322" s="18"/>
    </row>
    <row r="323" spans="1:14" x14ac:dyDescent="0.25">
      <c r="A323" s="19" t="s">
        <v>157</v>
      </c>
      <c r="B323" s="18" t="s">
        <v>81</v>
      </c>
      <c r="C323" s="18" t="s">
        <v>82</v>
      </c>
      <c r="D323" s="18" t="s">
        <v>238</v>
      </c>
      <c r="E323" s="19">
        <f>VLOOKUP(C:C,Courts!B:C,2,FALSE)</f>
        <v>9</v>
      </c>
      <c r="F323" s="19">
        <f>VLOOKUP(C:C,Courts!B:E,4,FALSE)</f>
        <v>1</v>
      </c>
      <c r="G323" s="19">
        <f>VLOOKUP(C:C,Courts!B:D,3,FALSE)</f>
        <v>0</v>
      </c>
      <c r="H323" s="19">
        <f>VLOOKUP(C:C,Courts!B:F,5,FALSE)</f>
        <v>10</v>
      </c>
      <c r="I323" s="18" t="s">
        <v>239</v>
      </c>
      <c r="J323" s="19">
        <f>VLOOKUP(C:C,TooliD!B:Q,16,FALSE)</f>
        <v>18</v>
      </c>
      <c r="K323" s="18">
        <f>VLOOKUP(C:C,TooliD!B:P,15,FALSE)</f>
        <v>18</v>
      </c>
      <c r="L323" s="19">
        <f t="shared" si="61"/>
        <v>0</v>
      </c>
      <c r="M323" s="19" t="str">
        <f t="shared" si="53"/>
        <v>OK</v>
      </c>
      <c r="N323" s="18"/>
    </row>
    <row r="324" spans="1:14" x14ac:dyDescent="0.25">
      <c r="A324" s="19" t="s">
        <v>157</v>
      </c>
      <c r="B324" s="18" t="s">
        <v>81</v>
      </c>
      <c r="C324" s="18" t="s">
        <v>82</v>
      </c>
      <c r="D324" s="18" t="s">
        <v>238</v>
      </c>
      <c r="E324" s="19">
        <f>VLOOKUP(C:C,Courts!B:C,2,FALSE)</f>
        <v>9</v>
      </c>
      <c r="F324" s="19">
        <f>VLOOKUP(C:C,Courts!B:E,4,FALSE)</f>
        <v>1</v>
      </c>
      <c r="G324" s="19">
        <f>VLOOKUP(C:C,Courts!B:D,3,FALSE)</f>
        <v>0</v>
      </c>
      <c r="H324" s="19">
        <f>VLOOKUP(C:C,Courts!B:F,5,FALSE)</f>
        <v>10</v>
      </c>
      <c r="I324" s="18" t="s">
        <v>11</v>
      </c>
      <c r="J324" s="19">
        <f>VLOOKUP(C:C,TooliD!B:T,19,FALSE)</f>
        <v>76</v>
      </c>
      <c r="K324" s="18">
        <f>VLOOKUP(C:C,TooliD!B:S,18,FALSE)</f>
        <v>28</v>
      </c>
      <c r="L324" s="19">
        <f t="shared" si="61"/>
        <v>-48</v>
      </c>
      <c r="M324" s="19" t="str">
        <f t="shared" si="53"/>
        <v>Shortfall</v>
      </c>
      <c r="N324" s="18"/>
    </row>
    <row r="325" spans="1:14" x14ac:dyDescent="0.25">
      <c r="A325" s="19" t="s">
        <v>157</v>
      </c>
      <c r="B325" s="18" t="s">
        <v>81</v>
      </c>
      <c r="C325" s="18" t="s">
        <v>82</v>
      </c>
      <c r="D325" s="18" t="s">
        <v>238</v>
      </c>
      <c r="E325" s="19">
        <f>VLOOKUP(C:C,Courts!B:C,2,FALSE)</f>
        <v>9</v>
      </c>
      <c r="F325" s="19">
        <f>VLOOKUP(C:C,Courts!B:E,4,FALSE)</f>
        <v>1</v>
      </c>
      <c r="G325" s="19">
        <f>VLOOKUP(C:C,Courts!B:D,3,FALSE)</f>
        <v>0</v>
      </c>
      <c r="H325" s="19">
        <f>VLOOKUP(C:C,Courts!B:F,5,FALSE)</f>
        <v>10</v>
      </c>
      <c r="I325" s="18" t="s">
        <v>212</v>
      </c>
      <c r="J325" s="19">
        <f>VLOOKUP(C:C,TooliD!B:W,22,FALSE)</f>
        <v>10</v>
      </c>
      <c r="K325" s="18">
        <f>VLOOKUP(C:C,TooliD!B:V,21,FALSE)</f>
        <v>4</v>
      </c>
      <c r="L325" s="19">
        <f t="shared" si="61"/>
        <v>-6</v>
      </c>
      <c r="M325" s="19" t="str">
        <f t="shared" si="53"/>
        <v>Shortfall</v>
      </c>
      <c r="N325" s="18"/>
    </row>
    <row r="326" spans="1:14" x14ac:dyDescent="0.25">
      <c r="A326" s="19" t="s">
        <v>157</v>
      </c>
      <c r="B326" s="18" t="s">
        <v>81</v>
      </c>
      <c r="C326" s="18" t="s">
        <v>83</v>
      </c>
      <c r="D326" s="18" t="s">
        <v>238</v>
      </c>
      <c r="E326" s="19">
        <f>VLOOKUP(C:C,Courts!B:C,2,FALSE)</f>
        <v>8</v>
      </c>
      <c r="F326" s="19">
        <f>VLOOKUP(C:C,Courts!B:E,4,FALSE)</f>
        <v>1</v>
      </c>
      <c r="G326" s="19">
        <f>VLOOKUP(C:C,Courts!B:D,3,FALSE)</f>
        <v>0</v>
      </c>
      <c r="H326" s="19">
        <f>VLOOKUP(C:C,Courts!B:F,5,FALSE)</f>
        <v>9</v>
      </c>
      <c r="I326" s="18" t="s">
        <v>7</v>
      </c>
      <c r="J326" s="19">
        <f>VLOOKUP(C:C,TooliD!B:H,7,FALSE)</f>
        <v>9</v>
      </c>
      <c r="K326" s="19">
        <f>VLOOKUP(C:C,TooliD!B:G,6,FALSE)</f>
        <v>9</v>
      </c>
      <c r="L326" s="19">
        <f>K326-J326</f>
        <v>0</v>
      </c>
      <c r="M326" s="19" t="str">
        <f>IF(L326=0,"OK", IF(L326&gt;0,"Surplus","Shortfall"))</f>
        <v>OK</v>
      </c>
      <c r="N326" s="18"/>
    </row>
    <row r="327" spans="1:14" x14ac:dyDescent="0.25">
      <c r="A327" s="19" t="s">
        <v>157</v>
      </c>
      <c r="B327" s="18" t="s">
        <v>81</v>
      </c>
      <c r="C327" s="18" t="s">
        <v>83</v>
      </c>
      <c r="D327" s="18" t="s">
        <v>238</v>
      </c>
      <c r="E327" s="19">
        <f>VLOOKUP(C:C,Courts!B:C,2,FALSE)</f>
        <v>8</v>
      </c>
      <c r="F327" s="19">
        <f>VLOOKUP(C:C,Courts!B:E,4,FALSE)</f>
        <v>1</v>
      </c>
      <c r="G327" s="19">
        <f>VLOOKUP(C:C,Courts!B:D,3,FALSE)</f>
        <v>0</v>
      </c>
      <c r="H327" s="19">
        <f>VLOOKUP(C:C,Courts!B:F,5,FALSE)</f>
        <v>9</v>
      </c>
      <c r="I327" s="18" t="s">
        <v>241</v>
      </c>
      <c r="J327" s="19">
        <f>VLOOKUP(C:C,TooliD!B:K,7,FALSE)</f>
        <v>9</v>
      </c>
      <c r="K327" s="19">
        <f>VLOOKUP(C:C,TooliD!B:J,9,FALSE)</f>
        <v>5</v>
      </c>
      <c r="L327" s="19">
        <f t="shared" ref="L327:L331" si="62">K327-J327</f>
        <v>-4</v>
      </c>
      <c r="M327" s="19" t="str">
        <f t="shared" si="53"/>
        <v>Shortfall</v>
      </c>
      <c r="N327" s="18"/>
    </row>
    <row r="328" spans="1:14" x14ac:dyDescent="0.25">
      <c r="A328" s="19" t="s">
        <v>157</v>
      </c>
      <c r="B328" s="18" t="s">
        <v>81</v>
      </c>
      <c r="C328" s="18" t="s">
        <v>83</v>
      </c>
      <c r="D328" s="18" t="s">
        <v>238</v>
      </c>
      <c r="E328" s="19">
        <f>VLOOKUP(C:C,Courts!B:C,2,FALSE)</f>
        <v>8</v>
      </c>
      <c r="F328" s="19">
        <f>VLOOKUP(C:C,Courts!B:E,4,FALSE)</f>
        <v>1</v>
      </c>
      <c r="G328" s="19">
        <f>VLOOKUP(C:C,Courts!B:D,3,FALSE)</f>
        <v>0</v>
      </c>
      <c r="H328" s="19">
        <f>VLOOKUP(C:C,Courts!B:F,5,FALSE)</f>
        <v>9</v>
      </c>
      <c r="I328" s="18" t="s">
        <v>9</v>
      </c>
      <c r="J328" s="19">
        <f>VLOOKUP(C:C,TooliD!B:N,13,FALSE)</f>
        <v>9</v>
      </c>
      <c r="K328" s="18">
        <f>VLOOKUP(C:C,TooliD!B:M,12,FALSE)</f>
        <v>9</v>
      </c>
      <c r="L328" s="19">
        <f t="shared" si="62"/>
        <v>0</v>
      </c>
      <c r="M328" s="19" t="str">
        <f t="shared" si="53"/>
        <v>OK</v>
      </c>
      <c r="N328" s="18"/>
    </row>
    <row r="329" spans="1:14" x14ac:dyDescent="0.25">
      <c r="A329" s="19" t="s">
        <v>157</v>
      </c>
      <c r="B329" s="18" t="s">
        <v>81</v>
      </c>
      <c r="C329" s="18" t="s">
        <v>83</v>
      </c>
      <c r="D329" s="18" t="s">
        <v>238</v>
      </c>
      <c r="E329" s="19">
        <f>VLOOKUP(C:C,Courts!B:C,2,FALSE)</f>
        <v>8</v>
      </c>
      <c r="F329" s="19">
        <f>VLOOKUP(C:C,Courts!B:E,4,FALSE)</f>
        <v>1</v>
      </c>
      <c r="G329" s="19">
        <f>VLOOKUP(C:C,Courts!B:D,3,FALSE)</f>
        <v>0</v>
      </c>
      <c r="H329" s="19">
        <f>VLOOKUP(C:C,Courts!B:F,5,FALSE)</f>
        <v>9</v>
      </c>
      <c r="I329" s="18" t="s">
        <v>239</v>
      </c>
      <c r="J329" s="19">
        <f>VLOOKUP(C:C,TooliD!B:Q,16,FALSE)</f>
        <v>16</v>
      </c>
      <c r="K329" s="18">
        <f>VLOOKUP(C:C,TooliD!B:P,15,FALSE)</f>
        <v>16</v>
      </c>
      <c r="L329" s="19">
        <f t="shared" si="62"/>
        <v>0</v>
      </c>
      <c r="M329" s="19" t="str">
        <f t="shared" si="53"/>
        <v>OK</v>
      </c>
      <c r="N329" s="18"/>
    </row>
    <row r="330" spans="1:14" x14ac:dyDescent="0.25">
      <c r="A330" s="19" t="s">
        <v>157</v>
      </c>
      <c r="B330" s="18" t="s">
        <v>81</v>
      </c>
      <c r="C330" s="18" t="s">
        <v>83</v>
      </c>
      <c r="D330" s="18" t="s">
        <v>238</v>
      </c>
      <c r="E330" s="19">
        <f>VLOOKUP(C:C,Courts!B:C,2,FALSE)</f>
        <v>8</v>
      </c>
      <c r="F330" s="19">
        <f>VLOOKUP(C:C,Courts!B:E,4,FALSE)</f>
        <v>1</v>
      </c>
      <c r="G330" s="19">
        <f>VLOOKUP(C:C,Courts!B:D,3,FALSE)</f>
        <v>0</v>
      </c>
      <c r="H330" s="19">
        <f>VLOOKUP(C:C,Courts!B:F,5,FALSE)</f>
        <v>9</v>
      </c>
      <c r="I330" s="18" t="s">
        <v>11</v>
      </c>
      <c r="J330" s="19">
        <f>VLOOKUP(C:C,TooliD!B:T,19,FALSE)</f>
        <v>68</v>
      </c>
      <c r="K330" s="18">
        <f>VLOOKUP(C:C,TooliD!B:S,18,FALSE)</f>
        <v>44</v>
      </c>
      <c r="L330" s="19">
        <f t="shared" si="62"/>
        <v>-24</v>
      </c>
      <c r="M330" s="19" t="str">
        <f t="shared" si="53"/>
        <v>Shortfall</v>
      </c>
      <c r="N330" s="18"/>
    </row>
    <row r="331" spans="1:14" x14ac:dyDescent="0.25">
      <c r="A331" s="19" t="s">
        <v>157</v>
      </c>
      <c r="B331" s="18" t="s">
        <v>81</v>
      </c>
      <c r="C331" s="18" t="s">
        <v>83</v>
      </c>
      <c r="D331" s="18" t="s">
        <v>238</v>
      </c>
      <c r="E331" s="19">
        <f>VLOOKUP(C:C,Courts!B:C,2,FALSE)</f>
        <v>8</v>
      </c>
      <c r="F331" s="19">
        <f>VLOOKUP(C:C,Courts!B:E,4,FALSE)</f>
        <v>1</v>
      </c>
      <c r="G331" s="19">
        <f>VLOOKUP(C:C,Courts!B:D,3,FALSE)</f>
        <v>0</v>
      </c>
      <c r="H331" s="19">
        <f>VLOOKUP(C:C,Courts!B:F,5,FALSE)</f>
        <v>9</v>
      </c>
      <c r="I331" s="18" t="s">
        <v>212</v>
      </c>
      <c r="J331" s="19">
        <f>VLOOKUP(C:C,TooliD!B:W,22,FALSE)</f>
        <v>9</v>
      </c>
      <c r="K331" s="18">
        <f>VLOOKUP(C:C,TooliD!B:V,21,FALSE)</f>
        <v>5</v>
      </c>
      <c r="L331" s="19">
        <f t="shared" si="62"/>
        <v>-4</v>
      </c>
      <c r="M331" s="19" t="str">
        <f t="shared" si="53"/>
        <v>Shortfall</v>
      </c>
      <c r="N331" s="18"/>
    </row>
    <row r="332" spans="1:14" x14ac:dyDescent="0.25">
      <c r="A332" s="19" t="s">
        <v>157</v>
      </c>
      <c r="B332" s="18" t="s">
        <v>84</v>
      </c>
      <c r="C332" s="18" t="s">
        <v>84</v>
      </c>
      <c r="D332" s="18" t="s">
        <v>237</v>
      </c>
      <c r="E332" s="19">
        <f>VLOOKUP(C:C,Courts!B:C,2,FALSE)</f>
        <v>17</v>
      </c>
      <c r="F332" s="19">
        <f>VLOOKUP(C:C,Courts!B:E,4,FALSE)</f>
        <v>0</v>
      </c>
      <c r="G332" s="19">
        <f>VLOOKUP(C:C,Courts!B:D,3,FALSE)</f>
        <v>0</v>
      </c>
      <c r="H332" s="19">
        <f>VLOOKUP(C:C,Courts!B:F,5,FALSE)</f>
        <v>17</v>
      </c>
      <c r="I332" s="18" t="s">
        <v>7</v>
      </c>
      <c r="J332" s="19">
        <f>VLOOKUP(C:C,TooliD!B:H,7,FALSE)</f>
        <v>17</v>
      </c>
      <c r="K332" s="19">
        <f>VLOOKUP(C:C,TooliD!B:G,6,FALSE)</f>
        <v>18</v>
      </c>
      <c r="L332" s="19">
        <f>K332-J332</f>
        <v>1</v>
      </c>
      <c r="M332" s="19" t="str">
        <f>IF(L332=0,"OK", IF(L332&gt;0,"Surplus","Shortfall"))</f>
        <v>Surplus</v>
      </c>
      <c r="N332" s="18"/>
    </row>
    <row r="333" spans="1:14" x14ac:dyDescent="0.25">
      <c r="A333" s="19" t="s">
        <v>157</v>
      </c>
      <c r="B333" s="18" t="s">
        <v>84</v>
      </c>
      <c r="C333" s="18" t="s">
        <v>84</v>
      </c>
      <c r="D333" s="18" t="s">
        <v>237</v>
      </c>
      <c r="E333" s="19">
        <f>VLOOKUP(C:C,Courts!B:C,2,FALSE)</f>
        <v>17</v>
      </c>
      <c r="F333" s="19">
        <f>VLOOKUP(C:C,Courts!B:E,4,FALSE)</f>
        <v>0</v>
      </c>
      <c r="G333" s="19">
        <f>VLOOKUP(C:C,Courts!B:D,3,FALSE)</f>
        <v>0</v>
      </c>
      <c r="H333" s="19">
        <f>VLOOKUP(C:C,Courts!B:F,5,FALSE)</f>
        <v>17</v>
      </c>
      <c r="I333" s="18" t="s">
        <v>241</v>
      </c>
      <c r="J333" s="19">
        <f>VLOOKUP(C:C,TooliD!B:K,7,FALSE)</f>
        <v>17</v>
      </c>
      <c r="K333" s="19">
        <f>VLOOKUP(C:C,TooliD!B:J,9,FALSE)</f>
        <v>16</v>
      </c>
      <c r="L333" s="19">
        <f t="shared" ref="L333:L337" si="63">K333-J333</f>
        <v>-1</v>
      </c>
      <c r="M333" s="19" t="str">
        <f t="shared" si="53"/>
        <v>Shortfall</v>
      </c>
      <c r="N333" s="18"/>
    </row>
    <row r="334" spans="1:14" x14ac:dyDescent="0.25">
      <c r="A334" s="19" t="s">
        <v>157</v>
      </c>
      <c r="B334" s="18" t="s">
        <v>84</v>
      </c>
      <c r="C334" s="18" t="s">
        <v>84</v>
      </c>
      <c r="D334" s="18" t="s">
        <v>237</v>
      </c>
      <c r="E334" s="19">
        <f>VLOOKUP(C:C,Courts!B:C,2,FALSE)</f>
        <v>17</v>
      </c>
      <c r="F334" s="19">
        <f>VLOOKUP(C:C,Courts!B:E,4,FALSE)</f>
        <v>0</v>
      </c>
      <c r="G334" s="19">
        <f>VLOOKUP(C:C,Courts!B:D,3,FALSE)</f>
        <v>0</v>
      </c>
      <c r="H334" s="19">
        <f>VLOOKUP(C:C,Courts!B:F,5,FALSE)</f>
        <v>17</v>
      </c>
      <c r="I334" s="18" t="s">
        <v>9</v>
      </c>
      <c r="J334" s="19">
        <f>VLOOKUP(C:C,TooliD!B:N,13,FALSE)</f>
        <v>17</v>
      </c>
      <c r="K334" s="18">
        <f>VLOOKUP(C:C,TooliD!B:M,12,FALSE)</f>
        <v>17</v>
      </c>
      <c r="L334" s="19">
        <f t="shared" si="63"/>
        <v>0</v>
      </c>
      <c r="M334" s="19" t="str">
        <f t="shared" si="53"/>
        <v>OK</v>
      </c>
      <c r="N334" s="18"/>
    </row>
    <row r="335" spans="1:14" x14ac:dyDescent="0.25">
      <c r="A335" s="19" t="s">
        <v>157</v>
      </c>
      <c r="B335" s="18" t="s">
        <v>84</v>
      </c>
      <c r="C335" s="18" t="s">
        <v>84</v>
      </c>
      <c r="D335" s="18" t="s">
        <v>237</v>
      </c>
      <c r="E335" s="19">
        <f>VLOOKUP(C:C,Courts!B:C,2,FALSE)</f>
        <v>17</v>
      </c>
      <c r="F335" s="19">
        <f>VLOOKUP(C:C,Courts!B:E,4,FALSE)</f>
        <v>0</v>
      </c>
      <c r="G335" s="19">
        <f>VLOOKUP(C:C,Courts!B:D,3,FALSE)</f>
        <v>0</v>
      </c>
      <c r="H335" s="19">
        <f>VLOOKUP(C:C,Courts!B:F,5,FALSE)</f>
        <v>17</v>
      </c>
      <c r="I335" s="18" t="s">
        <v>239</v>
      </c>
      <c r="J335" s="19">
        <f>VLOOKUP(C:C,TooliD!B:Q,16,FALSE)</f>
        <v>34</v>
      </c>
      <c r="K335" s="18">
        <f>VLOOKUP(C:C,TooliD!B:P,15,FALSE)</f>
        <v>40</v>
      </c>
      <c r="L335" s="19">
        <f t="shared" si="63"/>
        <v>6</v>
      </c>
      <c r="M335" s="19" t="str">
        <f t="shared" si="53"/>
        <v>Surplus</v>
      </c>
      <c r="N335" s="18"/>
    </row>
    <row r="336" spans="1:14" x14ac:dyDescent="0.25">
      <c r="A336" s="19" t="s">
        <v>157</v>
      </c>
      <c r="B336" s="18" t="s">
        <v>84</v>
      </c>
      <c r="C336" s="18" t="s">
        <v>84</v>
      </c>
      <c r="D336" s="18" t="s">
        <v>237</v>
      </c>
      <c r="E336" s="19">
        <f>VLOOKUP(C:C,Courts!B:C,2,FALSE)</f>
        <v>17</v>
      </c>
      <c r="F336" s="19">
        <f>VLOOKUP(C:C,Courts!B:E,4,FALSE)</f>
        <v>0</v>
      </c>
      <c r="G336" s="19">
        <f>VLOOKUP(C:C,Courts!B:D,3,FALSE)</f>
        <v>0</v>
      </c>
      <c r="H336" s="19">
        <f>VLOOKUP(C:C,Courts!B:F,5,FALSE)</f>
        <v>17</v>
      </c>
      <c r="I336" s="18" t="s">
        <v>11</v>
      </c>
      <c r="J336" s="19">
        <f>VLOOKUP(C:C,TooliD!B:T,19,FALSE)</f>
        <v>136</v>
      </c>
      <c r="K336" s="18">
        <f>VLOOKUP(C:C,TooliD!B:S,18,FALSE)</f>
        <v>120</v>
      </c>
      <c r="L336" s="19">
        <f t="shared" si="63"/>
        <v>-16</v>
      </c>
      <c r="M336" s="19" t="str">
        <f t="shared" si="53"/>
        <v>Shortfall</v>
      </c>
      <c r="N336" s="18"/>
    </row>
    <row r="337" spans="1:14" x14ac:dyDescent="0.25">
      <c r="A337" s="19" t="s">
        <v>157</v>
      </c>
      <c r="B337" s="18" t="s">
        <v>84</v>
      </c>
      <c r="C337" s="18" t="s">
        <v>84</v>
      </c>
      <c r="D337" s="18" t="s">
        <v>237</v>
      </c>
      <c r="E337" s="19">
        <f>VLOOKUP(C:C,Courts!B:C,2,FALSE)</f>
        <v>17</v>
      </c>
      <c r="F337" s="19">
        <f>VLOOKUP(C:C,Courts!B:E,4,FALSE)</f>
        <v>0</v>
      </c>
      <c r="G337" s="19">
        <f>VLOOKUP(C:C,Courts!B:D,3,FALSE)</f>
        <v>0</v>
      </c>
      <c r="H337" s="19">
        <f>VLOOKUP(C:C,Courts!B:F,5,FALSE)</f>
        <v>17</v>
      </c>
      <c r="I337" s="18" t="s">
        <v>212</v>
      </c>
      <c r="J337" s="19">
        <f>VLOOKUP(C:C,TooliD!B:W,22,FALSE)</f>
        <v>17</v>
      </c>
      <c r="K337" s="18">
        <f>VLOOKUP(C:C,TooliD!B:V,21,FALSE)</f>
        <v>6</v>
      </c>
      <c r="L337" s="19">
        <f t="shared" si="63"/>
        <v>-11</v>
      </c>
      <c r="M337" s="19" t="str">
        <f t="shared" ref="M337" si="64">IF(L337=0,"OK", IF(L337&gt;0,"Surplus","Shortfall"))</f>
        <v>Shortfall</v>
      </c>
      <c r="N337" s="18"/>
    </row>
    <row r="338" spans="1:14" x14ac:dyDescent="0.25">
      <c r="A338" s="19" t="s">
        <v>157</v>
      </c>
      <c r="B338" s="18" t="s">
        <v>84</v>
      </c>
      <c r="C338" s="18" t="s">
        <v>85</v>
      </c>
      <c r="D338" s="18" t="s">
        <v>238</v>
      </c>
      <c r="E338" s="19">
        <f>VLOOKUP(C:C,Courts!B:C,2,FALSE)</f>
        <v>7</v>
      </c>
      <c r="F338" s="19">
        <f>VLOOKUP(C:C,Courts!B:E,4,FALSE)</f>
        <v>1</v>
      </c>
      <c r="G338" s="19">
        <f>VLOOKUP(C:C,Courts!B:D,3,FALSE)</f>
        <v>0</v>
      </c>
      <c r="H338" s="19">
        <f>VLOOKUP(C:C,Courts!B:F,5,FALSE)</f>
        <v>8</v>
      </c>
      <c r="I338" s="18" t="s">
        <v>7</v>
      </c>
      <c r="J338" s="19">
        <f>VLOOKUP(C:C,TooliD!B:H,7,FALSE)</f>
        <v>8</v>
      </c>
      <c r="K338" s="19">
        <f>VLOOKUP(C:C,TooliD!B:G,6,FALSE)</f>
        <v>7</v>
      </c>
      <c r="L338" s="19">
        <f>K338-J338</f>
        <v>-1</v>
      </c>
      <c r="M338" s="19" t="str">
        <f>IF(L338=0,"OK", IF(L338&gt;0,"Surplus","Shortfall"))</f>
        <v>Shortfall</v>
      </c>
      <c r="N338" s="18"/>
    </row>
    <row r="339" spans="1:14" x14ac:dyDescent="0.25">
      <c r="A339" s="19" t="s">
        <v>157</v>
      </c>
      <c r="B339" s="18" t="s">
        <v>84</v>
      </c>
      <c r="C339" s="18" t="s">
        <v>85</v>
      </c>
      <c r="D339" s="18" t="s">
        <v>238</v>
      </c>
      <c r="E339" s="19">
        <f>VLOOKUP(C:C,Courts!B:C,2,FALSE)</f>
        <v>7</v>
      </c>
      <c r="F339" s="19">
        <f>VLOOKUP(C:C,Courts!B:E,4,FALSE)</f>
        <v>1</v>
      </c>
      <c r="G339" s="19">
        <f>VLOOKUP(C:C,Courts!B:D,3,FALSE)</f>
        <v>0</v>
      </c>
      <c r="H339" s="19">
        <f>VLOOKUP(C:C,Courts!B:F,5,FALSE)</f>
        <v>8</v>
      </c>
      <c r="I339" s="18" t="s">
        <v>241</v>
      </c>
      <c r="J339" s="19">
        <f>VLOOKUP(C:C,TooliD!B:K,7,FALSE)</f>
        <v>8</v>
      </c>
      <c r="K339" s="19">
        <f>VLOOKUP(C:C,TooliD!B:J,9,FALSE)</f>
        <v>6</v>
      </c>
      <c r="L339" s="19">
        <f t="shared" ref="L339:L343" si="65">K339-J339</f>
        <v>-2</v>
      </c>
      <c r="M339" s="19" t="str">
        <f t="shared" ref="M339:M402" si="66">IF(L339=0,"OK", IF(L339&gt;0,"Surplus","Shortfall"))</f>
        <v>Shortfall</v>
      </c>
      <c r="N339" s="18"/>
    </row>
    <row r="340" spans="1:14" x14ac:dyDescent="0.25">
      <c r="A340" s="19" t="s">
        <v>157</v>
      </c>
      <c r="B340" s="18" t="s">
        <v>84</v>
      </c>
      <c r="C340" s="18" t="s">
        <v>85</v>
      </c>
      <c r="D340" s="18" t="s">
        <v>238</v>
      </c>
      <c r="E340" s="19">
        <f>VLOOKUP(C:C,Courts!B:C,2,FALSE)</f>
        <v>7</v>
      </c>
      <c r="F340" s="19">
        <f>VLOOKUP(C:C,Courts!B:E,4,FALSE)</f>
        <v>1</v>
      </c>
      <c r="G340" s="19">
        <f>VLOOKUP(C:C,Courts!B:D,3,FALSE)</f>
        <v>0</v>
      </c>
      <c r="H340" s="19">
        <f>VLOOKUP(C:C,Courts!B:F,5,FALSE)</f>
        <v>8</v>
      </c>
      <c r="I340" s="18" t="s">
        <v>9</v>
      </c>
      <c r="J340" s="19">
        <f>VLOOKUP(C:C,TooliD!B:N,13,FALSE)</f>
        <v>8</v>
      </c>
      <c r="K340" s="18">
        <f>VLOOKUP(C:C,TooliD!B:M,12,FALSE)</f>
        <v>7</v>
      </c>
      <c r="L340" s="19">
        <f t="shared" si="65"/>
        <v>-1</v>
      </c>
      <c r="M340" s="19" t="str">
        <f t="shared" si="66"/>
        <v>Shortfall</v>
      </c>
      <c r="N340" s="18"/>
    </row>
    <row r="341" spans="1:14" x14ac:dyDescent="0.25">
      <c r="A341" s="19" t="s">
        <v>157</v>
      </c>
      <c r="B341" s="18" t="s">
        <v>84</v>
      </c>
      <c r="C341" s="18" t="s">
        <v>85</v>
      </c>
      <c r="D341" s="18" t="s">
        <v>238</v>
      </c>
      <c r="E341" s="19">
        <f>VLOOKUP(C:C,Courts!B:C,2,FALSE)</f>
        <v>7</v>
      </c>
      <c r="F341" s="19">
        <f>VLOOKUP(C:C,Courts!B:E,4,FALSE)</f>
        <v>1</v>
      </c>
      <c r="G341" s="19">
        <f>VLOOKUP(C:C,Courts!B:D,3,FALSE)</f>
        <v>0</v>
      </c>
      <c r="H341" s="19">
        <f>VLOOKUP(C:C,Courts!B:F,5,FALSE)</f>
        <v>8</v>
      </c>
      <c r="I341" s="18" t="s">
        <v>239</v>
      </c>
      <c r="J341" s="19">
        <f>VLOOKUP(C:C,TooliD!B:Q,16,FALSE)</f>
        <v>14</v>
      </c>
      <c r="K341" s="18">
        <f>VLOOKUP(C:C,TooliD!B:P,15,FALSE)</f>
        <v>12</v>
      </c>
      <c r="L341" s="19">
        <f t="shared" si="65"/>
        <v>-2</v>
      </c>
      <c r="M341" s="19" t="str">
        <f t="shared" si="66"/>
        <v>Shortfall</v>
      </c>
      <c r="N341" s="18"/>
    </row>
    <row r="342" spans="1:14" x14ac:dyDescent="0.25">
      <c r="A342" s="19" t="s">
        <v>157</v>
      </c>
      <c r="B342" s="18" t="s">
        <v>84</v>
      </c>
      <c r="C342" s="18" t="s">
        <v>85</v>
      </c>
      <c r="D342" s="18" t="s">
        <v>238</v>
      </c>
      <c r="E342" s="19">
        <f>VLOOKUP(C:C,Courts!B:C,2,FALSE)</f>
        <v>7</v>
      </c>
      <c r="F342" s="19">
        <f>VLOOKUP(C:C,Courts!B:E,4,FALSE)</f>
        <v>1</v>
      </c>
      <c r="G342" s="19">
        <f>VLOOKUP(C:C,Courts!B:D,3,FALSE)</f>
        <v>0</v>
      </c>
      <c r="H342" s="19">
        <f>VLOOKUP(C:C,Courts!B:F,5,FALSE)</f>
        <v>8</v>
      </c>
      <c r="I342" s="18" t="s">
        <v>11</v>
      </c>
      <c r="J342" s="19">
        <f>VLOOKUP(C:C,TooliD!B:T,19,FALSE)</f>
        <v>60</v>
      </c>
      <c r="K342" s="18">
        <f>VLOOKUP(C:C,TooliD!B:S,18,FALSE)</f>
        <v>44</v>
      </c>
      <c r="L342" s="19">
        <f t="shared" si="65"/>
        <v>-16</v>
      </c>
      <c r="M342" s="19" t="str">
        <f t="shared" si="66"/>
        <v>Shortfall</v>
      </c>
      <c r="N342" s="18"/>
    </row>
    <row r="343" spans="1:14" x14ac:dyDescent="0.25">
      <c r="A343" s="19" t="s">
        <v>157</v>
      </c>
      <c r="B343" s="18" t="s">
        <v>84</v>
      </c>
      <c r="C343" s="18" t="s">
        <v>85</v>
      </c>
      <c r="D343" s="18" t="s">
        <v>238</v>
      </c>
      <c r="E343" s="19">
        <f>VLOOKUP(C:C,Courts!B:C,2,FALSE)</f>
        <v>7</v>
      </c>
      <c r="F343" s="19">
        <f>VLOOKUP(C:C,Courts!B:E,4,FALSE)</f>
        <v>1</v>
      </c>
      <c r="G343" s="19">
        <f>VLOOKUP(C:C,Courts!B:D,3,FALSE)</f>
        <v>0</v>
      </c>
      <c r="H343" s="19">
        <f>VLOOKUP(C:C,Courts!B:F,5,FALSE)</f>
        <v>8</v>
      </c>
      <c r="I343" s="18" t="s">
        <v>212</v>
      </c>
      <c r="J343" s="19">
        <f>VLOOKUP(C:C,TooliD!B:W,22,FALSE)</f>
        <v>8</v>
      </c>
      <c r="K343" s="18">
        <f>VLOOKUP(C:C,TooliD!B:V,21,FALSE)</f>
        <v>1</v>
      </c>
      <c r="L343" s="19">
        <f t="shared" si="65"/>
        <v>-7</v>
      </c>
      <c r="M343" s="19" t="str">
        <f t="shared" si="66"/>
        <v>Shortfall</v>
      </c>
      <c r="N343" s="18"/>
    </row>
    <row r="344" spans="1:14" x14ac:dyDescent="0.25">
      <c r="A344" s="19" t="s">
        <v>157</v>
      </c>
      <c r="B344" s="18" t="s">
        <v>84</v>
      </c>
      <c r="C344" s="18" t="s">
        <v>86</v>
      </c>
      <c r="D344" s="18" t="s">
        <v>238</v>
      </c>
      <c r="E344" s="19">
        <f>VLOOKUP(C:C,Courts!B:C,2,FALSE)</f>
        <v>5</v>
      </c>
      <c r="F344" s="19">
        <f>VLOOKUP(C:C,Courts!B:E,4,FALSE)</f>
        <v>1</v>
      </c>
      <c r="G344" s="19">
        <f>VLOOKUP(C:C,Courts!B:D,3,FALSE)</f>
        <v>0</v>
      </c>
      <c r="H344" s="19">
        <f>VLOOKUP(C:C,Courts!B:F,5,FALSE)</f>
        <v>6</v>
      </c>
      <c r="I344" s="18" t="s">
        <v>7</v>
      </c>
      <c r="J344" s="19">
        <f>VLOOKUP(C:C,TooliD!B:H,7,FALSE)</f>
        <v>6</v>
      </c>
      <c r="K344" s="19">
        <f>VLOOKUP(C:C,TooliD!B:G,6,FALSE)</f>
        <v>6</v>
      </c>
      <c r="L344" s="19">
        <f>K344-J344</f>
        <v>0</v>
      </c>
      <c r="M344" s="19" t="str">
        <f>IF(L344=0,"OK", IF(L344&gt;0,"Surplus","Shortfall"))</f>
        <v>OK</v>
      </c>
      <c r="N344" s="18"/>
    </row>
    <row r="345" spans="1:14" x14ac:dyDescent="0.25">
      <c r="A345" s="19" t="s">
        <v>157</v>
      </c>
      <c r="B345" s="18" t="s">
        <v>84</v>
      </c>
      <c r="C345" s="18" t="s">
        <v>86</v>
      </c>
      <c r="D345" s="18" t="s">
        <v>238</v>
      </c>
      <c r="E345" s="19">
        <f>VLOOKUP(C:C,Courts!B:C,2,FALSE)</f>
        <v>5</v>
      </c>
      <c r="F345" s="19">
        <f>VLOOKUP(C:C,Courts!B:E,4,FALSE)</f>
        <v>1</v>
      </c>
      <c r="G345" s="19">
        <f>VLOOKUP(C:C,Courts!B:D,3,FALSE)</f>
        <v>0</v>
      </c>
      <c r="H345" s="19">
        <f>VLOOKUP(C:C,Courts!B:F,5,FALSE)</f>
        <v>6</v>
      </c>
      <c r="I345" s="18" t="s">
        <v>241</v>
      </c>
      <c r="J345" s="19">
        <f>VLOOKUP(C:C,TooliD!B:K,7,FALSE)</f>
        <v>6</v>
      </c>
      <c r="K345" s="19">
        <f>VLOOKUP(C:C,TooliD!B:J,9,FALSE)</f>
        <v>5</v>
      </c>
      <c r="L345" s="19">
        <f t="shared" ref="L345:L349" si="67">K345-J345</f>
        <v>-1</v>
      </c>
      <c r="M345" s="19" t="str">
        <f t="shared" si="66"/>
        <v>Shortfall</v>
      </c>
      <c r="N345" s="18"/>
    </row>
    <row r="346" spans="1:14" x14ac:dyDescent="0.25">
      <c r="A346" s="19" t="s">
        <v>157</v>
      </c>
      <c r="B346" s="18" t="s">
        <v>84</v>
      </c>
      <c r="C346" s="18" t="s">
        <v>86</v>
      </c>
      <c r="D346" s="18" t="s">
        <v>238</v>
      </c>
      <c r="E346" s="19">
        <f>VLOOKUP(C:C,Courts!B:C,2,FALSE)</f>
        <v>5</v>
      </c>
      <c r="F346" s="19">
        <f>VLOOKUP(C:C,Courts!B:E,4,FALSE)</f>
        <v>1</v>
      </c>
      <c r="G346" s="19">
        <f>VLOOKUP(C:C,Courts!B:D,3,FALSE)</f>
        <v>0</v>
      </c>
      <c r="H346" s="19">
        <f>VLOOKUP(C:C,Courts!B:F,5,FALSE)</f>
        <v>6</v>
      </c>
      <c r="I346" s="18" t="s">
        <v>9</v>
      </c>
      <c r="J346" s="19">
        <f>VLOOKUP(C:C,TooliD!B:N,13,FALSE)</f>
        <v>6</v>
      </c>
      <c r="K346" s="18">
        <f>VLOOKUP(C:C,TooliD!B:M,12,FALSE)</f>
        <v>5</v>
      </c>
      <c r="L346" s="19">
        <f t="shared" si="67"/>
        <v>-1</v>
      </c>
      <c r="M346" s="19" t="str">
        <f t="shared" si="66"/>
        <v>Shortfall</v>
      </c>
      <c r="N346" s="18"/>
    </row>
    <row r="347" spans="1:14" x14ac:dyDescent="0.25">
      <c r="A347" s="19" t="s">
        <v>157</v>
      </c>
      <c r="B347" s="18" t="s">
        <v>84</v>
      </c>
      <c r="C347" s="18" t="s">
        <v>86</v>
      </c>
      <c r="D347" s="18" t="s">
        <v>238</v>
      </c>
      <c r="E347" s="19">
        <f>VLOOKUP(C:C,Courts!B:C,2,FALSE)</f>
        <v>5</v>
      </c>
      <c r="F347" s="19">
        <f>VLOOKUP(C:C,Courts!B:E,4,FALSE)</f>
        <v>1</v>
      </c>
      <c r="G347" s="19">
        <f>VLOOKUP(C:C,Courts!B:D,3,FALSE)</f>
        <v>0</v>
      </c>
      <c r="H347" s="19">
        <f>VLOOKUP(C:C,Courts!B:F,5,FALSE)</f>
        <v>6</v>
      </c>
      <c r="I347" s="18" t="s">
        <v>239</v>
      </c>
      <c r="J347" s="19">
        <f>VLOOKUP(C:C,TooliD!B:Q,16,FALSE)</f>
        <v>10</v>
      </c>
      <c r="K347" s="18">
        <f>VLOOKUP(C:C,TooliD!B:P,15,FALSE)</f>
        <v>9</v>
      </c>
      <c r="L347" s="19">
        <f t="shared" si="67"/>
        <v>-1</v>
      </c>
      <c r="M347" s="19" t="str">
        <f t="shared" si="66"/>
        <v>Shortfall</v>
      </c>
      <c r="N347" s="18"/>
    </row>
    <row r="348" spans="1:14" x14ac:dyDescent="0.25">
      <c r="A348" s="19" t="s">
        <v>157</v>
      </c>
      <c r="B348" s="18" t="s">
        <v>84</v>
      </c>
      <c r="C348" s="18" t="s">
        <v>86</v>
      </c>
      <c r="D348" s="18" t="s">
        <v>238</v>
      </c>
      <c r="E348" s="19">
        <f>VLOOKUP(C:C,Courts!B:C,2,FALSE)</f>
        <v>5</v>
      </c>
      <c r="F348" s="19">
        <f>VLOOKUP(C:C,Courts!B:E,4,FALSE)</f>
        <v>1</v>
      </c>
      <c r="G348" s="19">
        <f>VLOOKUP(C:C,Courts!B:D,3,FALSE)</f>
        <v>0</v>
      </c>
      <c r="H348" s="19">
        <f>VLOOKUP(C:C,Courts!B:F,5,FALSE)</f>
        <v>6</v>
      </c>
      <c r="I348" s="18" t="s">
        <v>11</v>
      </c>
      <c r="J348" s="19">
        <f>VLOOKUP(C:C,TooliD!B:T,19,FALSE)</f>
        <v>44</v>
      </c>
      <c r="K348" s="18">
        <f>VLOOKUP(C:C,TooliD!B:S,18,FALSE)</f>
        <v>36</v>
      </c>
      <c r="L348" s="19">
        <f t="shared" si="67"/>
        <v>-8</v>
      </c>
      <c r="M348" s="19" t="str">
        <f t="shared" si="66"/>
        <v>Shortfall</v>
      </c>
      <c r="N348" s="18"/>
    </row>
    <row r="349" spans="1:14" x14ac:dyDescent="0.25">
      <c r="A349" s="19" t="s">
        <v>157</v>
      </c>
      <c r="B349" s="18" t="s">
        <v>84</v>
      </c>
      <c r="C349" s="18" t="s">
        <v>86</v>
      </c>
      <c r="D349" s="18" t="s">
        <v>238</v>
      </c>
      <c r="E349" s="19">
        <f>VLOOKUP(C:C,Courts!B:C,2,FALSE)</f>
        <v>5</v>
      </c>
      <c r="F349" s="19">
        <f>VLOOKUP(C:C,Courts!B:E,4,FALSE)</f>
        <v>1</v>
      </c>
      <c r="G349" s="19">
        <f>VLOOKUP(C:C,Courts!B:D,3,FALSE)</f>
        <v>0</v>
      </c>
      <c r="H349" s="19">
        <f>VLOOKUP(C:C,Courts!B:F,5,FALSE)</f>
        <v>6</v>
      </c>
      <c r="I349" s="18" t="s">
        <v>212</v>
      </c>
      <c r="J349" s="19">
        <f>VLOOKUP(C:C,TooliD!B:W,22,FALSE)</f>
        <v>6</v>
      </c>
      <c r="K349" s="18">
        <f>VLOOKUP(C:C,TooliD!B:V,21,FALSE)</f>
        <v>1</v>
      </c>
      <c r="L349" s="19">
        <f t="shared" si="67"/>
        <v>-5</v>
      </c>
      <c r="M349" s="19" t="str">
        <f t="shared" si="66"/>
        <v>Shortfall</v>
      </c>
      <c r="N349" s="18"/>
    </row>
    <row r="350" spans="1:14" x14ac:dyDescent="0.25">
      <c r="A350" s="19" t="s">
        <v>157</v>
      </c>
      <c r="B350" s="18" t="s">
        <v>84</v>
      </c>
      <c r="C350" s="18" t="s">
        <v>87</v>
      </c>
      <c r="D350" s="18" t="s">
        <v>238</v>
      </c>
      <c r="E350" s="19">
        <f>VLOOKUP(C:C,Courts!B:C,2,FALSE)</f>
        <v>3</v>
      </c>
      <c r="F350" s="19">
        <f>VLOOKUP(C:C,Courts!B:E,4,FALSE)</f>
        <v>1</v>
      </c>
      <c r="G350" s="19">
        <f>VLOOKUP(C:C,Courts!B:D,3,FALSE)</f>
        <v>0</v>
      </c>
      <c r="H350" s="19">
        <f>VLOOKUP(C:C,Courts!B:F,5,FALSE)</f>
        <v>4</v>
      </c>
      <c r="I350" s="18" t="s">
        <v>7</v>
      </c>
      <c r="J350" s="19">
        <f>VLOOKUP(C:C,TooliD!B:H,7,FALSE)</f>
        <v>4</v>
      </c>
      <c r="K350" s="19">
        <f>VLOOKUP(C:C,TooliD!B:G,6,FALSE)</f>
        <v>4</v>
      </c>
      <c r="L350" s="19">
        <f>K350-J350</f>
        <v>0</v>
      </c>
      <c r="M350" s="19" t="str">
        <f>IF(L350=0,"OK", IF(L350&gt;0,"Surplus","Shortfall"))</f>
        <v>OK</v>
      </c>
      <c r="N350" s="18"/>
    </row>
    <row r="351" spans="1:14" x14ac:dyDescent="0.25">
      <c r="A351" s="19" t="s">
        <v>157</v>
      </c>
      <c r="B351" s="18" t="s">
        <v>84</v>
      </c>
      <c r="C351" s="18" t="s">
        <v>87</v>
      </c>
      <c r="D351" s="18" t="s">
        <v>238</v>
      </c>
      <c r="E351" s="19">
        <f>VLOOKUP(C:C,Courts!B:C,2,FALSE)</f>
        <v>3</v>
      </c>
      <c r="F351" s="19">
        <f>VLOOKUP(C:C,Courts!B:E,4,FALSE)</f>
        <v>1</v>
      </c>
      <c r="G351" s="19">
        <f>VLOOKUP(C:C,Courts!B:D,3,FALSE)</f>
        <v>0</v>
      </c>
      <c r="H351" s="19">
        <f>VLOOKUP(C:C,Courts!B:F,5,FALSE)</f>
        <v>4</v>
      </c>
      <c r="I351" s="18" t="s">
        <v>241</v>
      </c>
      <c r="J351" s="19">
        <f>VLOOKUP(C:C,TooliD!B:K,7,FALSE)</f>
        <v>4</v>
      </c>
      <c r="K351" s="19">
        <f>VLOOKUP(C:C,TooliD!B:J,9,FALSE)</f>
        <v>3</v>
      </c>
      <c r="L351" s="19">
        <f t="shared" ref="L351:L355" si="68">K351-J351</f>
        <v>-1</v>
      </c>
      <c r="M351" s="19" t="str">
        <f t="shared" si="66"/>
        <v>Shortfall</v>
      </c>
      <c r="N351" s="18"/>
    </row>
    <row r="352" spans="1:14" x14ac:dyDescent="0.25">
      <c r="A352" s="19" t="s">
        <v>157</v>
      </c>
      <c r="B352" s="18" t="s">
        <v>84</v>
      </c>
      <c r="C352" s="18" t="s">
        <v>87</v>
      </c>
      <c r="D352" s="18" t="s">
        <v>238</v>
      </c>
      <c r="E352" s="19">
        <f>VLOOKUP(C:C,Courts!B:C,2,FALSE)</f>
        <v>3</v>
      </c>
      <c r="F352" s="19">
        <f>VLOOKUP(C:C,Courts!B:E,4,FALSE)</f>
        <v>1</v>
      </c>
      <c r="G352" s="19">
        <f>VLOOKUP(C:C,Courts!B:D,3,FALSE)</f>
        <v>0</v>
      </c>
      <c r="H352" s="19">
        <f>VLOOKUP(C:C,Courts!B:F,5,FALSE)</f>
        <v>4</v>
      </c>
      <c r="I352" s="18" t="s">
        <v>9</v>
      </c>
      <c r="J352" s="19">
        <f>VLOOKUP(C:C,TooliD!B:N,13,FALSE)</f>
        <v>4</v>
      </c>
      <c r="K352" s="18">
        <f>VLOOKUP(C:C,TooliD!B:M,12,FALSE)</f>
        <v>4</v>
      </c>
      <c r="L352" s="19">
        <f t="shared" si="68"/>
        <v>0</v>
      </c>
      <c r="M352" s="19" t="str">
        <f t="shared" si="66"/>
        <v>OK</v>
      </c>
      <c r="N352" s="18"/>
    </row>
    <row r="353" spans="1:14" x14ac:dyDescent="0.25">
      <c r="A353" s="19" t="s">
        <v>157</v>
      </c>
      <c r="B353" s="18" t="s">
        <v>84</v>
      </c>
      <c r="C353" s="18" t="s">
        <v>87</v>
      </c>
      <c r="D353" s="18" t="s">
        <v>238</v>
      </c>
      <c r="E353" s="19">
        <f>VLOOKUP(C:C,Courts!B:C,2,FALSE)</f>
        <v>3</v>
      </c>
      <c r="F353" s="19">
        <f>VLOOKUP(C:C,Courts!B:E,4,FALSE)</f>
        <v>1</v>
      </c>
      <c r="G353" s="19">
        <f>VLOOKUP(C:C,Courts!B:D,3,FALSE)</f>
        <v>0</v>
      </c>
      <c r="H353" s="19">
        <f>VLOOKUP(C:C,Courts!B:F,5,FALSE)</f>
        <v>4</v>
      </c>
      <c r="I353" s="18" t="s">
        <v>239</v>
      </c>
      <c r="J353" s="19">
        <f>VLOOKUP(C:C,TooliD!B:Q,16,FALSE)</f>
        <v>6</v>
      </c>
      <c r="K353" s="18">
        <f>VLOOKUP(C:C,TooliD!B:P,15,FALSE)</f>
        <v>7</v>
      </c>
      <c r="L353" s="19">
        <f t="shared" si="68"/>
        <v>1</v>
      </c>
      <c r="M353" s="19" t="str">
        <f t="shared" si="66"/>
        <v>Surplus</v>
      </c>
      <c r="N353" s="18"/>
    </row>
    <row r="354" spans="1:14" x14ac:dyDescent="0.25">
      <c r="A354" s="19" t="s">
        <v>157</v>
      </c>
      <c r="B354" s="18" t="s">
        <v>84</v>
      </c>
      <c r="C354" s="18" t="s">
        <v>87</v>
      </c>
      <c r="D354" s="18" t="s">
        <v>238</v>
      </c>
      <c r="E354" s="19">
        <f>VLOOKUP(C:C,Courts!B:C,2,FALSE)</f>
        <v>3</v>
      </c>
      <c r="F354" s="19">
        <f>VLOOKUP(C:C,Courts!B:E,4,FALSE)</f>
        <v>1</v>
      </c>
      <c r="G354" s="19">
        <f>VLOOKUP(C:C,Courts!B:D,3,FALSE)</f>
        <v>0</v>
      </c>
      <c r="H354" s="19">
        <f>VLOOKUP(C:C,Courts!B:F,5,FALSE)</f>
        <v>4</v>
      </c>
      <c r="I354" s="18" t="s">
        <v>11</v>
      </c>
      <c r="J354" s="19">
        <f>VLOOKUP(C:C,TooliD!B:T,19,FALSE)</f>
        <v>28</v>
      </c>
      <c r="K354" s="18">
        <f>VLOOKUP(C:C,TooliD!B:S,18,FALSE)</f>
        <v>21</v>
      </c>
      <c r="L354" s="19">
        <f t="shared" si="68"/>
        <v>-7</v>
      </c>
      <c r="M354" s="19" t="str">
        <f t="shared" si="66"/>
        <v>Shortfall</v>
      </c>
      <c r="N354" s="18"/>
    </row>
    <row r="355" spans="1:14" x14ac:dyDescent="0.25">
      <c r="A355" s="19" t="s">
        <v>157</v>
      </c>
      <c r="B355" s="18" t="s">
        <v>84</v>
      </c>
      <c r="C355" s="18" t="s">
        <v>87</v>
      </c>
      <c r="D355" s="18" t="s">
        <v>238</v>
      </c>
      <c r="E355" s="19">
        <f>VLOOKUP(C:C,Courts!B:C,2,FALSE)</f>
        <v>3</v>
      </c>
      <c r="F355" s="19">
        <f>VLOOKUP(C:C,Courts!B:E,4,FALSE)</f>
        <v>1</v>
      </c>
      <c r="G355" s="19">
        <f>VLOOKUP(C:C,Courts!B:D,3,FALSE)</f>
        <v>0</v>
      </c>
      <c r="H355" s="19">
        <f>VLOOKUP(C:C,Courts!B:F,5,FALSE)</f>
        <v>4</v>
      </c>
      <c r="I355" s="18" t="s">
        <v>212</v>
      </c>
      <c r="J355" s="19">
        <f>VLOOKUP(C:C,TooliD!B:W,22,FALSE)</f>
        <v>4</v>
      </c>
      <c r="K355" s="18">
        <f>VLOOKUP(C:C,TooliD!B:V,21,FALSE)</f>
        <v>1</v>
      </c>
      <c r="L355" s="19">
        <f t="shared" si="68"/>
        <v>-3</v>
      </c>
      <c r="M355" s="19" t="str">
        <f t="shared" si="66"/>
        <v>Shortfall</v>
      </c>
      <c r="N355" s="18"/>
    </row>
    <row r="356" spans="1:14" x14ac:dyDescent="0.25">
      <c r="A356" s="19" t="s">
        <v>157</v>
      </c>
      <c r="B356" s="18" t="s">
        <v>84</v>
      </c>
      <c r="C356" s="18" t="s">
        <v>88</v>
      </c>
      <c r="D356" s="18" t="s">
        <v>238</v>
      </c>
      <c r="E356" s="19">
        <f>VLOOKUP(C:C,Courts!B:C,2,FALSE)</f>
        <v>5</v>
      </c>
      <c r="F356" s="19">
        <f>VLOOKUP(C:C,Courts!B:E,4,FALSE)</f>
        <v>1</v>
      </c>
      <c r="G356" s="19">
        <f>VLOOKUP(C:C,Courts!B:D,3,FALSE)</f>
        <v>0</v>
      </c>
      <c r="H356" s="19">
        <f>VLOOKUP(C:C,Courts!B:F,5,FALSE)</f>
        <v>6</v>
      </c>
      <c r="I356" s="18" t="s">
        <v>7</v>
      </c>
      <c r="J356" s="19">
        <f>VLOOKUP(C:C,TooliD!B:H,7,FALSE)</f>
        <v>6</v>
      </c>
      <c r="K356" s="19">
        <f>VLOOKUP(C:C,TooliD!B:G,6,FALSE)</f>
        <v>7</v>
      </c>
      <c r="L356" s="19">
        <f>K356-J356</f>
        <v>1</v>
      </c>
      <c r="M356" s="19" t="str">
        <f>IF(L356=0,"OK", IF(L356&gt;0,"Surplus","Shortfall"))</f>
        <v>Surplus</v>
      </c>
      <c r="N356" s="18"/>
    </row>
    <row r="357" spans="1:14" x14ac:dyDescent="0.25">
      <c r="A357" s="19" t="s">
        <v>157</v>
      </c>
      <c r="B357" s="18" t="s">
        <v>84</v>
      </c>
      <c r="C357" s="18" t="s">
        <v>88</v>
      </c>
      <c r="D357" s="18" t="s">
        <v>238</v>
      </c>
      <c r="E357" s="19">
        <f>VLOOKUP(C:C,Courts!B:C,2,FALSE)</f>
        <v>5</v>
      </c>
      <c r="F357" s="19">
        <f>VLOOKUP(C:C,Courts!B:E,4,FALSE)</f>
        <v>1</v>
      </c>
      <c r="G357" s="19">
        <f>VLOOKUP(C:C,Courts!B:D,3,FALSE)</f>
        <v>0</v>
      </c>
      <c r="H357" s="19">
        <f>VLOOKUP(C:C,Courts!B:F,5,FALSE)</f>
        <v>6</v>
      </c>
      <c r="I357" s="18" t="s">
        <v>241</v>
      </c>
      <c r="J357" s="19">
        <f>VLOOKUP(C:C,TooliD!B:K,7,FALSE)</f>
        <v>6</v>
      </c>
      <c r="K357" s="19">
        <f>VLOOKUP(C:C,TooliD!B:J,9,FALSE)</f>
        <v>3</v>
      </c>
      <c r="L357" s="19">
        <f t="shared" ref="L357:L361" si="69">K357-J357</f>
        <v>-3</v>
      </c>
      <c r="M357" s="19" t="str">
        <f t="shared" si="66"/>
        <v>Shortfall</v>
      </c>
      <c r="N357" s="18"/>
    </row>
    <row r="358" spans="1:14" x14ac:dyDescent="0.25">
      <c r="A358" s="19" t="s">
        <v>157</v>
      </c>
      <c r="B358" s="18" t="s">
        <v>84</v>
      </c>
      <c r="C358" s="18" t="s">
        <v>88</v>
      </c>
      <c r="D358" s="18" t="s">
        <v>238</v>
      </c>
      <c r="E358" s="19">
        <f>VLOOKUP(C:C,Courts!B:C,2,FALSE)</f>
        <v>5</v>
      </c>
      <c r="F358" s="19">
        <f>VLOOKUP(C:C,Courts!B:E,4,FALSE)</f>
        <v>1</v>
      </c>
      <c r="G358" s="19">
        <f>VLOOKUP(C:C,Courts!B:D,3,FALSE)</f>
        <v>0</v>
      </c>
      <c r="H358" s="19">
        <f>VLOOKUP(C:C,Courts!B:F,5,FALSE)</f>
        <v>6</v>
      </c>
      <c r="I358" s="18" t="s">
        <v>9</v>
      </c>
      <c r="J358" s="19">
        <f>VLOOKUP(C:C,TooliD!B:N,13,FALSE)</f>
        <v>6</v>
      </c>
      <c r="K358" s="18">
        <f>VLOOKUP(C:C,TooliD!B:M,12,FALSE)</f>
        <v>7</v>
      </c>
      <c r="L358" s="19">
        <f t="shared" si="69"/>
        <v>1</v>
      </c>
      <c r="M358" s="19" t="str">
        <f t="shared" si="66"/>
        <v>Surplus</v>
      </c>
      <c r="N358" s="18"/>
    </row>
    <row r="359" spans="1:14" x14ac:dyDescent="0.25">
      <c r="A359" s="19" t="s">
        <v>157</v>
      </c>
      <c r="B359" s="18" t="s">
        <v>84</v>
      </c>
      <c r="C359" s="18" t="s">
        <v>88</v>
      </c>
      <c r="D359" s="18" t="s">
        <v>238</v>
      </c>
      <c r="E359" s="19">
        <f>VLOOKUP(C:C,Courts!B:C,2,FALSE)</f>
        <v>5</v>
      </c>
      <c r="F359" s="19">
        <f>VLOOKUP(C:C,Courts!B:E,4,FALSE)</f>
        <v>1</v>
      </c>
      <c r="G359" s="19">
        <f>VLOOKUP(C:C,Courts!B:D,3,FALSE)</f>
        <v>0</v>
      </c>
      <c r="H359" s="19">
        <f>VLOOKUP(C:C,Courts!B:F,5,FALSE)</f>
        <v>6</v>
      </c>
      <c r="I359" s="18" t="s">
        <v>239</v>
      </c>
      <c r="J359" s="19">
        <f>VLOOKUP(C:C,TooliD!B:Q,16,FALSE)</f>
        <v>10</v>
      </c>
      <c r="K359" s="18">
        <f>VLOOKUP(C:C,TooliD!B:P,15,FALSE)</f>
        <v>12</v>
      </c>
      <c r="L359" s="19">
        <f t="shared" si="69"/>
        <v>2</v>
      </c>
      <c r="M359" s="19" t="str">
        <f t="shared" si="66"/>
        <v>Surplus</v>
      </c>
      <c r="N359" s="18"/>
    </row>
    <row r="360" spans="1:14" x14ac:dyDescent="0.25">
      <c r="A360" s="19" t="s">
        <v>157</v>
      </c>
      <c r="B360" s="18" t="s">
        <v>84</v>
      </c>
      <c r="C360" s="18" t="s">
        <v>88</v>
      </c>
      <c r="D360" s="18" t="s">
        <v>238</v>
      </c>
      <c r="E360" s="19">
        <f>VLOOKUP(C:C,Courts!B:C,2,FALSE)</f>
        <v>5</v>
      </c>
      <c r="F360" s="19">
        <f>VLOOKUP(C:C,Courts!B:E,4,FALSE)</f>
        <v>1</v>
      </c>
      <c r="G360" s="19">
        <f>VLOOKUP(C:C,Courts!B:D,3,FALSE)</f>
        <v>0</v>
      </c>
      <c r="H360" s="19">
        <f>VLOOKUP(C:C,Courts!B:F,5,FALSE)</f>
        <v>6</v>
      </c>
      <c r="I360" s="18" t="s">
        <v>11</v>
      </c>
      <c r="J360" s="19">
        <f>VLOOKUP(C:C,TooliD!B:T,19,FALSE)</f>
        <v>44</v>
      </c>
      <c r="K360" s="18">
        <f>VLOOKUP(C:C,TooliD!B:S,18,FALSE)</f>
        <v>20</v>
      </c>
      <c r="L360" s="19">
        <f t="shared" si="69"/>
        <v>-24</v>
      </c>
      <c r="M360" s="19" t="str">
        <f t="shared" si="66"/>
        <v>Shortfall</v>
      </c>
      <c r="N360" s="18"/>
    </row>
    <row r="361" spans="1:14" x14ac:dyDescent="0.25">
      <c r="A361" s="19" t="s">
        <v>157</v>
      </c>
      <c r="B361" s="18" t="s">
        <v>84</v>
      </c>
      <c r="C361" s="18" t="s">
        <v>88</v>
      </c>
      <c r="D361" s="18" t="s">
        <v>238</v>
      </c>
      <c r="E361" s="19">
        <f>VLOOKUP(C:C,Courts!B:C,2,FALSE)</f>
        <v>5</v>
      </c>
      <c r="F361" s="19">
        <f>VLOOKUP(C:C,Courts!B:E,4,FALSE)</f>
        <v>1</v>
      </c>
      <c r="G361" s="19">
        <f>VLOOKUP(C:C,Courts!B:D,3,FALSE)</f>
        <v>0</v>
      </c>
      <c r="H361" s="19">
        <f>VLOOKUP(C:C,Courts!B:F,5,FALSE)</f>
        <v>6</v>
      </c>
      <c r="I361" s="18" t="s">
        <v>212</v>
      </c>
      <c r="J361" s="19">
        <f>VLOOKUP(C:C,TooliD!B:W,22,FALSE)</f>
        <v>6</v>
      </c>
      <c r="K361" s="18">
        <f>VLOOKUP(C:C,TooliD!B:V,21,FALSE)</f>
        <v>1</v>
      </c>
      <c r="L361" s="19">
        <f t="shared" si="69"/>
        <v>-5</v>
      </c>
      <c r="M361" s="19" t="str">
        <f t="shared" si="66"/>
        <v>Shortfall</v>
      </c>
      <c r="N361" s="18"/>
    </row>
    <row r="362" spans="1:14" x14ac:dyDescent="0.25">
      <c r="A362" s="19" t="s">
        <v>157</v>
      </c>
      <c r="B362" s="18" t="s">
        <v>89</v>
      </c>
      <c r="C362" s="18" t="s">
        <v>89</v>
      </c>
      <c r="D362" s="18" t="s">
        <v>237</v>
      </c>
      <c r="E362" s="19">
        <f>VLOOKUP(C:C,Courts!B:C,2,FALSE)</f>
        <v>9</v>
      </c>
      <c r="F362" s="19">
        <f>VLOOKUP(C:C,Courts!B:E,4,FALSE)</f>
        <v>0</v>
      </c>
      <c r="G362" s="19">
        <f>VLOOKUP(C:C,Courts!B:D,3,FALSE)</f>
        <v>0</v>
      </c>
      <c r="H362" s="19">
        <f>VLOOKUP(C:C,Courts!B:F,5,FALSE)</f>
        <v>9</v>
      </c>
      <c r="I362" s="18" t="s">
        <v>7</v>
      </c>
      <c r="J362" s="19">
        <f>VLOOKUP(C:C,TooliD!B:H,7,FALSE)</f>
        <v>9</v>
      </c>
      <c r="K362" s="19">
        <f>VLOOKUP(C:C,TooliD!B:G,6,FALSE)</f>
        <v>10</v>
      </c>
      <c r="L362" s="19">
        <f>K362-J362</f>
        <v>1</v>
      </c>
      <c r="M362" s="19" t="str">
        <f>IF(L362=0,"OK", IF(L362&gt;0,"Surplus","Shortfall"))</f>
        <v>Surplus</v>
      </c>
      <c r="N362" s="18"/>
    </row>
    <row r="363" spans="1:14" x14ac:dyDescent="0.25">
      <c r="A363" s="19" t="s">
        <v>157</v>
      </c>
      <c r="B363" s="18" t="s">
        <v>89</v>
      </c>
      <c r="C363" s="18" t="s">
        <v>89</v>
      </c>
      <c r="D363" s="18" t="s">
        <v>237</v>
      </c>
      <c r="E363" s="19">
        <f>VLOOKUP(C:C,Courts!B:C,2,FALSE)</f>
        <v>9</v>
      </c>
      <c r="F363" s="19">
        <f>VLOOKUP(C:C,Courts!B:E,4,FALSE)</f>
        <v>0</v>
      </c>
      <c r="G363" s="19">
        <f>VLOOKUP(C:C,Courts!B:D,3,FALSE)</f>
        <v>0</v>
      </c>
      <c r="H363" s="19">
        <f>VLOOKUP(C:C,Courts!B:F,5,FALSE)</f>
        <v>9</v>
      </c>
      <c r="I363" s="18" t="s">
        <v>241</v>
      </c>
      <c r="J363" s="19">
        <f>VLOOKUP(C:C,TooliD!B:K,7,FALSE)</f>
        <v>9</v>
      </c>
      <c r="K363" s="19">
        <f>VLOOKUP(C:C,TooliD!B:J,9,FALSE)</f>
        <v>7</v>
      </c>
      <c r="L363" s="19">
        <f t="shared" ref="L363:L367" si="70">K363-J363</f>
        <v>-2</v>
      </c>
      <c r="M363" s="19" t="str">
        <f t="shared" si="66"/>
        <v>Shortfall</v>
      </c>
      <c r="N363" s="18"/>
    </row>
    <row r="364" spans="1:14" x14ac:dyDescent="0.25">
      <c r="A364" s="19" t="s">
        <v>157</v>
      </c>
      <c r="B364" s="18" t="s">
        <v>89</v>
      </c>
      <c r="C364" s="18" t="s">
        <v>89</v>
      </c>
      <c r="D364" s="18" t="s">
        <v>237</v>
      </c>
      <c r="E364" s="19">
        <f>VLOOKUP(C:C,Courts!B:C,2,FALSE)</f>
        <v>9</v>
      </c>
      <c r="F364" s="19">
        <f>VLOOKUP(C:C,Courts!B:E,4,FALSE)</f>
        <v>0</v>
      </c>
      <c r="G364" s="19">
        <f>VLOOKUP(C:C,Courts!B:D,3,FALSE)</f>
        <v>0</v>
      </c>
      <c r="H364" s="19">
        <f>VLOOKUP(C:C,Courts!B:F,5,FALSE)</f>
        <v>9</v>
      </c>
      <c r="I364" s="18" t="s">
        <v>9</v>
      </c>
      <c r="J364" s="19">
        <f>VLOOKUP(C:C,TooliD!B:N,13,FALSE)</f>
        <v>9</v>
      </c>
      <c r="K364" s="18">
        <f>VLOOKUP(C:C,TooliD!B:M,12,FALSE)</f>
        <v>9</v>
      </c>
      <c r="L364" s="19">
        <f t="shared" si="70"/>
        <v>0</v>
      </c>
      <c r="M364" s="19" t="str">
        <f t="shared" si="66"/>
        <v>OK</v>
      </c>
      <c r="N364" s="18"/>
    </row>
    <row r="365" spans="1:14" x14ac:dyDescent="0.25">
      <c r="A365" s="19" t="s">
        <v>157</v>
      </c>
      <c r="B365" s="18" t="s">
        <v>89</v>
      </c>
      <c r="C365" s="18" t="s">
        <v>89</v>
      </c>
      <c r="D365" s="18" t="s">
        <v>237</v>
      </c>
      <c r="E365" s="19">
        <f>VLOOKUP(C:C,Courts!B:C,2,FALSE)</f>
        <v>9</v>
      </c>
      <c r="F365" s="19">
        <f>VLOOKUP(C:C,Courts!B:E,4,FALSE)</f>
        <v>0</v>
      </c>
      <c r="G365" s="19">
        <f>VLOOKUP(C:C,Courts!B:D,3,FALSE)</f>
        <v>0</v>
      </c>
      <c r="H365" s="19">
        <f>VLOOKUP(C:C,Courts!B:F,5,FALSE)</f>
        <v>9</v>
      </c>
      <c r="I365" s="18" t="s">
        <v>239</v>
      </c>
      <c r="J365" s="19">
        <f>VLOOKUP(C:C,TooliD!B:Q,16,FALSE)</f>
        <v>18</v>
      </c>
      <c r="K365" s="18">
        <f>VLOOKUP(C:C,TooliD!B:P,15,FALSE)</f>
        <v>18</v>
      </c>
      <c r="L365" s="19">
        <f t="shared" si="70"/>
        <v>0</v>
      </c>
      <c r="M365" s="19" t="str">
        <f t="shared" si="66"/>
        <v>OK</v>
      </c>
      <c r="N365" s="18"/>
    </row>
    <row r="366" spans="1:14" x14ac:dyDescent="0.25">
      <c r="A366" s="19" t="s">
        <v>157</v>
      </c>
      <c r="B366" s="18" t="s">
        <v>89</v>
      </c>
      <c r="C366" s="18" t="s">
        <v>89</v>
      </c>
      <c r="D366" s="18" t="s">
        <v>237</v>
      </c>
      <c r="E366" s="19">
        <f>VLOOKUP(C:C,Courts!B:C,2,FALSE)</f>
        <v>9</v>
      </c>
      <c r="F366" s="19">
        <f>VLOOKUP(C:C,Courts!B:E,4,FALSE)</f>
        <v>0</v>
      </c>
      <c r="G366" s="19">
        <f>VLOOKUP(C:C,Courts!B:D,3,FALSE)</f>
        <v>0</v>
      </c>
      <c r="H366" s="19">
        <f>VLOOKUP(C:C,Courts!B:F,5,FALSE)</f>
        <v>9</v>
      </c>
      <c r="I366" s="18" t="s">
        <v>11</v>
      </c>
      <c r="J366" s="19">
        <f>VLOOKUP(C:C,TooliD!B:T,19,FALSE)</f>
        <v>72</v>
      </c>
      <c r="K366" s="18">
        <f>VLOOKUP(C:C,TooliD!B:S,18,FALSE)</f>
        <v>56</v>
      </c>
      <c r="L366" s="19">
        <f t="shared" si="70"/>
        <v>-16</v>
      </c>
      <c r="M366" s="19" t="str">
        <f t="shared" si="66"/>
        <v>Shortfall</v>
      </c>
      <c r="N366" s="18"/>
    </row>
    <row r="367" spans="1:14" x14ac:dyDescent="0.25">
      <c r="A367" s="19" t="s">
        <v>157</v>
      </c>
      <c r="B367" s="18" t="s">
        <v>89</v>
      </c>
      <c r="C367" s="18" t="s">
        <v>89</v>
      </c>
      <c r="D367" s="18" t="s">
        <v>237</v>
      </c>
      <c r="E367" s="19">
        <f>VLOOKUP(C:C,Courts!B:C,2,FALSE)</f>
        <v>9</v>
      </c>
      <c r="F367" s="19">
        <f>VLOOKUP(C:C,Courts!B:E,4,FALSE)</f>
        <v>0</v>
      </c>
      <c r="G367" s="19">
        <f>VLOOKUP(C:C,Courts!B:D,3,FALSE)</f>
        <v>0</v>
      </c>
      <c r="H367" s="19">
        <f>VLOOKUP(C:C,Courts!B:F,5,FALSE)</f>
        <v>9</v>
      </c>
      <c r="I367" s="18" t="s">
        <v>212</v>
      </c>
      <c r="J367" s="19">
        <f>VLOOKUP(C:C,TooliD!B:W,22,FALSE)</f>
        <v>9</v>
      </c>
      <c r="K367" s="18">
        <f>VLOOKUP(C:C,TooliD!B:V,21,FALSE)</f>
        <v>8</v>
      </c>
      <c r="L367" s="19">
        <f t="shared" si="70"/>
        <v>-1</v>
      </c>
      <c r="M367" s="19" t="str">
        <f t="shared" si="66"/>
        <v>Shortfall</v>
      </c>
      <c r="N367" s="18"/>
    </row>
    <row r="368" spans="1:14" x14ac:dyDescent="0.25">
      <c r="A368" s="19" t="s">
        <v>157</v>
      </c>
      <c r="B368" s="18" t="s">
        <v>89</v>
      </c>
      <c r="C368" s="18" t="s">
        <v>90</v>
      </c>
      <c r="D368" s="18" t="s">
        <v>238</v>
      </c>
      <c r="E368" s="19">
        <f>VLOOKUP(C:C,Courts!B:C,2,FALSE)</f>
        <v>3</v>
      </c>
      <c r="F368" s="19">
        <f>VLOOKUP(C:C,Courts!B:E,4,FALSE)</f>
        <v>1</v>
      </c>
      <c r="G368" s="19">
        <f>VLOOKUP(C:C,Courts!B:D,3,FALSE)</f>
        <v>0</v>
      </c>
      <c r="H368" s="19">
        <f>VLOOKUP(C:C,Courts!B:F,5,FALSE)</f>
        <v>4</v>
      </c>
      <c r="I368" s="18" t="s">
        <v>7</v>
      </c>
      <c r="J368" s="19">
        <f>VLOOKUP(C:C,TooliD!B:H,7,FALSE)</f>
        <v>4</v>
      </c>
      <c r="K368" s="19">
        <f>VLOOKUP(C:C,TooliD!B:G,6,FALSE)</f>
        <v>5</v>
      </c>
      <c r="L368" s="19">
        <f>K368-J368</f>
        <v>1</v>
      </c>
      <c r="M368" s="19" t="str">
        <f>IF(L368=0,"OK", IF(L368&gt;0,"Surplus","Shortfall"))</f>
        <v>Surplus</v>
      </c>
      <c r="N368" s="18"/>
    </row>
    <row r="369" spans="1:14" x14ac:dyDescent="0.25">
      <c r="A369" s="19" t="s">
        <v>157</v>
      </c>
      <c r="B369" s="18" t="s">
        <v>89</v>
      </c>
      <c r="C369" s="18" t="s">
        <v>90</v>
      </c>
      <c r="D369" s="18" t="s">
        <v>238</v>
      </c>
      <c r="E369" s="19">
        <f>VLOOKUP(C:C,Courts!B:C,2,FALSE)</f>
        <v>3</v>
      </c>
      <c r="F369" s="19">
        <f>VLOOKUP(C:C,Courts!B:E,4,FALSE)</f>
        <v>1</v>
      </c>
      <c r="G369" s="19">
        <f>VLOOKUP(C:C,Courts!B:D,3,FALSE)</f>
        <v>0</v>
      </c>
      <c r="H369" s="19">
        <f>VLOOKUP(C:C,Courts!B:F,5,FALSE)</f>
        <v>4</v>
      </c>
      <c r="I369" s="18" t="s">
        <v>241</v>
      </c>
      <c r="J369" s="19">
        <f>VLOOKUP(C:C,TooliD!B:K,7,FALSE)</f>
        <v>4</v>
      </c>
      <c r="K369" s="19">
        <f>VLOOKUP(C:C,TooliD!B:J,9,FALSE)</f>
        <v>3</v>
      </c>
      <c r="L369" s="19">
        <f t="shared" ref="L369:L373" si="71">K369-J369</f>
        <v>-1</v>
      </c>
      <c r="M369" s="19" t="str">
        <f t="shared" si="66"/>
        <v>Shortfall</v>
      </c>
      <c r="N369" s="18"/>
    </row>
    <row r="370" spans="1:14" x14ac:dyDescent="0.25">
      <c r="A370" s="19" t="s">
        <v>157</v>
      </c>
      <c r="B370" s="18" t="s">
        <v>89</v>
      </c>
      <c r="C370" s="18" t="s">
        <v>90</v>
      </c>
      <c r="D370" s="18" t="s">
        <v>238</v>
      </c>
      <c r="E370" s="19">
        <f>VLOOKUP(C:C,Courts!B:C,2,FALSE)</f>
        <v>3</v>
      </c>
      <c r="F370" s="19">
        <f>VLOOKUP(C:C,Courts!B:E,4,FALSE)</f>
        <v>1</v>
      </c>
      <c r="G370" s="19">
        <f>VLOOKUP(C:C,Courts!B:D,3,FALSE)</f>
        <v>0</v>
      </c>
      <c r="H370" s="19">
        <f>VLOOKUP(C:C,Courts!B:F,5,FALSE)</f>
        <v>4</v>
      </c>
      <c r="I370" s="18" t="s">
        <v>9</v>
      </c>
      <c r="J370" s="19">
        <f>VLOOKUP(C:C,TooliD!B:N,13,FALSE)</f>
        <v>4</v>
      </c>
      <c r="K370" s="18">
        <f>VLOOKUP(C:C,TooliD!B:M,12,FALSE)</f>
        <v>5</v>
      </c>
      <c r="L370" s="19">
        <f t="shared" si="71"/>
        <v>1</v>
      </c>
      <c r="M370" s="19" t="str">
        <f t="shared" si="66"/>
        <v>Surplus</v>
      </c>
      <c r="N370" s="18"/>
    </row>
    <row r="371" spans="1:14" x14ac:dyDescent="0.25">
      <c r="A371" s="19" t="s">
        <v>157</v>
      </c>
      <c r="B371" s="18" t="s">
        <v>89</v>
      </c>
      <c r="C371" s="18" t="s">
        <v>90</v>
      </c>
      <c r="D371" s="18" t="s">
        <v>238</v>
      </c>
      <c r="E371" s="19">
        <f>VLOOKUP(C:C,Courts!B:C,2,FALSE)</f>
        <v>3</v>
      </c>
      <c r="F371" s="19">
        <f>VLOOKUP(C:C,Courts!B:E,4,FALSE)</f>
        <v>1</v>
      </c>
      <c r="G371" s="19">
        <f>VLOOKUP(C:C,Courts!B:D,3,FALSE)</f>
        <v>0</v>
      </c>
      <c r="H371" s="19">
        <f>VLOOKUP(C:C,Courts!B:F,5,FALSE)</f>
        <v>4</v>
      </c>
      <c r="I371" s="18" t="s">
        <v>239</v>
      </c>
      <c r="J371" s="19">
        <f>VLOOKUP(C:C,TooliD!B:Q,16,FALSE)</f>
        <v>6</v>
      </c>
      <c r="K371" s="18">
        <f>VLOOKUP(C:C,TooliD!B:P,15,FALSE)</f>
        <v>8</v>
      </c>
      <c r="L371" s="19">
        <f t="shared" si="71"/>
        <v>2</v>
      </c>
      <c r="M371" s="19" t="str">
        <f t="shared" si="66"/>
        <v>Surplus</v>
      </c>
      <c r="N371" s="18"/>
    </row>
    <row r="372" spans="1:14" x14ac:dyDescent="0.25">
      <c r="A372" s="19" t="s">
        <v>157</v>
      </c>
      <c r="B372" s="18" t="s">
        <v>89</v>
      </c>
      <c r="C372" s="18" t="s">
        <v>90</v>
      </c>
      <c r="D372" s="18" t="s">
        <v>238</v>
      </c>
      <c r="E372" s="19">
        <f>VLOOKUP(C:C,Courts!B:C,2,FALSE)</f>
        <v>3</v>
      </c>
      <c r="F372" s="19">
        <f>VLOOKUP(C:C,Courts!B:E,4,FALSE)</f>
        <v>1</v>
      </c>
      <c r="G372" s="19">
        <f>VLOOKUP(C:C,Courts!B:D,3,FALSE)</f>
        <v>0</v>
      </c>
      <c r="H372" s="19">
        <f>VLOOKUP(C:C,Courts!B:F,5,FALSE)</f>
        <v>4</v>
      </c>
      <c r="I372" s="18" t="s">
        <v>11</v>
      </c>
      <c r="J372" s="19">
        <f>VLOOKUP(C:C,TooliD!B:T,19,FALSE)</f>
        <v>28</v>
      </c>
      <c r="K372" s="18">
        <f>VLOOKUP(C:C,TooliD!B:S,18,FALSE)</f>
        <v>20</v>
      </c>
      <c r="L372" s="19">
        <f t="shared" si="71"/>
        <v>-8</v>
      </c>
      <c r="M372" s="19" t="str">
        <f t="shared" si="66"/>
        <v>Shortfall</v>
      </c>
      <c r="N372" s="18"/>
    </row>
    <row r="373" spans="1:14" x14ac:dyDescent="0.25">
      <c r="A373" s="19" t="s">
        <v>157</v>
      </c>
      <c r="B373" s="18" t="s">
        <v>89</v>
      </c>
      <c r="C373" s="18" t="s">
        <v>90</v>
      </c>
      <c r="D373" s="18" t="s">
        <v>238</v>
      </c>
      <c r="E373" s="19">
        <f>VLOOKUP(C:C,Courts!B:C,2,FALSE)</f>
        <v>3</v>
      </c>
      <c r="F373" s="19">
        <f>VLOOKUP(C:C,Courts!B:E,4,FALSE)</f>
        <v>1</v>
      </c>
      <c r="G373" s="19">
        <f>VLOOKUP(C:C,Courts!B:D,3,FALSE)</f>
        <v>0</v>
      </c>
      <c r="H373" s="19">
        <f>VLOOKUP(C:C,Courts!B:F,5,FALSE)</f>
        <v>4</v>
      </c>
      <c r="I373" s="18" t="s">
        <v>212</v>
      </c>
      <c r="J373" s="19">
        <f>VLOOKUP(C:C,TooliD!B:W,22,FALSE)</f>
        <v>4</v>
      </c>
      <c r="K373" s="18">
        <f>VLOOKUP(C:C,TooliD!B:V,21,FALSE)</f>
        <v>3</v>
      </c>
      <c r="L373" s="19">
        <f t="shared" si="71"/>
        <v>-1</v>
      </c>
      <c r="M373" s="19" t="str">
        <f t="shared" si="66"/>
        <v>Shortfall</v>
      </c>
      <c r="N373" s="18"/>
    </row>
    <row r="374" spans="1:14" x14ac:dyDescent="0.25">
      <c r="A374" s="19" t="s">
        <v>157</v>
      </c>
      <c r="B374" s="18" t="s">
        <v>89</v>
      </c>
      <c r="C374" s="18" t="s">
        <v>91</v>
      </c>
      <c r="D374" s="18" t="s">
        <v>238</v>
      </c>
      <c r="E374" s="19">
        <f>VLOOKUP(C:C,Courts!B:C,2,FALSE)</f>
        <v>6</v>
      </c>
      <c r="F374" s="19">
        <f>VLOOKUP(C:C,Courts!B:E,4,FALSE)</f>
        <v>1</v>
      </c>
      <c r="G374" s="19">
        <f>VLOOKUP(C:C,Courts!B:D,3,FALSE)</f>
        <v>0</v>
      </c>
      <c r="H374" s="19">
        <f>VLOOKUP(C:C,Courts!B:F,5,FALSE)</f>
        <v>7</v>
      </c>
      <c r="I374" s="18" t="s">
        <v>7</v>
      </c>
      <c r="J374" s="19">
        <f>VLOOKUP(C:C,TooliD!B:H,7,FALSE)</f>
        <v>7</v>
      </c>
      <c r="K374" s="19">
        <f>VLOOKUP(C:C,TooliD!B:G,6,FALSE)</f>
        <v>7</v>
      </c>
      <c r="L374" s="19">
        <f>K374-J374</f>
        <v>0</v>
      </c>
      <c r="M374" s="19" t="str">
        <f>IF(L374=0,"OK", IF(L374&gt;0,"Surplus","Shortfall"))</f>
        <v>OK</v>
      </c>
      <c r="N374" s="18"/>
    </row>
    <row r="375" spans="1:14" x14ac:dyDescent="0.25">
      <c r="A375" s="19" t="s">
        <v>157</v>
      </c>
      <c r="B375" s="18" t="s">
        <v>89</v>
      </c>
      <c r="C375" s="18" t="s">
        <v>91</v>
      </c>
      <c r="D375" s="18" t="s">
        <v>238</v>
      </c>
      <c r="E375" s="19">
        <f>VLOOKUP(C:C,Courts!B:C,2,FALSE)</f>
        <v>6</v>
      </c>
      <c r="F375" s="19">
        <f>VLOOKUP(C:C,Courts!B:E,4,FALSE)</f>
        <v>1</v>
      </c>
      <c r="G375" s="19">
        <f>VLOOKUP(C:C,Courts!B:D,3,FALSE)</f>
        <v>0</v>
      </c>
      <c r="H375" s="19">
        <f>VLOOKUP(C:C,Courts!B:F,5,FALSE)</f>
        <v>7</v>
      </c>
      <c r="I375" s="18" t="s">
        <v>241</v>
      </c>
      <c r="J375" s="19">
        <f>VLOOKUP(C:C,TooliD!B:K,7,FALSE)</f>
        <v>7</v>
      </c>
      <c r="K375" s="19">
        <f>VLOOKUP(C:C,TooliD!B:J,9,FALSE)</f>
        <v>4</v>
      </c>
      <c r="L375" s="19">
        <f t="shared" ref="L375:L379" si="72">K375-J375</f>
        <v>-3</v>
      </c>
      <c r="M375" s="19" t="str">
        <f t="shared" si="66"/>
        <v>Shortfall</v>
      </c>
      <c r="N375" s="18"/>
    </row>
    <row r="376" spans="1:14" x14ac:dyDescent="0.25">
      <c r="A376" s="19" t="s">
        <v>157</v>
      </c>
      <c r="B376" s="18" t="s">
        <v>89</v>
      </c>
      <c r="C376" s="18" t="s">
        <v>91</v>
      </c>
      <c r="D376" s="18" t="s">
        <v>238</v>
      </c>
      <c r="E376" s="19">
        <f>VLOOKUP(C:C,Courts!B:C,2,FALSE)</f>
        <v>6</v>
      </c>
      <c r="F376" s="19">
        <f>VLOOKUP(C:C,Courts!B:E,4,FALSE)</f>
        <v>1</v>
      </c>
      <c r="G376" s="19">
        <f>VLOOKUP(C:C,Courts!B:D,3,FALSE)</f>
        <v>0</v>
      </c>
      <c r="H376" s="19">
        <f>VLOOKUP(C:C,Courts!B:F,5,FALSE)</f>
        <v>7</v>
      </c>
      <c r="I376" s="18" t="s">
        <v>9</v>
      </c>
      <c r="J376" s="19">
        <f>VLOOKUP(C:C,TooliD!B:N,13,FALSE)</f>
        <v>7</v>
      </c>
      <c r="K376" s="18">
        <f>VLOOKUP(C:C,TooliD!B:M,12,FALSE)</f>
        <v>7</v>
      </c>
      <c r="L376" s="19">
        <f t="shared" si="72"/>
        <v>0</v>
      </c>
      <c r="M376" s="19" t="str">
        <f t="shared" si="66"/>
        <v>OK</v>
      </c>
      <c r="N376" s="18"/>
    </row>
    <row r="377" spans="1:14" x14ac:dyDescent="0.25">
      <c r="A377" s="19" t="s">
        <v>157</v>
      </c>
      <c r="B377" s="18" t="s">
        <v>89</v>
      </c>
      <c r="C377" s="18" t="s">
        <v>91</v>
      </c>
      <c r="D377" s="18" t="s">
        <v>238</v>
      </c>
      <c r="E377" s="19">
        <f>VLOOKUP(C:C,Courts!B:C,2,FALSE)</f>
        <v>6</v>
      </c>
      <c r="F377" s="19">
        <f>VLOOKUP(C:C,Courts!B:E,4,FALSE)</f>
        <v>1</v>
      </c>
      <c r="G377" s="19">
        <f>VLOOKUP(C:C,Courts!B:D,3,FALSE)</f>
        <v>0</v>
      </c>
      <c r="H377" s="19">
        <f>VLOOKUP(C:C,Courts!B:F,5,FALSE)</f>
        <v>7</v>
      </c>
      <c r="I377" s="18" t="s">
        <v>239</v>
      </c>
      <c r="J377" s="19">
        <f>VLOOKUP(C:C,TooliD!B:Q,16,FALSE)</f>
        <v>12</v>
      </c>
      <c r="K377" s="18">
        <f>VLOOKUP(C:C,TooliD!B:P,15,FALSE)</f>
        <v>12</v>
      </c>
      <c r="L377" s="19">
        <f t="shared" si="72"/>
        <v>0</v>
      </c>
      <c r="M377" s="19" t="str">
        <f t="shared" si="66"/>
        <v>OK</v>
      </c>
      <c r="N377" s="18"/>
    </row>
    <row r="378" spans="1:14" x14ac:dyDescent="0.25">
      <c r="A378" s="19" t="s">
        <v>157</v>
      </c>
      <c r="B378" s="18" t="s">
        <v>89</v>
      </c>
      <c r="C378" s="18" t="s">
        <v>91</v>
      </c>
      <c r="D378" s="18" t="s">
        <v>238</v>
      </c>
      <c r="E378" s="19">
        <f>VLOOKUP(C:C,Courts!B:C,2,FALSE)</f>
        <v>6</v>
      </c>
      <c r="F378" s="19">
        <f>VLOOKUP(C:C,Courts!B:E,4,FALSE)</f>
        <v>1</v>
      </c>
      <c r="G378" s="19">
        <f>VLOOKUP(C:C,Courts!B:D,3,FALSE)</f>
        <v>0</v>
      </c>
      <c r="H378" s="19">
        <f>VLOOKUP(C:C,Courts!B:F,5,FALSE)</f>
        <v>7</v>
      </c>
      <c r="I378" s="18" t="s">
        <v>11</v>
      </c>
      <c r="J378" s="19">
        <f>VLOOKUP(C:C,TooliD!B:T,19,FALSE)</f>
        <v>52</v>
      </c>
      <c r="K378" s="18">
        <f>VLOOKUP(C:C,TooliD!B:S,18,FALSE)</f>
        <v>28</v>
      </c>
      <c r="L378" s="19">
        <f t="shared" si="72"/>
        <v>-24</v>
      </c>
      <c r="M378" s="19" t="str">
        <f t="shared" si="66"/>
        <v>Shortfall</v>
      </c>
      <c r="N378" s="18"/>
    </row>
    <row r="379" spans="1:14" x14ac:dyDescent="0.25">
      <c r="A379" s="19" t="s">
        <v>157</v>
      </c>
      <c r="B379" s="18" t="s">
        <v>89</v>
      </c>
      <c r="C379" s="18" t="s">
        <v>91</v>
      </c>
      <c r="D379" s="18" t="s">
        <v>238</v>
      </c>
      <c r="E379" s="19">
        <f>VLOOKUP(C:C,Courts!B:C,2,FALSE)</f>
        <v>6</v>
      </c>
      <c r="F379" s="19">
        <f>VLOOKUP(C:C,Courts!B:E,4,FALSE)</f>
        <v>1</v>
      </c>
      <c r="G379" s="19">
        <f>VLOOKUP(C:C,Courts!B:D,3,FALSE)</f>
        <v>0</v>
      </c>
      <c r="H379" s="19">
        <f>VLOOKUP(C:C,Courts!B:F,5,FALSE)</f>
        <v>7</v>
      </c>
      <c r="I379" s="18" t="s">
        <v>212</v>
      </c>
      <c r="J379" s="19">
        <f>VLOOKUP(C:C,TooliD!B:W,22,FALSE)</f>
        <v>7</v>
      </c>
      <c r="K379" s="18">
        <f>VLOOKUP(C:C,TooliD!B:V,21,FALSE)</f>
        <v>4</v>
      </c>
      <c r="L379" s="19">
        <f t="shared" si="72"/>
        <v>-3</v>
      </c>
      <c r="M379" s="19" t="str">
        <f t="shared" si="66"/>
        <v>Shortfall</v>
      </c>
      <c r="N379" s="18"/>
    </row>
    <row r="380" spans="1:14" x14ac:dyDescent="0.25">
      <c r="A380" s="19" t="s">
        <v>157</v>
      </c>
      <c r="B380" s="18" t="s">
        <v>92</v>
      </c>
      <c r="C380" s="18" t="s">
        <v>92</v>
      </c>
      <c r="D380" s="18" t="s">
        <v>237</v>
      </c>
      <c r="E380" s="19">
        <f>VLOOKUP(C:C,Courts!B:C,2,FALSE)</f>
        <v>13</v>
      </c>
      <c r="F380" s="19">
        <f>VLOOKUP(C:C,Courts!B:E,4,FALSE)</f>
        <v>0</v>
      </c>
      <c r="G380" s="19">
        <f>VLOOKUP(C:C,Courts!B:D,3,FALSE)</f>
        <v>0</v>
      </c>
      <c r="H380" s="19">
        <f>VLOOKUP(C:C,Courts!B:F,5,FALSE)</f>
        <v>13</v>
      </c>
      <c r="I380" s="18" t="s">
        <v>7</v>
      </c>
      <c r="J380" s="19">
        <f>VLOOKUP(C:C,TooliD!B:H,7,FALSE)</f>
        <v>13</v>
      </c>
      <c r="K380" s="19">
        <f>VLOOKUP(C:C,TooliD!B:G,6,FALSE)</f>
        <v>15</v>
      </c>
      <c r="L380" s="19">
        <f>K380-J380</f>
        <v>2</v>
      </c>
      <c r="M380" s="19" t="str">
        <f>IF(L380=0,"OK", IF(L380&gt;0,"Surplus","Shortfall"))</f>
        <v>Surplus</v>
      </c>
      <c r="N380" s="18"/>
    </row>
    <row r="381" spans="1:14" x14ac:dyDescent="0.25">
      <c r="A381" s="19" t="s">
        <v>157</v>
      </c>
      <c r="B381" s="18" t="s">
        <v>92</v>
      </c>
      <c r="C381" s="18" t="s">
        <v>92</v>
      </c>
      <c r="D381" s="18" t="s">
        <v>237</v>
      </c>
      <c r="E381" s="19">
        <f>VLOOKUP(C:C,Courts!B:C,2,FALSE)</f>
        <v>13</v>
      </c>
      <c r="F381" s="19">
        <f>VLOOKUP(C:C,Courts!B:E,4,FALSE)</f>
        <v>0</v>
      </c>
      <c r="G381" s="19">
        <f>VLOOKUP(C:C,Courts!B:D,3,FALSE)</f>
        <v>0</v>
      </c>
      <c r="H381" s="19">
        <f>VLOOKUP(C:C,Courts!B:F,5,FALSE)</f>
        <v>13</v>
      </c>
      <c r="I381" s="18" t="s">
        <v>241</v>
      </c>
      <c r="J381" s="19">
        <f>VLOOKUP(C:C,TooliD!B:K,7,FALSE)</f>
        <v>13</v>
      </c>
      <c r="K381" s="19">
        <f>VLOOKUP(C:C,TooliD!B:J,9,FALSE)</f>
        <v>9</v>
      </c>
      <c r="L381" s="19">
        <f t="shared" ref="L381:L385" si="73">K381-J381</f>
        <v>-4</v>
      </c>
      <c r="M381" s="19" t="str">
        <f t="shared" si="66"/>
        <v>Shortfall</v>
      </c>
      <c r="N381" s="18"/>
    </row>
    <row r="382" spans="1:14" x14ac:dyDescent="0.25">
      <c r="A382" s="19" t="s">
        <v>157</v>
      </c>
      <c r="B382" s="18" t="s">
        <v>92</v>
      </c>
      <c r="C382" s="18" t="s">
        <v>92</v>
      </c>
      <c r="D382" s="18" t="s">
        <v>237</v>
      </c>
      <c r="E382" s="19">
        <f>VLOOKUP(C:C,Courts!B:C,2,FALSE)</f>
        <v>13</v>
      </c>
      <c r="F382" s="19">
        <f>VLOOKUP(C:C,Courts!B:E,4,FALSE)</f>
        <v>0</v>
      </c>
      <c r="G382" s="19">
        <f>VLOOKUP(C:C,Courts!B:D,3,FALSE)</f>
        <v>0</v>
      </c>
      <c r="H382" s="19">
        <f>VLOOKUP(C:C,Courts!B:F,5,FALSE)</f>
        <v>13</v>
      </c>
      <c r="I382" s="18" t="s">
        <v>9</v>
      </c>
      <c r="J382" s="19">
        <f>VLOOKUP(C:C,TooliD!B:N,13,FALSE)</f>
        <v>13</v>
      </c>
      <c r="K382" s="18">
        <f>VLOOKUP(C:C,TooliD!B:M,12,FALSE)</f>
        <v>13</v>
      </c>
      <c r="L382" s="19">
        <f t="shared" si="73"/>
        <v>0</v>
      </c>
      <c r="M382" s="19" t="str">
        <f t="shared" si="66"/>
        <v>OK</v>
      </c>
      <c r="N382" s="18"/>
    </row>
    <row r="383" spans="1:14" x14ac:dyDescent="0.25">
      <c r="A383" s="19" t="s">
        <v>157</v>
      </c>
      <c r="B383" s="18" t="s">
        <v>92</v>
      </c>
      <c r="C383" s="18" t="s">
        <v>92</v>
      </c>
      <c r="D383" s="18" t="s">
        <v>237</v>
      </c>
      <c r="E383" s="19">
        <f>VLOOKUP(C:C,Courts!B:C,2,FALSE)</f>
        <v>13</v>
      </c>
      <c r="F383" s="19">
        <f>VLOOKUP(C:C,Courts!B:E,4,FALSE)</f>
        <v>0</v>
      </c>
      <c r="G383" s="19">
        <f>VLOOKUP(C:C,Courts!B:D,3,FALSE)</f>
        <v>0</v>
      </c>
      <c r="H383" s="19">
        <f>VLOOKUP(C:C,Courts!B:F,5,FALSE)</f>
        <v>13</v>
      </c>
      <c r="I383" s="18" t="s">
        <v>239</v>
      </c>
      <c r="J383" s="19">
        <f>VLOOKUP(C:C,TooliD!B:Q,16,FALSE)</f>
        <v>26</v>
      </c>
      <c r="K383" s="18">
        <f>VLOOKUP(C:C,TooliD!B:P,15,FALSE)</f>
        <v>26</v>
      </c>
      <c r="L383" s="19">
        <f t="shared" si="73"/>
        <v>0</v>
      </c>
      <c r="M383" s="19" t="str">
        <f t="shared" si="66"/>
        <v>OK</v>
      </c>
      <c r="N383" s="18"/>
    </row>
    <row r="384" spans="1:14" x14ac:dyDescent="0.25">
      <c r="A384" s="19" t="s">
        <v>157</v>
      </c>
      <c r="B384" s="18" t="s">
        <v>92</v>
      </c>
      <c r="C384" s="18" t="s">
        <v>92</v>
      </c>
      <c r="D384" s="18" t="s">
        <v>237</v>
      </c>
      <c r="E384" s="19">
        <f>VLOOKUP(C:C,Courts!B:C,2,FALSE)</f>
        <v>13</v>
      </c>
      <c r="F384" s="19">
        <f>VLOOKUP(C:C,Courts!B:E,4,FALSE)</f>
        <v>0</v>
      </c>
      <c r="G384" s="19">
        <f>VLOOKUP(C:C,Courts!B:D,3,FALSE)</f>
        <v>0</v>
      </c>
      <c r="H384" s="19">
        <f>VLOOKUP(C:C,Courts!B:F,5,FALSE)</f>
        <v>13</v>
      </c>
      <c r="I384" s="18" t="s">
        <v>11</v>
      </c>
      <c r="J384" s="19">
        <f>VLOOKUP(C:C,TooliD!B:T,19,FALSE)</f>
        <v>104</v>
      </c>
      <c r="K384" s="18">
        <f>VLOOKUP(C:C,TooliD!B:S,18,FALSE)</f>
        <v>67</v>
      </c>
      <c r="L384" s="19">
        <f t="shared" si="73"/>
        <v>-37</v>
      </c>
      <c r="M384" s="19" t="str">
        <f t="shared" si="66"/>
        <v>Shortfall</v>
      </c>
      <c r="N384" s="18"/>
    </row>
    <row r="385" spans="1:14" x14ac:dyDescent="0.25">
      <c r="A385" s="19" t="s">
        <v>157</v>
      </c>
      <c r="B385" s="18" t="s">
        <v>92</v>
      </c>
      <c r="C385" s="18" t="s">
        <v>92</v>
      </c>
      <c r="D385" s="18" t="s">
        <v>237</v>
      </c>
      <c r="E385" s="19">
        <f>VLOOKUP(C:C,Courts!B:C,2,FALSE)</f>
        <v>13</v>
      </c>
      <c r="F385" s="19">
        <f>VLOOKUP(C:C,Courts!B:E,4,FALSE)</f>
        <v>0</v>
      </c>
      <c r="G385" s="19">
        <f>VLOOKUP(C:C,Courts!B:D,3,FALSE)</f>
        <v>0</v>
      </c>
      <c r="H385" s="19">
        <f>VLOOKUP(C:C,Courts!B:F,5,FALSE)</f>
        <v>13</v>
      </c>
      <c r="I385" s="18" t="s">
        <v>212</v>
      </c>
      <c r="J385" s="19">
        <f>VLOOKUP(C:C,TooliD!B:W,22,FALSE)</f>
        <v>13</v>
      </c>
      <c r="K385" s="18">
        <f>VLOOKUP(C:C,TooliD!B:V,21,FALSE)</f>
        <v>12</v>
      </c>
      <c r="L385" s="19">
        <f t="shared" si="73"/>
        <v>-1</v>
      </c>
      <c r="M385" s="19" t="str">
        <f t="shared" si="66"/>
        <v>Shortfall</v>
      </c>
      <c r="N385" s="18"/>
    </row>
    <row r="386" spans="1:14" x14ac:dyDescent="0.25">
      <c r="A386" s="19" t="s">
        <v>157</v>
      </c>
      <c r="B386" s="18" t="s">
        <v>92</v>
      </c>
      <c r="C386" s="18" t="s">
        <v>93</v>
      </c>
      <c r="D386" s="18" t="s">
        <v>238</v>
      </c>
      <c r="E386" s="19">
        <f>VLOOKUP(C:C,Courts!B:C,2,FALSE)</f>
        <v>2</v>
      </c>
      <c r="F386" s="19">
        <f>VLOOKUP(C:C,Courts!B:E,4,FALSE)</f>
        <v>1</v>
      </c>
      <c r="G386" s="19">
        <f>VLOOKUP(C:C,Courts!B:D,3,FALSE)</f>
        <v>0</v>
      </c>
      <c r="H386" s="19">
        <f>VLOOKUP(C:C,Courts!B:F,5,FALSE)</f>
        <v>3</v>
      </c>
      <c r="I386" s="18" t="s">
        <v>7</v>
      </c>
      <c r="J386" s="19">
        <f>VLOOKUP(C:C,TooliD!B:H,7,FALSE)</f>
        <v>3</v>
      </c>
      <c r="K386" s="19">
        <f>VLOOKUP(C:C,TooliD!B:G,6,FALSE)</f>
        <v>3</v>
      </c>
      <c r="L386" s="19">
        <f>K386-J386</f>
        <v>0</v>
      </c>
      <c r="M386" s="19" t="str">
        <f>IF(L386=0,"OK", IF(L386&gt;0,"Surplus","Shortfall"))</f>
        <v>OK</v>
      </c>
      <c r="N386" s="18"/>
    </row>
    <row r="387" spans="1:14" x14ac:dyDescent="0.25">
      <c r="A387" s="19" t="s">
        <v>157</v>
      </c>
      <c r="B387" s="18" t="s">
        <v>92</v>
      </c>
      <c r="C387" s="18" t="s">
        <v>93</v>
      </c>
      <c r="D387" s="18" t="s">
        <v>238</v>
      </c>
      <c r="E387" s="19">
        <f>VLOOKUP(C:C,Courts!B:C,2,FALSE)</f>
        <v>2</v>
      </c>
      <c r="F387" s="19">
        <f>VLOOKUP(C:C,Courts!B:E,4,FALSE)</f>
        <v>1</v>
      </c>
      <c r="G387" s="19">
        <f>VLOOKUP(C:C,Courts!B:D,3,FALSE)</f>
        <v>0</v>
      </c>
      <c r="H387" s="19">
        <f>VLOOKUP(C:C,Courts!B:F,5,FALSE)</f>
        <v>3</v>
      </c>
      <c r="I387" s="18" t="s">
        <v>241</v>
      </c>
      <c r="J387" s="19">
        <f>VLOOKUP(C:C,TooliD!B:K,7,FALSE)</f>
        <v>3</v>
      </c>
      <c r="K387" s="19">
        <f>VLOOKUP(C:C,TooliD!B:J,9,FALSE)</f>
        <v>2</v>
      </c>
      <c r="L387" s="19">
        <f t="shared" ref="L387:L391" si="74">K387-J387</f>
        <v>-1</v>
      </c>
      <c r="M387" s="19" t="str">
        <f t="shared" si="66"/>
        <v>Shortfall</v>
      </c>
      <c r="N387" s="18"/>
    </row>
    <row r="388" spans="1:14" x14ac:dyDescent="0.25">
      <c r="A388" s="19" t="s">
        <v>157</v>
      </c>
      <c r="B388" s="18" t="s">
        <v>92</v>
      </c>
      <c r="C388" s="18" t="s">
        <v>93</v>
      </c>
      <c r="D388" s="18" t="s">
        <v>238</v>
      </c>
      <c r="E388" s="19">
        <f>VLOOKUP(C:C,Courts!B:C,2,FALSE)</f>
        <v>2</v>
      </c>
      <c r="F388" s="19">
        <f>VLOOKUP(C:C,Courts!B:E,4,FALSE)</f>
        <v>1</v>
      </c>
      <c r="G388" s="19">
        <f>VLOOKUP(C:C,Courts!B:D,3,FALSE)</f>
        <v>0</v>
      </c>
      <c r="H388" s="19">
        <f>VLOOKUP(C:C,Courts!B:F,5,FALSE)</f>
        <v>3</v>
      </c>
      <c r="I388" s="18" t="s">
        <v>9</v>
      </c>
      <c r="J388" s="19">
        <f>VLOOKUP(C:C,TooliD!B:N,13,FALSE)</f>
        <v>3</v>
      </c>
      <c r="K388" s="18">
        <f>VLOOKUP(C:C,TooliD!B:M,12,FALSE)</f>
        <v>3</v>
      </c>
      <c r="L388" s="19">
        <f t="shared" si="74"/>
        <v>0</v>
      </c>
      <c r="M388" s="19" t="str">
        <f t="shared" si="66"/>
        <v>OK</v>
      </c>
      <c r="N388" s="18"/>
    </row>
    <row r="389" spans="1:14" x14ac:dyDescent="0.25">
      <c r="A389" s="19" t="s">
        <v>157</v>
      </c>
      <c r="B389" s="18" t="s">
        <v>92</v>
      </c>
      <c r="C389" s="18" t="s">
        <v>93</v>
      </c>
      <c r="D389" s="18" t="s">
        <v>238</v>
      </c>
      <c r="E389" s="19">
        <f>VLOOKUP(C:C,Courts!B:C,2,FALSE)</f>
        <v>2</v>
      </c>
      <c r="F389" s="19">
        <f>VLOOKUP(C:C,Courts!B:E,4,FALSE)</f>
        <v>1</v>
      </c>
      <c r="G389" s="19">
        <f>VLOOKUP(C:C,Courts!B:D,3,FALSE)</f>
        <v>0</v>
      </c>
      <c r="H389" s="19">
        <f>VLOOKUP(C:C,Courts!B:F,5,FALSE)</f>
        <v>3</v>
      </c>
      <c r="I389" s="18" t="s">
        <v>239</v>
      </c>
      <c r="J389" s="19">
        <f>VLOOKUP(C:C,TooliD!B:Q,16,FALSE)</f>
        <v>4</v>
      </c>
      <c r="K389" s="18">
        <f>VLOOKUP(C:C,TooliD!B:P,15,FALSE)</f>
        <v>7</v>
      </c>
      <c r="L389" s="19">
        <f t="shared" si="74"/>
        <v>3</v>
      </c>
      <c r="M389" s="19" t="str">
        <f t="shared" si="66"/>
        <v>Surplus</v>
      </c>
      <c r="N389" s="18"/>
    </row>
    <row r="390" spans="1:14" x14ac:dyDescent="0.25">
      <c r="A390" s="19" t="s">
        <v>157</v>
      </c>
      <c r="B390" s="18" t="s">
        <v>92</v>
      </c>
      <c r="C390" s="18" t="s">
        <v>93</v>
      </c>
      <c r="D390" s="18" t="s">
        <v>238</v>
      </c>
      <c r="E390" s="19">
        <f>VLOOKUP(C:C,Courts!B:C,2,FALSE)</f>
        <v>2</v>
      </c>
      <c r="F390" s="19">
        <f>VLOOKUP(C:C,Courts!B:E,4,FALSE)</f>
        <v>1</v>
      </c>
      <c r="G390" s="19">
        <f>VLOOKUP(C:C,Courts!B:D,3,FALSE)</f>
        <v>0</v>
      </c>
      <c r="H390" s="19">
        <f>VLOOKUP(C:C,Courts!B:F,5,FALSE)</f>
        <v>3</v>
      </c>
      <c r="I390" s="18" t="s">
        <v>11</v>
      </c>
      <c r="J390" s="19">
        <f>VLOOKUP(C:C,TooliD!B:T,19,FALSE)</f>
        <v>20</v>
      </c>
      <c r="K390" s="18">
        <f>VLOOKUP(C:C,TooliD!B:S,18,FALSE)</f>
        <v>22</v>
      </c>
      <c r="L390" s="19">
        <f t="shared" si="74"/>
        <v>2</v>
      </c>
      <c r="M390" s="19" t="str">
        <f t="shared" si="66"/>
        <v>Surplus</v>
      </c>
      <c r="N390" s="18"/>
    </row>
    <row r="391" spans="1:14" x14ac:dyDescent="0.25">
      <c r="A391" s="19" t="s">
        <v>157</v>
      </c>
      <c r="B391" s="18" t="s">
        <v>92</v>
      </c>
      <c r="C391" s="18" t="s">
        <v>93</v>
      </c>
      <c r="D391" s="18" t="s">
        <v>238</v>
      </c>
      <c r="E391" s="19">
        <f>VLOOKUP(C:C,Courts!B:C,2,FALSE)</f>
        <v>2</v>
      </c>
      <c r="F391" s="19">
        <f>VLOOKUP(C:C,Courts!B:E,4,FALSE)</f>
        <v>1</v>
      </c>
      <c r="G391" s="19">
        <f>VLOOKUP(C:C,Courts!B:D,3,FALSE)</f>
        <v>0</v>
      </c>
      <c r="H391" s="19">
        <f>VLOOKUP(C:C,Courts!B:F,5,FALSE)</f>
        <v>3</v>
      </c>
      <c r="I391" s="18" t="s">
        <v>212</v>
      </c>
      <c r="J391" s="19">
        <f>VLOOKUP(C:C,TooliD!B:W,22,FALSE)</f>
        <v>3</v>
      </c>
      <c r="K391" s="18">
        <f>VLOOKUP(C:C,TooliD!B:V,21,FALSE)</f>
        <v>4</v>
      </c>
      <c r="L391" s="19">
        <f t="shared" si="74"/>
        <v>1</v>
      </c>
      <c r="M391" s="19" t="str">
        <f t="shared" si="66"/>
        <v>Surplus</v>
      </c>
      <c r="N391" s="18"/>
    </row>
    <row r="392" spans="1:14" x14ac:dyDescent="0.25">
      <c r="A392" s="19" t="s">
        <v>157</v>
      </c>
      <c r="B392" s="18" t="s">
        <v>94</v>
      </c>
      <c r="C392" s="18" t="s">
        <v>94</v>
      </c>
      <c r="D392" s="18" t="s">
        <v>237</v>
      </c>
      <c r="E392" s="19">
        <f>VLOOKUP(C:C,Courts!B:C,2,FALSE)</f>
        <v>10</v>
      </c>
      <c r="F392" s="19">
        <f>VLOOKUP(C:C,Courts!B:E,4,FALSE)</f>
        <v>0</v>
      </c>
      <c r="G392" s="19">
        <f>VLOOKUP(C:C,Courts!B:D,3,FALSE)</f>
        <v>0</v>
      </c>
      <c r="H392" s="19">
        <f>VLOOKUP(C:C,Courts!B:F,5,FALSE)</f>
        <v>10</v>
      </c>
      <c r="I392" s="18" t="s">
        <v>7</v>
      </c>
      <c r="J392" s="19">
        <f>VLOOKUP(C:C,TooliD!B:H,7,FALSE)</f>
        <v>10</v>
      </c>
      <c r="K392" s="19">
        <f>VLOOKUP(C:C,TooliD!B:G,6,FALSE)</f>
        <v>14</v>
      </c>
      <c r="L392" s="19">
        <f>K392-J392</f>
        <v>4</v>
      </c>
      <c r="M392" s="19" t="str">
        <f>IF(L392=0,"OK", IF(L392&gt;0,"Surplus","Shortfall"))</f>
        <v>Surplus</v>
      </c>
      <c r="N392" s="18"/>
    </row>
    <row r="393" spans="1:14" x14ac:dyDescent="0.25">
      <c r="A393" s="19" t="s">
        <v>157</v>
      </c>
      <c r="B393" s="18" t="s">
        <v>94</v>
      </c>
      <c r="C393" s="18" t="s">
        <v>94</v>
      </c>
      <c r="D393" s="18" t="s">
        <v>237</v>
      </c>
      <c r="E393" s="19">
        <f>VLOOKUP(C:C,Courts!B:C,2,FALSE)</f>
        <v>10</v>
      </c>
      <c r="F393" s="19">
        <f>VLOOKUP(C:C,Courts!B:E,4,FALSE)</f>
        <v>0</v>
      </c>
      <c r="G393" s="19">
        <f>VLOOKUP(C:C,Courts!B:D,3,FALSE)</f>
        <v>0</v>
      </c>
      <c r="H393" s="19">
        <f>VLOOKUP(C:C,Courts!B:F,5,FALSE)</f>
        <v>10</v>
      </c>
      <c r="I393" s="18" t="s">
        <v>241</v>
      </c>
      <c r="J393" s="19">
        <f>VLOOKUP(C:C,TooliD!B:K,7,FALSE)</f>
        <v>10</v>
      </c>
      <c r="K393" s="19">
        <f>VLOOKUP(C:C,TooliD!B:J,9,FALSE)</f>
        <v>11</v>
      </c>
      <c r="L393" s="19">
        <f t="shared" ref="L393:L397" si="75">K393-J393</f>
        <v>1</v>
      </c>
      <c r="M393" s="19" t="str">
        <f t="shared" si="66"/>
        <v>Surplus</v>
      </c>
      <c r="N393" s="18"/>
    </row>
    <row r="394" spans="1:14" x14ac:dyDescent="0.25">
      <c r="A394" s="19" t="s">
        <v>157</v>
      </c>
      <c r="B394" s="18" t="s">
        <v>94</v>
      </c>
      <c r="C394" s="18" t="s">
        <v>94</v>
      </c>
      <c r="D394" s="18" t="s">
        <v>237</v>
      </c>
      <c r="E394" s="19">
        <f>VLOOKUP(C:C,Courts!B:C,2,FALSE)</f>
        <v>10</v>
      </c>
      <c r="F394" s="19">
        <f>VLOOKUP(C:C,Courts!B:E,4,FALSE)</f>
        <v>0</v>
      </c>
      <c r="G394" s="19">
        <f>VLOOKUP(C:C,Courts!B:D,3,FALSE)</f>
        <v>0</v>
      </c>
      <c r="H394" s="19">
        <f>VLOOKUP(C:C,Courts!B:F,5,FALSE)</f>
        <v>10</v>
      </c>
      <c r="I394" s="18" t="s">
        <v>9</v>
      </c>
      <c r="J394" s="19">
        <f>VLOOKUP(C:C,TooliD!B:N,13,FALSE)</f>
        <v>10</v>
      </c>
      <c r="K394" s="18">
        <f>VLOOKUP(C:C,TooliD!B:M,12,FALSE)</f>
        <v>11</v>
      </c>
      <c r="L394" s="19">
        <f t="shared" si="75"/>
        <v>1</v>
      </c>
      <c r="M394" s="19" t="str">
        <f t="shared" si="66"/>
        <v>Surplus</v>
      </c>
      <c r="N394" s="18"/>
    </row>
    <row r="395" spans="1:14" x14ac:dyDescent="0.25">
      <c r="A395" s="19" t="s">
        <v>157</v>
      </c>
      <c r="B395" s="18" t="s">
        <v>94</v>
      </c>
      <c r="C395" s="18" t="s">
        <v>94</v>
      </c>
      <c r="D395" s="18" t="s">
        <v>237</v>
      </c>
      <c r="E395" s="19">
        <f>VLOOKUP(C:C,Courts!B:C,2,FALSE)</f>
        <v>10</v>
      </c>
      <c r="F395" s="19">
        <f>VLOOKUP(C:C,Courts!B:E,4,FALSE)</f>
        <v>0</v>
      </c>
      <c r="G395" s="19">
        <f>VLOOKUP(C:C,Courts!B:D,3,FALSE)</f>
        <v>0</v>
      </c>
      <c r="H395" s="19">
        <f>VLOOKUP(C:C,Courts!B:F,5,FALSE)</f>
        <v>10</v>
      </c>
      <c r="I395" s="18" t="s">
        <v>239</v>
      </c>
      <c r="J395" s="19">
        <f>VLOOKUP(C:C,TooliD!B:Q,16,FALSE)</f>
        <v>20</v>
      </c>
      <c r="K395" s="18">
        <f>VLOOKUP(C:C,TooliD!B:P,15,FALSE)</f>
        <v>26</v>
      </c>
      <c r="L395" s="19">
        <f t="shared" si="75"/>
        <v>6</v>
      </c>
      <c r="M395" s="19" t="str">
        <f t="shared" si="66"/>
        <v>Surplus</v>
      </c>
      <c r="N395" s="18"/>
    </row>
    <row r="396" spans="1:14" x14ac:dyDescent="0.25">
      <c r="A396" s="19" t="s">
        <v>157</v>
      </c>
      <c r="B396" s="18" t="s">
        <v>94</v>
      </c>
      <c r="C396" s="18" t="s">
        <v>94</v>
      </c>
      <c r="D396" s="18" t="s">
        <v>237</v>
      </c>
      <c r="E396" s="19">
        <f>VLOOKUP(C:C,Courts!B:C,2,FALSE)</f>
        <v>10</v>
      </c>
      <c r="F396" s="19">
        <f>VLOOKUP(C:C,Courts!B:E,4,FALSE)</f>
        <v>0</v>
      </c>
      <c r="G396" s="19">
        <f>VLOOKUP(C:C,Courts!B:D,3,FALSE)</f>
        <v>0</v>
      </c>
      <c r="H396" s="19">
        <f>VLOOKUP(C:C,Courts!B:F,5,FALSE)</f>
        <v>10</v>
      </c>
      <c r="I396" s="18" t="s">
        <v>11</v>
      </c>
      <c r="J396" s="19">
        <f>VLOOKUP(C:C,TooliD!B:T,19,FALSE)</f>
        <v>80</v>
      </c>
      <c r="K396" s="18">
        <f>VLOOKUP(C:C,TooliD!B:S,18,FALSE)</f>
        <v>88</v>
      </c>
      <c r="L396" s="19">
        <f t="shared" si="75"/>
        <v>8</v>
      </c>
      <c r="M396" s="19" t="str">
        <f t="shared" si="66"/>
        <v>Surplus</v>
      </c>
      <c r="N396" s="18"/>
    </row>
    <row r="397" spans="1:14" x14ac:dyDescent="0.25">
      <c r="A397" s="19" t="s">
        <v>157</v>
      </c>
      <c r="B397" s="18" t="s">
        <v>94</v>
      </c>
      <c r="C397" s="18" t="s">
        <v>94</v>
      </c>
      <c r="D397" s="18" t="s">
        <v>237</v>
      </c>
      <c r="E397" s="19">
        <f>VLOOKUP(C:C,Courts!B:C,2,FALSE)</f>
        <v>10</v>
      </c>
      <c r="F397" s="19">
        <f>VLOOKUP(C:C,Courts!B:E,4,FALSE)</f>
        <v>0</v>
      </c>
      <c r="G397" s="19">
        <f>VLOOKUP(C:C,Courts!B:D,3,FALSE)</f>
        <v>0</v>
      </c>
      <c r="H397" s="19">
        <f>VLOOKUP(C:C,Courts!B:F,5,FALSE)</f>
        <v>10</v>
      </c>
      <c r="I397" s="18" t="s">
        <v>212</v>
      </c>
      <c r="J397" s="19">
        <f>VLOOKUP(C:C,TooliD!B:W,22,FALSE)</f>
        <v>10</v>
      </c>
      <c r="K397" s="18">
        <f>VLOOKUP(C:C,TooliD!B:V,21,FALSE)</f>
        <v>12</v>
      </c>
      <c r="L397" s="19">
        <f t="shared" si="75"/>
        <v>2</v>
      </c>
      <c r="M397" s="19" t="str">
        <f t="shared" si="66"/>
        <v>Surplus</v>
      </c>
      <c r="N397" s="18"/>
    </row>
    <row r="398" spans="1:14" x14ac:dyDescent="0.25">
      <c r="A398" s="19" t="s">
        <v>157</v>
      </c>
      <c r="B398" s="18" t="s">
        <v>94</v>
      </c>
      <c r="C398" s="18" t="s">
        <v>95</v>
      </c>
      <c r="D398" s="18" t="s">
        <v>238</v>
      </c>
      <c r="E398" s="19">
        <f>VLOOKUP(C:C,Courts!B:C,2,FALSE)</f>
        <v>6</v>
      </c>
      <c r="F398" s="19">
        <f>VLOOKUP(C:C,Courts!B:E,4,FALSE)</f>
        <v>1</v>
      </c>
      <c r="G398" s="19">
        <f>VLOOKUP(C:C,Courts!B:D,3,FALSE)</f>
        <v>0</v>
      </c>
      <c r="H398" s="19">
        <f>VLOOKUP(C:C,Courts!B:F,5,FALSE)</f>
        <v>7</v>
      </c>
      <c r="I398" s="18" t="s">
        <v>7</v>
      </c>
      <c r="J398" s="19">
        <f>VLOOKUP(C:C,TooliD!B:H,7,FALSE)</f>
        <v>7</v>
      </c>
      <c r="K398" s="19">
        <f>VLOOKUP(C:C,TooliD!B:G,6,FALSE)</f>
        <v>7</v>
      </c>
      <c r="L398" s="19">
        <f>K398-J398</f>
        <v>0</v>
      </c>
      <c r="M398" s="19" t="str">
        <f>IF(L398=0,"OK", IF(L398&gt;0,"Surplus","Shortfall"))</f>
        <v>OK</v>
      </c>
      <c r="N398" s="18"/>
    </row>
    <row r="399" spans="1:14" x14ac:dyDescent="0.25">
      <c r="A399" s="19" t="s">
        <v>157</v>
      </c>
      <c r="B399" s="18" t="s">
        <v>94</v>
      </c>
      <c r="C399" s="18" t="s">
        <v>95</v>
      </c>
      <c r="D399" s="18" t="s">
        <v>238</v>
      </c>
      <c r="E399" s="19">
        <f>VLOOKUP(C:C,Courts!B:C,2,FALSE)</f>
        <v>6</v>
      </c>
      <c r="F399" s="19">
        <f>VLOOKUP(C:C,Courts!B:E,4,FALSE)</f>
        <v>1</v>
      </c>
      <c r="G399" s="19">
        <f>VLOOKUP(C:C,Courts!B:D,3,FALSE)</f>
        <v>0</v>
      </c>
      <c r="H399" s="19">
        <f>VLOOKUP(C:C,Courts!B:F,5,FALSE)</f>
        <v>7</v>
      </c>
      <c r="I399" s="18" t="s">
        <v>241</v>
      </c>
      <c r="J399" s="19">
        <f>VLOOKUP(C:C,TooliD!B:K,7,FALSE)</f>
        <v>7</v>
      </c>
      <c r="K399" s="19">
        <f>VLOOKUP(C:C,TooliD!B:J,9,FALSE)</f>
        <v>4</v>
      </c>
      <c r="L399" s="19">
        <f t="shared" ref="L399:L403" si="76">K399-J399</f>
        <v>-3</v>
      </c>
      <c r="M399" s="19" t="str">
        <f t="shared" si="66"/>
        <v>Shortfall</v>
      </c>
      <c r="N399" s="18"/>
    </row>
    <row r="400" spans="1:14" x14ac:dyDescent="0.25">
      <c r="A400" s="19" t="s">
        <v>157</v>
      </c>
      <c r="B400" s="18" t="s">
        <v>94</v>
      </c>
      <c r="C400" s="18" t="s">
        <v>95</v>
      </c>
      <c r="D400" s="18" t="s">
        <v>238</v>
      </c>
      <c r="E400" s="19">
        <f>VLOOKUP(C:C,Courts!B:C,2,FALSE)</f>
        <v>6</v>
      </c>
      <c r="F400" s="19">
        <f>VLOOKUP(C:C,Courts!B:E,4,FALSE)</f>
        <v>1</v>
      </c>
      <c r="G400" s="19">
        <f>VLOOKUP(C:C,Courts!B:D,3,FALSE)</f>
        <v>0</v>
      </c>
      <c r="H400" s="19">
        <f>VLOOKUP(C:C,Courts!B:F,5,FALSE)</f>
        <v>7</v>
      </c>
      <c r="I400" s="18" t="s">
        <v>9</v>
      </c>
      <c r="J400" s="19">
        <f>VLOOKUP(C:C,TooliD!B:N,13,FALSE)</f>
        <v>7</v>
      </c>
      <c r="K400" s="18">
        <f>VLOOKUP(C:C,TooliD!B:M,12,FALSE)</f>
        <v>7</v>
      </c>
      <c r="L400" s="19">
        <f t="shared" si="76"/>
        <v>0</v>
      </c>
      <c r="M400" s="19" t="str">
        <f t="shared" si="66"/>
        <v>OK</v>
      </c>
      <c r="N400" s="18"/>
    </row>
    <row r="401" spans="1:14" x14ac:dyDescent="0.25">
      <c r="A401" s="19" t="s">
        <v>157</v>
      </c>
      <c r="B401" s="18" t="s">
        <v>94</v>
      </c>
      <c r="C401" s="18" t="s">
        <v>95</v>
      </c>
      <c r="D401" s="18" t="s">
        <v>238</v>
      </c>
      <c r="E401" s="19">
        <f>VLOOKUP(C:C,Courts!B:C,2,FALSE)</f>
        <v>6</v>
      </c>
      <c r="F401" s="19">
        <f>VLOOKUP(C:C,Courts!B:E,4,FALSE)</f>
        <v>1</v>
      </c>
      <c r="G401" s="19">
        <f>VLOOKUP(C:C,Courts!B:D,3,FALSE)</f>
        <v>0</v>
      </c>
      <c r="H401" s="19">
        <f>VLOOKUP(C:C,Courts!B:F,5,FALSE)</f>
        <v>7</v>
      </c>
      <c r="I401" s="18" t="s">
        <v>239</v>
      </c>
      <c r="J401" s="19">
        <f>VLOOKUP(C:C,TooliD!B:Q,16,FALSE)</f>
        <v>12</v>
      </c>
      <c r="K401" s="18">
        <f>VLOOKUP(C:C,TooliD!B:P,15,FALSE)</f>
        <v>12</v>
      </c>
      <c r="L401" s="19">
        <f t="shared" si="76"/>
        <v>0</v>
      </c>
      <c r="M401" s="19" t="str">
        <f t="shared" si="66"/>
        <v>OK</v>
      </c>
      <c r="N401" s="18"/>
    </row>
    <row r="402" spans="1:14" x14ac:dyDescent="0.25">
      <c r="A402" s="19" t="s">
        <v>157</v>
      </c>
      <c r="B402" s="18" t="s">
        <v>94</v>
      </c>
      <c r="C402" s="18" t="s">
        <v>95</v>
      </c>
      <c r="D402" s="18" t="s">
        <v>238</v>
      </c>
      <c r="E402" s="19">
        <f>VLOOKUP(C:C,Courts!B:C,2,FALSE)</f>
        <v>6</v>
      </c>
      <c r="F402" s="19">
        <f>VLOOKUP(C:C,Courts!B:E,4,FALSE)</f>
        <v>1</v>
      </c>
      <c r="G402" s="19">
        <f>VLOOKUP(C:C,Courts!B:D,3,FALSE)</f>
        <v>0</v>
      </c>
      <c r="H402" s="19">
        <f>VLOOKUP(C:C,Courts!B:F,5,FALSE)</f>
        <v>7</v>
      </c>
      <c r="I402" s="18" t="s">
        <v>11</v>
      </c>
      <c r="J402" s="19">
        <f>VLOOKUP(C:C,TooliD!B:T,19,FALSE)</f>
        <v>52</v>
      </c>
      <c r="K402" s="18">
        <f>VLOOKUP(C:C,TooliD!B:S,18,FALSE)</f>
        <v>28</v>
      </c>
      <c r="L402" s="19">
        <f t="shared" si="76"/>
        <v>-24</v>
      </c>
      <c r="M402" s="19" t="str">
        <f t="shared" si="66"/>
        <v>Shortfall</v>
      </c>
      <c r="N402" s="18"/>
    </row>
    <row r="403" spans="1:14" x14ac:dyDescent="0.25">
      <c r="A403" s="19" t="s">
        <v>157</v>
      </c>
      <c r="B403" s="18" t="s">
        <v>94</v>
      </c>
      <c r="C403" s="18" t="s">
        <v>95</v>
      </c>
      <c r="D403" s="18" t="s">
        <v>238</v>
      </c>
      <c r="E403" s="19">
        <f>VLOOKUP(C:C,Courts!B:C,2,FALSE)</f>
        <v>6</v>
      </c>
      <c r="F403" s="19">
        <f>VLOOKUP(C:C,Courts!B:E,4,FALSE)</f>
        <v>1</v>
      </c>
      <c r="G403" s="19">
        <f>VLOOKUP(C:C,Courts!B:D,3,FALSE)</f>
        <v>0</v>
      </c>
      <c r="H403" s="19">
        <f>VLOOKUP(C:C,Courts!B:F,5,FALSE)</f>
        <v>7</v>
      </c>
      <c r="I403" s="18" t="s">
        <v>212</v>
      </c>
      <c r="J403" s="19">
        <f>VLOOKUP(C:C,TooliD!B:W,22,FALSE)</f>
        <v>7</v>
      </c>
      <c r="K403" s="18">
        <f>VLOOKUP(C:C,TooliD!B:V,21,FALSE)</f>
        <v>4</v>
      </c>
      <c r="L403" s="19">
        <f t="shared" si="76"/>
        <v>-3</v>
      </c>
      <c r="M403" s="19" t="str">
        <f t="shared" ref="M403" si="77">IF(L403=0,"OK", IF(L403&gt;0,"Surplus","Shortfall"))</f>
        <v>Shortfall</v>
      </c>
      <c r="N403" s="18"/>
    </row>
    <row r="404" spans="1:14" x14ac:dyDescent="0.25">
      <c r="A404" s="19" t="s">
        <v>157</v>
      </c>
      <c r="B404" s="18" t="s">
        <v>94</v>
      </c>
      <c r="C404" s="18" t="s">
        <v>96</v>
      </c>
      <c r="D404" s="18" t="s">
        <v>238</v>
      </c>
      <c r="E404" s="19">
        <f>VLOOKUP(C:C,Courts!B:C,2,FALSE)</f>
        <v>2</v>
      </c>
      <c r="F404" s="19">
        <f>VLOOKUP(C:C,Courts!B:E,4,FALSE)</f>
        <v>1</v>
      </c>
      <c r="G404" s="19">
        <f>VLOOKUP(C:C,Courts!B:D,3,FALSE)</f>
        <v>0</v>
      </c>
      <c r="H404" s="19">
        <f>VLOOKUP(C:C,Courts!B:F,5,FALSE)</f>
        <v>3</v>
      </c>
      <c r="I404" s="18" t="s">
        <v>7</v>
      </c>
      <c r="J404" s="19">
        <f>VLOOKUP(C:C,TooliD!B:H,7,FALSE)</f>
        <v>3</v>
      </c>
      <c r="K404" s="19">
        <f>VLOOKUP(C:C,TooliD!B:G,6,FALSE)</f>
        <v>3</v>
      </c>
      <c r="L404" s="19">
        <f>K404-J404</f>
        <v>0</v>
      </c>
      <c r="M404" s="19" t="str">
        <f>IF(L404=0,"OK", IF(L404&gt;0,"Surplus","Shortfall"))</f>
        <v>OK</v>
      </c>
      <c r="N404" s="18"/>
    </row>
    <row r="405" spans="1:14" x14ac:dyDescent="0.25">
      <c r="A405" s="19" t="s">
        <v>157</v>
      </c>
      <c r="B405" s="18" t="s">
        <v>94</v>
      </c>
      <c r="C405" s="18" t="s">
        <v>96</v>
      </c>
      <c r="D405" s="18" t="s">
        <v>238</v>
      </c>
      <c r="E405" s="19">
        <f>VLOOKUP(C:C,Courts!B:C,2,FALSE)</f>
        <v>2</v>
      </c>
      <c r="F405" s="19">
        <f>VLOOKUP(C:C,Courts!B:E,4,FALSE)</f>
        <v>1</v>
      </c>
      <c r="G405" s="19">
        <f>VLOOKUP(C:C,Courts!B:D,3,FALSE)</f>
        <v>0</v>
      </c>
      <c r="H405" s="19">
        <f>VLOOKUP(C:C,Courts!B:F,5,FALSE)</f>
        <v>3</v>
      </c>
      <c r="I405" s="18" t="s">
        <v>241</v>
      </c>
      <c r="J405" s="19">
        <f>VLOOKUP(C:C,TooliD!B:K,7,FALSE)</f>
        <v>3</v>
      </c>
      <c r="K405" s="19">
        <f>VLOOKUP(C:C,TooliD!B:J,9,FALSE)</f>
        <v>2</v>
      </c>
      <c r="L405" s="19">
        <f t="shared" ref="L405:L409" si="78">K405-J405</f>
        <v>-1</v>
      </c>
      <c r="M405" s="19" t="str">
        <f t="shared" ref="M405:M468" si="79">IF(L405=0,"OK", IF(L405&gt;0,"Surplus","Shortfall"))</f>
        <v>Shortfall</v>
      </c>
      <c r="N405" s="18"/>
    </row>
    <row r="406" spans="1:14" x14ac:dyDescent="0.25">
      <c r="A406" s="19" t="s">
        <v>157</v>
      </c>
      <c r="B406" s="18" t="s">
        <v>94</v>
      </c>
      <c r="C406" s="18" t="s">
        <v>96</v>
      </c>
      <c r="D406" s="18" t="s">
        <v>238</v>
      </c>
      <c r="E406" s="19">
        <f>VLOOKUP(C:C,Courts!B:C,2,FALSE)</f>
        <v>2</v>
      </c>
      <c r="F406" s="19">
        <f>VLOOKUP(C:C,Courts!B:E,4,FALSE)</f>
        <v>1</v>
      </c>
      <c r="G406" s="19">
        <f>VLOOKUP(C:C,Courts!B:D,3,FALSE)</f>
        <v>0</v>
      </c>
      <c r="H406" s="19">
        <f>VLOOKUP(C:C,Courts!B:F,5,FALSE)</f>
        <v>3</v>
      </c>
      <c r="I406" s="18" t="s">
        <v>9</v>
      </c>
      <c r="J406" s="19">
        <f>VLOOKUP(C:C,TooliD!B:N,13,FALSE)</f>
        <v>3</v>
      </c>
      <c r="K406" s="18">
        <f>VLOOKUP(C:C,TooliD!B:M,12,FALSE)</f>
        <v>3</v>
      </c>
      <c r="L406" s="19">
        <f t="shared" si="78"/>
        <v>0</v>
      </c>
      <c r="M406" s="19" t="str">
        <f t="shared" si="79"/>
        <v>OK</v>
      </c>
      <c r="N406" s="18"/>
    </row>
    <row r="407" spans="1:14" x14ac:dyDescent="0.25">
      <c r="A407" s="19" t="s">
        <v>157</v>
      </c>
      <c r="B407" s="18" t="s">
        <v>94</v>
      </c>
      <c r="C407" s="18" t="s">
        <v>96</v>
      </c>
      <c r="D407" s="18" t="s">
        <v>238</v>
      </c>
      <c r="E407" s="19">
        <f>VLOOKUP(C:C,Courts!B:C,2,FALSE)</f>
        <v>2</v>
      </c>
      <c r="F407" s="19">
        <f>VLOOKUP(C:C,Courts!B:E,4,FALSE)</f>
        <v>1</v>
      </c>
      <c r="G407" s="19">
        <f>VLOOKUP(C:C,Courts!B:D,3,FALSE)</f>
        <v>0</v>
      </c>
      <c r="H407" s="19">
        <f>VLOOKUP(C:C,Courts!B:F,5,FALSE)</f>
        <v>3</v>
      </c>
      <c r="I407" s="18" t="s">
        <v>239</v>
      </c>
      <c r="J407" s="19">
        <f>VLOOKUP(C:C,TooliD!B:Q,16,FALSE)</f>
        <v>4</v>
      </c>
      <c r="K407" s="18">
        <f>VLOOKUP(C:C,TooliD!B:P,15,FALSE)</f>
        <v>4</v>
      </c>
      <c r="L407" s="19">
        <f t="shared" si="78"/>
        <v>0</v>
      </c>
      <c r="M407" s="19" t="str">
        <f t="shared" si="79"/>
        <v>OK</v>
      </c>
      <c r="N407" s="18"/>
    </row>
    <row r="408" spans="1:14" x14ac:dyDescent="0.25">
      <c r="A408" s="19" t="s">
        <v>157</v>
      </c>
      <c r="B408" s="18" t="s">
        <v>94</v>
      </c>
      <c r="C408" s="18" t="s">
        <v>96</v>
      </c>
      <c r="D408" s="18" t="s">
        <v>238</v>
      </c>
      <c r="E408" s="19">
        <f>VLOOKUP(C:C,Courts!B:C,2,FALSE)</f>
        <v>2</v>
      </c>
      <c r="F408" s="19">
        <f>VLOOKUP(C:C,Courts!B:E,4,FALSE)</f>
        <v>1</v>
      </c>
      <c r="G408" s="19">
        <f>VLOOKUP(C:C,Courts!B:D,3,FALSE)</f>
        <v>0</v>
      </c>
      <c r="H408" s="19">
        <f>VLOOKUP(C:C,Courts!B:F,5,FALSE)</f>
        <v>3</v>
      </c>
      <c r="I408" s="18" t="s">
        <v>11</v>
      </c>
      <c r="J408" s="19">
        <f>VLOOKUP(C:C,TooliD!B:T,19,FALSE)</f>
        <v>20</v>
      </c>
      <c r="K408" s="18">
        <f>VLOOKUP(C:C,TooliD!B:S,18,FALSE)</f>
        <v>14</v>
      </c>
      <c r="L408" s="19">
        <f t="shared" si="78"/>
        <v>-6</v>
      </c>
      <c r="M408" s="19" t="str">
        <f t="shared" si="79"/>
        <v>Shortfall</v>
      </c>
      <c r="N408" s="18"/>
    </row>
    <row r="409" spans="1:14" x14ac:dyDescent="0.25">
      <c r="A409" s="19" t="s">
        <v>157</v>
      </c>
      <c r="B409" s="18" t="s">
        <v>94</v>
      </c>
      <c r="C409" s="18" t="s">
        <v>96</v>
      </c>
      <c r="D409" s="18" t="s">
        <v>238</v>
      </c>
      <c r="E409" s="19">
        <f>VLOOKUP(C:C,Courts!B:C,2,FALSE)</f>
        <v>2</v>
      </c>
      <c r="F409" s="19">
        <f>VLOOKUP(C:C,Courts!B:E,4,FALSE)</f>
        <v>1</v>
      </c>
      <c r="G409" s="19">
        <f>VLOOKUP(C:C,Courts!B:D,3,FALSE)</f>
        <v>0</v>
      </c>
      <c r="H409" s="19">
        <f>VLOOKUP(C:C,Courts!B:F,5,FALSE)</f>
        <v>3</v>
      </c>
      <c r="I409" s="18" t="s">
        <v>212</v>
      </c>
      <c r="J409" s="19">
        <f>VLOOKUP(C:C,TooliD!B:W,22,FALSE)</f>
        <v>3</v>
      </c>
      <c r="K409" s="18">
        <f>VLOOKUP(C:C,TooliD!B:V,21,FALSE)</f>
        <v>2</v>
      </c>
      <c r="L409" s="19">
        <f t="shared" si="78"/>
        <v>-1</v>
      </c>
      <c r="M409" s="19" t="str">
        <f t="shared" si="79"/>
        <v>Shortfall</v>
      </c>
      <c r="N409" s="18"/>
    </row>
    <row r="410" spans="1:14" x14ac:dyDescent="0.25">
      <c r="A410" s="18" t="s">
        <v>97</v>
      </c>
      <c r="B410" s="18" t="s">
        <v>97</v>
      </c>
      <c r="C410" s="18" t="s">
        <v>97</v>
      </c>
      <c r="D410" s="18" t="s">
        <v>237</v>
      </c>
      <c r="E410" s="19">
        <f>VLOOKUP(C:C,Courts!B:C,2,FALSE)</f>
        <v>28</v>
      </c>
      <c r="F410" s="19">
        <f>VLOOKUP(C:C,Courts!B:E,4,FALSE)</f>
        <v>0</v>
      </c>
      <c r="G410" s="19">
        <f>VLOOKUP(C:C,Courts!B:D,3,FALSE)</f>
        <v>0</v>
      </c>
      <c r="H410" s="19">
        <f>VLOOKUP(C:C,Courts!B:F,5,FALSE)</f>
        <v>28</v>
      </c>
      <c r="I410" s="18" t="s">
        <v>7</v>
      </c>
      <c r="J410" s="19">
        <f>VLOOKUP(C:C,TooliD!B:H,7,FALSE)</f>
        <v>28</v>
      </c>
      <c r="K410" s="19">
        <f>VLOOKUP(C:C,TooliD!B:G,6,FALSE)</f>
        <v>36</v>
      </c>
      <c r="L410" s="19">
        <f>K410-J410</f>
        <v>8</v>
      </c>
      <c r="M410" s="19" t="str">
        <f>IF(L410=0,"OK", IF(L410&gt;0,"Surplus","Shortfall"))</f>
        <v>Surplus</v>
      </c>
      <c r="N410" s="18"/>
    </row>
    <row r="411" spans="1:14" x14ac:dyDescent="0.25">
      <c r="A411" s="18" t="s">
        <v>97</v>
      </c>
      <c r="B411" s="18" t="s">
        <v>97</v>
      </c>
      <c r="C411" s="18" t="s">
        <v>97</v>
      </c>
      <c r="D411" s="18" t="s">
        <v>237</v>
      </c>
      <c r="E411" s="19">
        <f>VLOOKUP(C:C,Courts!B:C,2,FALSE)</f>
        <v>28</v>
      </c>
      <c r="F411" s="19">
        <f>VLOOKUP(C:C,Courts!B:E,4,FALSE)</f>
        <v>0</v>
      </c>
      <c r="G411" s="19">
        <f>VLOOKUP(C:C,Courts!B:D,3,FALSE)</f>
        <v>0</v>
      </c>
      <c r="H411" s="19">
        <f>VLOOKUP(C:C,Courts!B:F,5,FALSE)</f>
        <v>28</v>
      </c>
      <c r="I411" s="18" t="s">
        <v>241</v>
      </c>
      <c r="J411" s="19">
        <f>VLOOKUP(C:C,TooliD!B:K,7,FALSE)</f>
        <v>28</v>
      </c>
      <c r="K411" s="19">
        <f>VLOOKUP(C:C,TooliD!B:J,9,FALSE)</f>
        <v>31</v>
      </c>
      <c r="L411" s="19">
        <f t="shared" ref="L411:L415" si="80">K411-J411</f>
        <v>3</v>
      </c>
      <c r="M411" s="19" t="str">
        <f t="shared" si="79"/>
        <v>Surplus</v>
      </c>
      <c r="N411" s="18"/>
    </row>
    <row r="412" spans="1:14" x14ac:dyDescent="0.25">
      <c r="A412" s="18" t="s">
        <v>97</v>
      </c>
      <c r="B412" s="18" t="s">
        <v>97</v>
      </c>
      <c r="C412" s="18" t="s">
        <v>97</v>
      </c>
      <c r="D412" s="18" t="s">
        <v>237</v>
      </c>
      <c r="E412" s="19">
        <f>VLOOKUP(C:C,Courts!B:C,2,FALSE)</f>
        <v>28</v>
      </c>
      <c r="F412" s="19">
        <f>VLOOKUP(C:C,Courts!B:E,4,FALSE)</f>
        <v>0</v>
      </c>
      <c r="G412" s="19">
        <f>VLOOKUP(C:C,Courts!B:D,3,FALSE)</f>
        <v>0</v>
      </c>
      <c r="H412" s="19">
        <f>VLOOKUP(C:C,Courts!B:F,5,FALSE)</f>
        <v>28</v>
      </c>
      <c r="I412" s="18" t="s">
        <v>9</v>
      </c>
      <c r="J412" s="19">
        <f>VLOOKUP(C:C,TooliD!B:N,13,FALSE)</f>
        <v>28</v>
      </c>
      <c r="K412" s="18">
        <f>VLOOKUP(C:C,TooliD!B:M,12,FALSE)</f>
        <v>31</v>
      </c>
      <c r="L412" s="19">
        <f t="shared" si="80"/>
        <v>3</v>
      </c>
      <c r="M412" s="19" t="str">
        <f t="shared" si="79"/>
        <v>Surplus</v>
      </c>
      <c r="N412" s="18"/>
    </row>
    <row r="413" spans="1:14" x14ac:dyDescent="0.25">
      <c r="A413" s="18" t="s">
        <v>97</v>
      </c>
      <c r="B413" s="18" t="s">
        <v>97</v>
      </c>
      <c r="C413" s="18" t="s">
        <v>97</v>
      </c>
      <c r="D413" s="18" t="s">
        <v>237</v>
      </c>
      <c r="E413" s="19">
        <f>VLOOKUP(C:C,Courts!B:C,2,FALSE)</f>
        <v>28</v>
      </c>
      <c r="F413" s="19">
        <f>VLOOKUP(C:C,Courts!B:E,4,FALSE)</f>
        <v>0</v>
      </c>
      <c r="G413" s="19">
        <f>VLOOKUP(C:C,Courts!B:D,3,FALSE)</f>
        <v>0</v>
      </c>
      <c r="H413" s="19">
        <f>VLOOKUP(C:C,Courts!B:F,5,FALSE)</f>
        <v>28</v>
      </c>
      <c r="I413" s="18" t="s">
        <v>239</v>
      </c>
      <c r="J413" s="19">
        <f>VLOOKUP(C:C,TooliD!B:Q,16,FALSE)</f>
        <v>56</v>
      </c>
      <c r="K413" s="18">
        <f>VLOOKUP(C:C,TooliD!B:P,15,FALSE)</f>
        <v>65</v>
      </c>
      <c r="L413" s="19">
        <f t="shared" si="80"/>
        <v>9</v>
      </c>
      <c r="M413" s="19" t="str">
        <f t="shared" si="79"/>
        <v>Surplus</v>
      </c>
      <c r="N413" s="18"/>
    </row>
    <row r="414" spans="1:14" x14ac:dyDescent="0.25">
      <c r="A414" s="18" t="s">
        <v>97</v>
      </c>
      <c r="B414" s="18" t="s">
        <v>97</v>
      </c>
      <c r="C414" s="18" t="s">
        <v>97</v>
      </c>
      <c r="D414" s="18" t="s">
        <v>237</v>
      </c>
      <c r="E414" s="19">
        <f>VLOOKUP(C:C,Courts!B:C,2,FALSE)</f>
        <v>28</v>
      </c>
      <c r="F414" s="19">
        <f>VLOOKUP(C:C,Courts!B:E,4,FALSE)</f>
        <v>0</v>
      </c>
      <c r="G414" s="19">
        <f>VLOOKUP(C:C,Courts!B:D,3,FALSE)</f>
        <v>0</v>
      </c>
      <c r="H414" s="19">
        <f>VLOOKUP(C:C,Courts!B:F,5,FALSE)</f>
        <v>28</v>
      </c>
      <c r="I414" s="18" t="s">
        <v>11</v>
      </c>
      <c r="J414" s="19">
        <f>VLOOKUP(C:C,TooliD!B:T,19,FALSE)</f>
        <v>224</v>
      </c>
      <c r="K414" s="18">
        <f>VLOOKUP(C:C,TooliD!B:S,18,FALSE)</f>
        <v>240</v>
      </c>
      <c r="L414" s="19">
        <f t="shared" si="80"/>
        <v>16</v>
      </c>
      <c r="M414" s="19" t="str">
        <f t="shared" si="79"/>
        <v>Surplus</v>
      </c>
      <c r="N414" s="18"/>
    </row>
    <row r="415" spans="1:14" x14ac:dyDescent="0.25">
      <c r="A415" s="18" t="s">
        <v>97</v>
      </c>
      <c r="B415" s="18" t="s">
        <v>97</v>
      </c>
      <c r="C415" s="18" t="s">
        <v>97</v>
      </c>
      <c r="D415" s="18" t="s">
        <v>237</v>
      </c>
      <c r="E415" s="19">
        <f>VLOOKUP(C:C,Courts!B:C,2,FALSE)</f>
        <v>28</v>
      </c>
      <c r="F415" s="19">
        <f>VLOOKUP(C:C,Courts!B:E,4,FALSE)</f>
        <v>0</v>
      </c>
      <c r="G415" s="19">
        <f>VLOOKUP(C:C,Courts!B:D,3,FALSE)</f>
        <v>0</v>
      </c>
      <c r="H415" s="19">
        <f>VLOOKUP(C:C,Courts!B:F,5,FALSE)</f>
        <v>28</v>
      </c>
      <c r="I415" s="18" t="s">
        <v>212</v>
      </c>
      <c r="J415" s="19">
        <f>VLOOKUP(C:C,TooliD!B:W,22,FALSE)</f>
        <v>28</v>
      </c>
      <c r="K415" s="18">
        <f>VLOOKUP(C:C,TooliD!B:V,21,FALSE)</f>
        <v>31</v>
      </c>
      <c r="L415" s="19">
        <f t="shared" si="80"/>
        <v>3</v>
      </c>
      <c r="M415" s="19" t="str">
        <f t="shared" si="79"/>
        <v>Surplus</v>
      </c>
      <c r="N415" s="18"/>
    </row>
    <row r="416" spans="1:14" x14ac:dyDescent="0.25">
      <c r="A416" s="18" t="s">
        <v>158</v>
      </c>
      <c r="B416" s="18" t="s">
        <v>98</v>
      </c>
      <c r="C416" s="18" t="s">
        <v>98</v>
      </c>
      <c r="D416" s="18" t="s">
        <v>237</v>
      </c>
      <c r="E416" s="19">
        <f>VLOOKUP(C:C,Courts!B:C,2,FALSE)</f>
        <v>22</v>
      </c>
      <c r="F416" s="19">
        <f>VLOOKUP(C:C,Courts!B:E,4,FALSE)</f>
        <v>0</v>
      </c>
      <c r="G416" s="19">
        <f>VLOOKUP(C:C,Courts!B:D,3,FALSE)</f>
        <v>5</v>
      </c>
      <c r="H416" s="19">
        <f>VLOOKUP(C:C,Courts!B:F,5,FALSE)</f>
        <v>27</v>
      </c>
      <c r="I416" s="18" t="s">
        <v>7</v>
      </c>
      <c r="J416" s="19">
        <f>VLOOKUP(C:C,TooliD!B:H,7,FALSE)</f>
        <v>27</v>
      </c>
      <c r="K416" s="19">
        <f>VLOOKUP(C:C,TooliD!B:G,6,FALSE)</f>
        <v>26</v>
      </c>
      <c r="L416" s="19">
        <f>K416-J416</f>
        <v>-1</v>
      </c>
      <c r="M416" s="19" t="str">
        <f>IF(L416=0,"OK", IF(L416&gt;0,"Surplus","Shortfall"))</f>
        <v>Shortfall</v>
      </c>
      <c r="N416" s="18"/>
    </row>
    <row r="417" spans="1:14" x14ac:dyDescent="0.25">
      <c r="A417" s="18" t="s">
        <v>158</v>
      </c>
      <c r="B417" s="18" t="s">
        <v>98</v>
      </c>
      <c r="C417" s="18" t="s">
        <v>98</v>
      </c>
      <c r="D417" s="18" t="s">
        <v>237</v>
      </c>
      <c r="E417" s="19">
        <f>VLOOKUP(C:C,Courts!B:C,2,FALSE)</f>
        <v>22</v>
      </c>
      <c r="F417" s="19">
        <f>VLOOKUP(C:C,Courts!B:E,4,FALSE)</f>
        <v>0</v>
      </c>
      <c r="G417" s="19">
        <f>VLOOKUP(C:C,Courts!B:D,3,FALSE)</f>
        <v>5</v>
      </c>
      <c r="H417" s="19">
        <f>VLOOKUP(C:C,Courts!B:F,5,FALSE)</f>
        <v>27</v>
      </c>
      <c r="I417" s="18" t="s">
        <v>241</v>
      </c>
      <c r="J417" s="19">
        <f>VLOOKUP(C:C,TooliD!B:K,7,FALSE)</f>
        <v>27</v>
      </c>
      <c r="K417" s="19">
        <f>VLOOKUP(C:C,TooliD!B:J,9,FALSE)</f>
        <v>18</v>
      </c>
      <c r="L417" s="19">
        <f t="shared" ref="L417:L421" si="81">K417-J417</f>
        <v>-9</v>
      </c>
      <c r="M417" s="19" t="str">
        <f t="shared" si="79"/>
        <v>Shortfall</v>
      </c>
      <c r="N417" s="18"/>
    </row>
    <row r="418" spans="1:14" x14ac:dyDescent="0.25">
      <c r="A418" s="18" t="s">
        <v>158</v>
      </c>
      <c r="B418" s="18" t="s">
        <v>98</v>
      </c>
      <c r="C418" s="18" t="s">
        <v>98</v>
      </c>
      <c r="D418" s="18" t="s">
        <v>237</v>
      </c>
      <c r="E418" s="19">
        <f>VLOOKUP(C:C,Courts!B:C,2,FALSE)</f>
        <v>22</v>
      </c>
      <c r="F418" s="19">
        <f>VLOOKUP(C:C,Courts!B:E,4,FALSE)</f>
        <v>0</v>
      </c>
      <c r="G418" s="19">
        <f>VLOOKUP(C:C,Courts!B:D,3,FALSE)</f>
        <v>5</v>
      </c>
      <c r="H418" s="19">
        <f>VLOOKUP(C:C,Courts!B:F,5,FALSE)</f>
        <v>27</v>
      </c>
      <c r="I418" s="18" t="s">
        <v>9</v>
      </c>
      <c r="J418" s="19">
        <f>VLOOKUP(C:C,TooliD!B:N,13,FALSE)</f>
        <v>27</v>
      </c>
      <c r="K418" s="18">
        <f>VLOOKUP(C:C,TooliD!B:M,12,FALSE)</f>
        <v>24</v>
      </c>
      <c r="L418" s="19">
        <f t="shared" si="81"/>
        <v>-3</v>
      </c>
      <c r="M418" s="19" t="str">
        <f t="shared" si="79"/>
        <v>Shortfall</v>
      </c>
      <c r="N418" s="18"/>
    </row>
    <row r="419" spans="1:14" x14ac:dyDescent="0.25">
      <c r="A419" s="18" t="s">
        <v>158</v>
      </c>
      <c r="B419" s="18" t="s">
        <v>98</v>
      </c>
      <c r="C419" s="18" t="s">
        <v>98</v>
      </c>
      <c r="D419" s="18" t="s">
        <v>237</v>
      </c>
      <c r="E419" s="19">
        <f>VLOOKUP(C:C,Courts!B:C,2,FALSE)</f>
        <v>22</v>
      </c>
      <c r="F419" s="19">
        <f>VLOOKUP(C:C,Courts!B:E,4,FALSE)</f>
        <v>0</v>
      </c>
      <c r="G419" s="19">
        <f>VLOOKUP(C:C,Courts!B:D,3,FALSE)</f>
        <v>5</v>
      </c>
      <c r="H419" s="19">
        <f>VLOOKUP(C:C,Courts!B:F,5,FALSE)</f>
        <v>27</v>
      </c>
      <c r="I419" s="18" t="s">
        <v>239</v>
      </c>
      <c r="J419" s="19">
        <f>VLOOKUP(C:C,TooliD!B:Q,16,FALSE)</f>
        <v>54</v>
      </c>
      <c r="K419" s="18">
        <f>VLOOKUP(C:C,TooliD!B:P,15,FALSE)</f>
        <v>41</v>
      </c>
      <c r="L419" s="19">
        <f t="shared" si="81"/>
        <v>-13</v>
      </c>
      <c r="M419" s="19" t="str">
        <f t="shared" si="79"/>
        <v>Shortfall</v>
      </c>
      <c r="N419" s="18"/>
    </row>
    <row r="420" spans="1:14" x14ac:dyDescent="0.25">
      <c r="A420" s="18" t="s">
        <v>158</v>
      </c>
      <c r="B420" s="18" t="s">
        <v>98</v>
      </c>
      <c r="C420" s="18" t="s">
        <v>98</v>
      </c>
      <c r="D420" s="18" t="s">
        <v>237</v>
      </c>
      <c r="E420" s="19">
        <f>VLOOKUP(C:C,Courts!B:C,2,FALSE)</f>
        <v>22</v>
      </c>
      <c r="F420" s="19">
        <f>VLOOKUP(C:C,Courts!B:E,4,FALSE)</f>
        <v>0</v>
      </c>
      <c r="G420" s="19">
        <f>VLOOKUP(C:C,Courts!B:D,3,FALSE)</f>
        <v>5</v>
      </c>
      <c r="H420" s="19">
        <f>VLOOKUP(C:C,Courts!B:F,5,FALSE)</f>
        <v>27</v>
      </c>
      <c r="I420" s="18" t="s">
        <v>11</v>
      </c>
      <c r="J420" s="19">
        <f>VLOOKUP(C:C,TooliD!B:T,19,FALSE)</f>
        <v>216</v>
      </c>
      <c r="K420" s="18">
        <f>VLOOKUP(C:C,TooliD!B:S,18,FALSE)</f>
        <v>184</v>
      </c>
      <c r="L420" s="19">
        <f t="shared" si="81"/>
        <v>-32</v>
      </c>
      <c r="M420" s="19" t="str">
        <f t="shared" si="79"/>
        <v>Shortfall</v>
      </c>
      <c r="N420" s="18"/>
    </row>
    <row r="421" spans="1:14" x14ac:dyDescent="0.25">
      <c r="A421" s="18" t="s">
        <v>158</v>
      </c>
      <c r="B421" s="18" t="s">
        <v>98</v>
      </c>
      <c r="C421" s="18" t="s">
        <v>98</v>
      </c>
      <c r="D421" s="18" t="s">
        <v>237</v>
      </c>
      <c r="E421" s="19">
        <f>VLOOKUP(C:C,Courts!B:C,2,FALSE)</f>
        <v>22</v>
      </c>
      <c r="F421" s="19">
        <f>VLOOKUP(C:C,Courts!B:E,4,FALSE)</f>
        <v>0</v>
      </c>
      <c r="G421" s="19">
        <f>VLOOKUP(C:C,Courts!B:D,3,FALSE)</f>
        <v>5</v>
      </c>
      <c r="H421" s="19">
        <f>VLOOKUP(C:C,Courts!B:F,5,FALSE)</f>
        <v>27</v>
      </c>
      <c r="I421" s="18" t="s">
        <v>212</v>
      </c>
      <c r="J421" s="19">
        <f>VLOOKUP(C:C,TooliD!B:W,22,FALSE)</f>
        <v>27</v>
      </c>
      <c r="K421" s="18">
        <f>VLOOKUP(C:C,TooliD!B:V,21,FALSE)</f>
        <v>26</v>
      </c>
      <c r="L421" s="19">
        <f t="shared" si="81"/>
        <v>-1</v>
      </c>
      <c r="M421" s="19" t="str">
        <f t="shared" si="79"/>
        <v>Shortfall</v>
      </c>
      <c r="N421" s="18"/>
    </row>
    <row r="422" spans="1:14" x14ac:dyDescent="0.25">
      <c r="A422" s="18" t="s">
        <v>158</v>
      </c>
      <c r="B422" s="18" t="s">
        <v>98</v>
      </c>
      <c r="C422" s="18" t="s">
        <v>99</v>
      </c>
      <c r="D422" s="18" t="s">
        <v>238</v>
      </c>
      <c r="E422" s="19">
        <f>VLOOKUP(C:C,Courts!B:C,2,FALSE)</f>
        <v>2</v>
      </c>
      <c r="F422" s="19">
        <f>VLOOKUP(C:C,Courts!B:E,4,FALSE)</f>
        <v>1</v>
      </c>
      <c r="G422" s="19">
        <f>VLOOKUP(C:C,Courts!B:D,3,FALSE)</f>
        <v>1</v>
      </c>
      <c r="H422" s="19">
        <f>VLOOKUP(C:C,Courts!B:F,5,FALSE)</f>
        <v>4</v>
      </c>
      <c r="I422" s="18" t="s">
        <v>7</v>
      </c>
      <c r="J422" s="19">
        <f>VLOOKUP(C:C,TooliD!B:H,7,FALSE)</f>
        <v>4</v>
      </c>
      <c r="K422" s="19">
        <f>VLOOKUP(C:C,TooliD!B:G,6,FALSE)</f>
        <v>3</v>
      </c>
      <c r="L422" s="19">
        <f>K422-J422</f>
        <v>-1</v>
      </c>
      <c r="M422" s="19" t="str">
        <f>IF(L422=0,"OK", IF(L422&gt;0,"Surplus","Shortfall"))</f>
        <v>Shortfall</v>
      </c>
      <c r="N422" s="18"/>
    </row>
    <row r="423" spans="1:14" x14ac:dyDescent="0.25">
      <c r="A423" s="18" t="s">
        <v>158</v>
      </c>
      <c r="B423" s="18" t="s">
        <v>98</v>
      </c>
      <c r="C423" s="18" t="s">
        <v>99</v>
      </c>
      <c r="D423" s="18" t="s">
        <v>238</v>
      </c>
      <c r="E423" s="19">
        <f>VLOOKUP(C:C,Courts!B:C,2,FALSE)</f>
        <v>2</v>
      </c>
      <c r="F423" s="19">
        <f>VLOOKUP(C:C,Courts!B:E,4,FALSE)</f>
        <v>1</v>
      </c>
      <c r="G423" s="19">
        <f>VLOOKUP(C:C,Courts!B:D,3,FALSE)</f>
        <v>1</v>
      </c>
      <c r="H423" s="19">
        <f>VLOOKUP(C:C,Courts!B:F,5,FALSE)</f>
        <v>4</v>
      </c>
      <c r="I423" s="18" t="s">
        <v>241</v>
      </c>
      <c r="J423" s="19">
        <f>VLOOKUP(C:C,TooliD!B:K,7,FALSE)</f>
        <v>4</v>
      </c>
      <c r="K423" s="19">
        <f>VLOOKUP(C:C,TooliD!B:J,9,FALSE)</f>
        <v>3</v>
      </c>
      <c r="L423" s="19">
        <f t="shared" ref="L423:L427" si="82">K423-J423</f>
        <v>-1</v>
      </c>
      <c r="M423" s="19" t="str">
        <f t="shared" si="79"/>
        <v>Shortfall</v>
      </c>
      <c r="N423" s="18"/>
    </row>
    <row r="424" spans="1:14" x14ac:dyDescent="0.25">
      <c r="A424" s="18" t="s">
        <v>158</v>
      </c>
      <c r="B424" s="18" t="s">
        <v>98</v>
      </c>
      <c r="C424" s="18" t="s">
        <v>99</v>
      </c>
      <c r="D424" s="18" t="s">
        <v>238</v>
      </c>
      <c r="E424" s="19">
        <f>VLOOKUP(C:C,Courts!B:C,2,FALSE)</f>
        <v>2</v>
      </c>
      <c r="F424" s="19">
        <f>VLOOKUP(C:C,Courts!B:E,4,FALSE)</f>
        <v>1</v>
      </c>
      <c r="G424" s="19">
        <f>VLOOKUP(C:C,Courts!B:D,3,FALSE)</f>
        <v>1</v>
      </c>
      <c r="H424" s="19">
        <f>VLOOKUP(C:C,Courts!B:F,5,FALSE)</f>
        <v>4</v>
      </c>
      <c r="I424" s="18" t="s">
        <v>9</v>
      </c>
      <c r="J424" s="19">
        <f>VLOOKUP(C:C,TooliD!B:N,13,FALSE)</f>
        <v>4</v>
      </c>
      <c r="K424" s="18">
        <f>VLOOKUP(C:C,TooliD!B:M,12,FALSE)</f>
        <v>3</v>
      </c>
      <c r="L424" s="19">
        <f t="shared" si="82"/>
        <v>-1</v>
      </c>
      <c r="M424" s="19" t="str">
        <f t="shared" si="79"/>
        <v>Shortfall</v>
      </c>
      <c r="N424" s="18"/>
    </row>
    <row r="425" spans="1:14" x14ac:dyDescent="0.25">
      <c r="A425" s="18" t="s">
        <v>158</v>
      </c>
      <c r="B425" s="18" t="s">
        <v>98</v>
      </c>
      <c r="C425" s="18" t="s">
        <v>99</v>
      </c>
      <c r="D425" s="18" t="s">
        <v>238</v>
      </c>
      <c r="E425" s="19">
        <f>VLOOKUP(C:C,Courts!B:C,2,FALSE)</f>
        <v>2</v>
      </c>
      <c r="F425" s="19">
        <f>VLOOKUP(C:C,Courts!B:E,4,FALSE)</f>
        <v>1</v>
      </c>
      <c r="G425" s="19">
        <f>VLOOKUP(C:C,Courts!B:D,3,FALSE)</f>
        <v>1</v>
      </c>
      <c r="H425" s="19">
        <f>VLOOKUP(C:C,Courts!B:F,5,FALSE)</f>
        <v>4</v>
      </c>
      <c r="I425" s="18" t="s">
        <v>239</v>
      </c>
      <c r="J425" s="19">
        <f>VLOOKUP(C:C,TooliD!B:Q,16,FALSE)</f>
        <v>6</v>
      </c>
      <c r="K425" s="18">
        <f>VLOOKUP(C:C,TooliD!B:P,15,FALSE)</f>
        <v>8</v>
      </c>
      <c r="L425" s="19">
        <f t="shared" si="82"/>
        <v>2</v>
      </c>
      <c r="M425" s="19" t="str">
        <f t="shared" si="79"/>
        <v>Surplus</v>
      </c>
      <c r="N425" s="18"/>
    </row>
    <row r="426" spans="1:14" x14ac:dyDescent="0.25">
      <c r="A426" s="18" t="s">
        <v>158</v>
      </c>
      <c r="B426" s="18" t="s">
        <v>98</v>
      </c>
      <c r="C426" s="18" t="s">
        <v>99</v>
      </c>
      <c r="D426" s="18" t="s">
        <v>238</v>
      </c>
      <c r="E426" s="19">
        <f>VLOOKUP(C:C,Courts!B:C,2,FALSE)</f>
        <v>2</v>
      </c>
      <c r="F426" s="19">
        <f>VLOOKUP(C:C,Courts!B:E,4,FALSE)</f>
        <v>1</v>
      </c>
      <c r="G426" s="19">
        <f>VLOOKUP(C:C,Courts!B:D,3,FALSE)</f>
        <v>1</v>
      </c>
      <c r="H426" s="19">
        <f>VLOOKUP(C:C,Courts!B:F,5,FALSE)</f>
        <v>4</v>
      </c>
      <c r="I426" s="18" t="s">
        <v>11</v>
      </c>
      <c r="J426" s="19">
        <f>VLOOKUP(C:C,TooliD!B:T,19,FALSE)</f>
        <v>28</v>
      </c>
      <c r="K426" s="18">
        <f>VLOOKUP(C:C,TooliD!B:S,18,FALSE)</f>
        <v>25</v>
      </c>
      <c r="L426" s="19">
        <f t="shared" si="82"/>
        <v>-3</v>
      </c>
      <c r="M426" s="19" t="str">
        <f t="shared" si="79"/>
        <v>Shortfall</v>
      </c>
      <c r="N426" s="18"/>
    </row>
    <row r="427" spans="1:14" x14ac:dyDescent="0.25">
      <c r="A427" s="18" t="s">
        <v>158</v>
      </c>
      <c r="B427" s="18" t="s">
        <v>98</v>
      </c>
      <c r="C427" s="18" t="s">
        <v>99</v>
      </c>
      <c r="D427" s="18" t="s">
        <v>238</v>
      </c>
      <c r="E427" s="19">
        <f>VLOOKUP(C:C,Courts!B:C,2,FALSE)</f>
        <v>2</v>
      </c>
      <c r="F427" s="19">
        <f>VLOOKUP(C:C,Courts!B:E,4,FALSE)</f>
        <v>1</v>
      </c>
      <c r="G427" s="19">
        <f>VLOOKUP(C:C,Courts!B:D,3,FALSE)</f>
        <v>1</v>
      </c>
      <c r="H427" s="19">
        <f>VLOOKUP(C:C,Courts!B:F,5,FALSE)</f>
        <v>4</v>
      </c>
      <c r="I427" s="18" t="s">
        <v>212</v>
      </c>
      <c r="J427" s="19">
        <f>VLOOKUP(C:C,TooliD!B:W,22,FALSE)</f>
        <v>4</v>
      </c>
      <c r="K427" s="18">
        <f>VLOOKUP(C:C,TooliD!B:V,21,FALSE)</f>
        <v>3</v>
      </c>
      <c r="L427" s="19">
        <f t="shared" si="82"/>
        <v>-1</v>
      </c>
      <c r="M427" s="19" t="str">
        <f t="shared" si="79"/>
        <v>Shortfall</v>
      </c>
      <c r="N427" s="18"/>
    </row>
    <row r="428" spans="1:14" x14ac:dyDescent="0.25">
      <c r="A428" s="18" t="s">
        <v>158</v>
      </c>
      <c r="B428" s="18" t="s">
        <v>100</v>
      </c>
      <c r="C428" s="18" t="s">
        <v>100</v>
      </c>
      <c r="D428" s="18" t="s">
        <v>237</v>
      </c>
      <c r="E428" s="19">
        <f>VLOOKUP(C:C,Courts!B:C,2,FALSE)</f>
        <v>15</v>
      </c>
      <c r="F428" s="19">
        <f>VLOOKUP(C:C,Courts!B:E,4,FALSE)</f>
        <v>0</v>
      </c>
      <c r="G428" s="19">
        <f>VLOOKUP(C:C,Courts!B:D,3,FALSE)</f>
        <v>3</v>
      </c>
      <c r="H428" s="19">
        <f>VLOOKUP(C:C,Courts!B:F,5,FALSE)</f>
        <v>18</v>
      </c>
      <c r="I428" s="18" t="s">
        <v>7</v>
      </c>
      <c r="J428" s="19">
        <f>VLOOKUP(C:C,TooliD!B:H,7,FALSE)</f>
        <v>18</v>
      </c>
      <c r="K428" s="19">
        <f>VLOOKUP(C:C,TooliD!B:G,6,FALSE)</f>
        <v>18</v>
      </c>
      <c r="L428" s="19">
        <f>K428-J428</f>
        <v>0</v>
      </c>
      <c r="M428" s="19" t="str">
        <f>IF(L428=0,"OK", IF(L428&gt;0,"Surplus","Shortfall"))</f>
        <v>OK</v>
      </c>
      <c r="N428" s="18"/>
    </row>
    <row r="429" spans="1:14" x14ac:dyDescent="0.25">
      <c r="A429" s="18" t="s">
        <v>158</v>
      </c>
      <c r="B429" s="18" t="s">
        <v>100</v>
      </c>
      <c r="C429" s="18" t="s">
        <v>100</v>
      </c>
      <c r="D429" s="18" t="s">
        <v>237</v>
      </c>
      <c r="E429" s="19">
        <f>VLOOKUP(C:C,Courts!B:C,2,FALSE)</f>
        <v>15</v>
      </c>
      <c r="F429" s="19">
        <f>VLOOKUP(C:C,Courts!B:E,4,FALSE)</f>
        <v>0</v>
      </c>
      <c r="G429" s="19">
        <f>VLOOKUP(C:C,Courts!B:D,3,FALSE)</f>
        <v>3</v>
      </c>
      <c r="H429" s="19">
        <f>VLOOKUP(C:C,Courts!B:F,5,FALSE)</f>
        <v>18</v>
      </c>
      <c r="I429" s="18" t="s">
        <v>241</v>
      </c>
      <c r="J429" s="19">
        <f>VLOOKUP(C:C,TooliD!B:K,7,FALSE)</f>
        <v>18</v>
      </c>
      <c r="K429" s="19">
        <f>VLOOKUP(C:C,TooliD!B:J,9,FALSE)</f>
        <v>16</v>
      </c>
      <c r="L429" s="19">
        <f t="shared" ref="L429:L433" si="83">K429-J429</f>
        <v>-2</v>
      </c>
      <c r="M429" s="19" t="str">
        <f t="shared" si="79"/>
        <v>Shortfall</v>
      </c>
      <c r="N429" s="18"/>
    </row>
    <row r="430" spans="1:14" x14ac:dyDescent="0.25">
      <c r="A430" s="18" t="s">
        <v>158</v>
      </c>
      <c r="B430" s="18" t="s">
        <v>100</v>
      </c>
      <c r="C430" s="18" t="s">
        <v>100</v>
      </c>
      <c r="D430" s="18" t="s">
        <v>237</v>
      </c>
      <c r="E430" s="19">
        <f>VLOOKUP(C:C,Courts!B:C,2,FALSE)</f>
        <v>15</v>
      </c>
      <c r="F430" s="19">
        <f>VLOOKUP(C:C,Courts!B:E,4,FALSE)</f>
        <v>0</v>
      </c>
      <c r="G430" s="19">
        <f>VLOOKUP(C:C,Courts!B:D,3,FALSE)</f>
        <v>3</v>
      </c>
      <c r="H430" s="19">
        <f>VLOOKUP(C:C,Courts!B:F,5,FALSE)</f>
        <v>18</v>
      </c>
      <c r="I430" s="18" t="s">
        <v>9</v>
      </c>
      <c r="J430" s="19">
        <f>VLOOKUP(C:C,TooliD!B:N,13,FALSE)</f>
        <v>18</v>
      </c>
      <c r="K430" s="18">
        <f>VLOOKUP(C:C,TooliD!B:M,12,FALSE)</f>
        <v>17</v>
      </c>
      <c r="L430" s="19">
        <f t="shared" si="83"/>
        <v>-1</v>
      </c>
      <c r="M430" s="19" t="str">
        <f t="shared" si="79"/>
        <v>Shortfall</v>
      </c>
      <c r="N430" s="18"/>
    </row>
    <row r="431" spans="1:14" x14ac:dyDescent="0.25">
      <c r="A431" s="18" t="s">
        <v>158</v>
      </c>
      <c r="B431" s="18" t="s">
        <v>100</v>
      </c>
      <c r="C431" s="18" t="s">
        <v>100</v>
      </c>
      <c r="D431" s="18" t="s">
        <v>237</v>
      </c>
      <c r="E431" s="19">
        <f>VLOOKUP(C:C,Courts!B:C,2,FALSE)</f>
        <v>15</v>
      </c>
      <c r="F431" s="19">
        <f>VLOOKUP(C:C,Courts!B:E,4,FALSE)</f>
        <v>0</v>
      </c>
      <c r="G431" s="19">
        <f>VLOOKUP(C:C,Courts!B:D,3,FALSE)</f>
        <v>3</v>
      </c>
      <c r="H431" s="19">
        <f>VLOOKUP(C:C,Courts!B:F,5,FALSE)</f>
        <v>18</v>
      </c>
      <c r="I431" s="18" t="s">
        <v>239</v>
      </c>
      <c r="J431" s="19">
        <f>VLOOKUP(C:C,TooliD!B:Q,16,FALSE)</f>
        <v>36</v>
      </c>
      <c r="K431" s="18">
        <f>VLOOKUP(C:C,TooliD!B:P,15,FALSE)</f>
        <v>32</v>
      </c>
      <c r="L431" s="19">
        <f t="shared" si="83"/>
        <v>-4</v>
      </c>
      <c r="M431" s="19" t="str">
        <f t="shared" si="79"/>
        <v>Shortfall</v>
      </c>
      <c r="N431" s="18"/>
    </row>
    <row r="432" spans="1:14" x14ac:dyDescent="0.25">
      <c r="A432" s="18" t="s">
        <v>158</v>
      </c>
      <c r="B432" s="18" t="s">
        <v>100</v>
      </c>
      <c r="C432" s="18" t="s">
        <v>100</v>
      </c>
      <c r="D432" s="18" t="s">
        <v>237</v>
      </c>
      <c r="E432" s="19">
        <f>VLOOKUP(C:C,Courts!B:C,2,FALSE)</f>
        <v>15</v>
      </c>
      <c r="F432" s="19">
        <f>VLOOKUP(C:C,Courts!B:E,4,FALSE)</f>
        <v>0</v>
      </c>
      <c r="G432" s="19">
        <f>VLOOKUP(C:C,Courts!B:D,3,FALSE)</f>
        <v>3</v>
      </c>
      <c r="H432" s="19">
        <f>VLOOKUP(C:C,Courts!B:F,5,FALSE)</f>
        <v>18</v>
      </c>
      <c r="I432" s="18" t="s">
        <v>11</v>
      </c>
      <c r="J432" s="19">
        <f>VLOOKUP(C:C,TooliD!B:T,19,FALSE)</f>
        <v>144</v>
      </c>
      <c r="K432" s="18">
        <f>VLOOKUP(C:C,TooliD!B:S,18,FALSE)</f>
        <v>120</v>
      </c>
      <c r="L432" s="19">
        <f t="shared" si="83"/>
        <v>-24</v>
      </c>
      <c r="M432" s="19" t="str">
        <f t="shared" si="79"/>
        <v>Shortfall</v>
      </c>
      <c r="N432" s="18"/>
    </row>
    <row r="433" spans="1:14" x14ac:dyDescent="0.25">
      <c r="A433" s="18" t="s">
        <v>158</v>
      </c>
      <c r="B433" s="18" t="s">
        <v>100</v>
      </c>
      <c r="C433" s="18" t="s">
        <v>100</v>
      </c>
      <c r="D433" s="18" t="s">
        <v>237</v>
      </c>
      <c r="E433" s="19">
        <f>VLOOKUP(C:C,Courts!B:C,2,FALSE)</f>
        <v>15</v>
      </c>
      <c r="F433" s="19">
        <f>VLOOKUP(C:C,Courts!B:E,4,FALSE)</f>
        <v>0</v>
      </c>
      <c r="G433" s="19">
        <f>VLOOKUP(C:C,Courts!B:D,3,FALSE)</f>
        <v>3</v>
      </c>
      <c r="H433" s="19">
        <f>VLOOKUP(C:C,Courts!B:F,5,FALSE)</f>
        <v>18</v>
      </c>
      <c r="I433" s="18" t="s">
        <v>212</v>
      </c>
      <c r="J433" s="19">
        <f>VLOOKUP(C:C,TooliD!B:W,22,FALSE)</f>
        <v>18</v>
      </c>
      <c r="K433" s="18">
        <f>VLOOKUP(C:C,TooliD!B:V,21,FALSE)</f>
        <v>17</v>
      </c>
      <c r="L433" s="19">
        <f t="shared" si="83"/>
        <v>-1</v>
      </c>
      <c r="M433" s="19" t="str">
        <f t="shared" si="79"/>
        <v>Shortfall</v>
      </c>
      <c r="N433" s="18"/>
    </row>
    <row r="434" spans="1:14" x14ac:dyDescent="0.25">
      <c r="A434" s="18" t="s">
        <v>158</v>
      </c>
      <c r="B434" s="18" t="s">
        <v>100</v>
      </c>
      <c r="C434" s="18" t="s">
        <v>101</v>
      </c>
      <c r="D434" s="18" t="s">
        <v>238</v>
      </c>
      <c r="E434" s="19">
        <f>VLOOKUP(C:C,Courts!B:C,2,FALSE)</f>
        <v>2</v>
      </c>
      <c r="F434" s="19">
        <f>VLOOKUP(C:C,Courts!B:E,4,FALSE)</f>
        <v>1</v>
      </c>
      <c r="G434" s="19">
        <f>VLOOKUP(C:C,Courts!B:D,3,FALSE)</f>
        <v>0</v>
      </c>
      <c r="H434" s="19">
        <f>VLOOKUP(C:C,Courts!B:F,5,FALSE)</f>
        <v>3</v>
      </c>
      <c r="I434" s="18" t="s">
        <v>7</v>
      </c>
      <c r="J434" s="19">
        <f>VLOOKUP(C:C,TooliD!B:H,7,FALSE)</f>
        <v>3</v>
      </c>
      <c r="K434" s="19">
        <f>VLOOKUP(C:C,TooliD!B:G,6,FALSE)</f>
        <v>3</v>
      </c>
      <c r="L434" s="19">
        <f>K434-J434</f>
        <v>0</v>
      </c>
      <c r="M434" s="19" t="str">
        <f>IF(L434=0,"OK", IF(L434&gt;0,"Surplus","Shortfall"))</f>
        <v>OK</v>
      </c>
      <c r="N434" s="18"/>
    </row>
    <row r="435" spans="1:14" x14ac:dyDescent="0.25">
      <c r="A435" s="18" t="s">
        <v>158</v>
      </c>
      <c r="B435" s="18" t="s">
        <v>100</v>
      </c>
      <c r="C435" s="18" t="s">
        <v>101</v>
      </c>
      <c r="D435" s="18" t="s">
        <v>238</v>
      </c>
      <c r="E435" s="19">
        <f>VLOOKUP(C:C,Courts!B:C,2,FALSE)</f>
        <v>2</v>
      </c>
      <c r="F435" s="19">
        <f>VLOOKUP(C:C,Courts!B:E,4,FALSE)</f>
        <v>1</v>
      </c>
      <c r="G435" s="19">
        <f>VLOOKUP(C:C,Courts!B:D,3,FALSE)</f>
        <v>0</v>
      </c>
      <c r="H435" s="19">
        <f>VLOOKUP(C:C,Courts!B:F,5,FALSE)</f>
        <v>3</v>
      </c>
      <c r="I435" s="18" t="s">
        <v>241</v>
      </c>
      <c r="J435" s="19">
        <f>VLOOKUP(C:C,TooliD!B:K,7,FALSE)</f>
        <v>3</v>
      </c>
      <c r="K435" s="19">
        <f>VLOOKUP(C:C,TooliD!B:J,9,FALSE)</f>
        <v>1</v>
      </c>
      <c r="L435" s="19">
        <f t="shared" ref="L435:L439" si="84">K435-J435</f>
        <v>-2</v>
      </c>
      <c r="M435" s="19" t="str">
        <f t="shared" si="79"/>
        <v>Shortfall</v>
      </c>
      <c r="N435" s="18"/>
    </row>
    <row r="436" spans="1:14" x14ac:dyDescent="0.25">
      <c r="A436" s="18" t="s">
        <v>158</v>
      </c>
      <c r="B436" s="18" t="s">
        <v>100</v>
      </c>
      <c r="C436" s="18" t="s">
        <v>101</v>
      </c>
      <c r="D436" s="18" t="s">
        <v>238</v>
      </c>
      <c r="E436" s="19">
        <f>VLOOKUP(C:C,Courts!B:C,2,FALSE)</f>
        <v>2</v>
      </c>
      <c r="F436" s="19">
        <f>VLOOKUP(C:C,Courts!B:E,4,FALSE)</f>
        <v>1</v>
      </c>
      <c r="G436" s="19">
        <f>VLOOKUP(C:C,Courts!B:D,3,FALSE)</f>
        <v>0</v>
      </c>
      <c r="H436" s="19">
        <f>VLOOKUP(C:C,Courts!B:F,5,FALSE)</f>
        <v>3</v>
      </c>
      <c r="I436" s="18" t="s">
        <v>9</v>
      </c>
      <c r="J436" s="19">
        <f>VLOOKUP(C:C,TooliD!B:N,13,FALSE)</f>
        <v>3</v>
      </c>
      <c r="K436" s="18">
        <f>VLOOKUP(C:C,TooliD!B:M,12,FALSE)</f>
        <v>3</v>
      </c>
      <c r="L436" s="19">
        <f t="shared" si="84"/>
        <v>0</v>
      </c>
      <c r="M436" s="19" t="str">
        <f t="shared" si="79"/>
        <v>OK</v>
      </c>
      <c r="N436" s="18"/>
    </row>
    <row r="437" spans="1:14" x14ac:dyDescent="0.25">
      <c r="A437" s="18" t="s">
        <v>158</v>
      </c>
      <c r="B437" s="18" t="s">
        <v>100</v>
      </c>
      <c r="C437" s="18" t="s">
        <v>101</v>
      </c>
      <c r="D437" s="18" t="s">
        <v>238</v>
      </c>
      <c r="E437" s="19">
        <f>VLOOKUP(C:C,Courts!B:C,2,FALSE)</f>
        <v>2</v>
      </c>
      <c r="F437" s="19">
        <f>VLOOKUP(C:C,Courts!B:E,4,FALSE)</f>
        <v>1</v>
      </c>
      <c r="G437" s="19">
        <f>VLOOKUP(C:C,Courts!B:D,3,FALSE)</f>
        <v>0</v>
      </c>
      <c r="H437" s="19">
        <f>VLOOKUP(C:C,Courts!B:F,5,FALSE)</f>
        <v>3</v>
      </c>
      <c r="I437" s="18" t="s">
        <v>239</v>
      </c>
      <c r="J437" s="19">
        <f>VLOOKUP(C:C,TooliD!B:Q,16,FALSE)</f>
        <v>4</v>
      </c>
      <c r="K437" s="18">
        <f>VLOOKUP(C:C,TooliD!B:P,15,FALSE)</f>
        <v>4</v>
      </c>
      <c r="L437" s="19">
        <f t="shared" si="84"/>
        <v>0</v>
      </c>
      <c r="M437" s="19" t="str">
        <f t="shared" si="79"/>
        <v>OK</v>
      </c>
      <c r="N437" s="18"/>
    </row>
    <row r="438" spans="1:14" x14ac:dyDescent="0.25">
      <c r="A438" s="18" t="s">
        <v>158</v>
      </c>
      <c r="B438" s="18" t="s">
        <v>100</v>
      </c>
      <c r="C438" s="18" t="s">
        <v>101</v>
      </c>
      <c r="D438" s="18" t="s">
        <v>238</v>
      </c>
      <c r="E438" s="19">
        <f>VLOOKUP(C:C,Courts!B:C,2,FALSE)</f>
        <v>2</v>
      </c>
      <c r="F438" s="19">
        <f>VLOOKUP(C:C,Courts!B:E,4,FALSE)</f>
        <v>1</v>
      </c>
      <c r="G438" s="19">
        <f>VLOOKUP(C:C,Courts!B:D,3,FALSE)</f>
        <v>0</v>
      </c>
      <c r="H438" s="19">
        <f>VLOOKUP(C:C,Courts!B:F,5,FALSE)</f>
        <v>3</v>
      </c>
      <c r="I438" s="18" t="s">
        <v>11</v>
      </c>
      <c r="J438" s="19">
        <f>VLOOKUP(C:C,TooliD!B:T,19,FALSE)</f>
        <v>20</v>
      </c>
      <c r="K438" s="18">
        <f>VLOOKUP(C:C,TooliD!B:S,18,FALSE)</f>
        <v>23</v>
      </c>
      <c r="L438" s="19">
        <f t="shared" si="84"/>
        <v>3</v>
      </c>
      <c r="M438" s="19" t="str">
        <f t="shared" si="79"/>
        <v>Surplus</v>
      </c>
      <c r="N438" s="18"/>
    </row>
    <row r="439" spans="1:14" x14ac:dyDescent="0.25">
      <c r="A439" s="18" t="s">
        <v>158</v>
      </c>
      <c r="B439" s="18" t="s">
        <v>100</v>
      </c>
      <c r="C439" s="18" t="s">
        <v>101</v>
      </c>
      <c r="D439" s="18" t="s">
        <v>238</v>
      </c>
      <c r="E439" s="19">
        <f>VLOOKUP(C:C,Courts!B:C,2,FALSE)</f>
        <v>2</v>
      </c>
      <c r="F439" s="19">
        <f>VLOOKUP(C:C,Courts!B:E,4,FALSE)</f>
        <v>1</v>
      </c>
      <c r="G439" s="19">
        <f>VLOOKUP(C:C,Courts!B:D,3,FALSE)</f>
        <v>0</v>
      </c>
      <c r="H439" s="19">
        <f>VLOOKUP(C:C,Courts!B:F,5,FALSE)</f>
        <v>3</v>
      </c>
      <c r="I439" s="18" t="s">
        <v>212</v>
      </c>
      <c r="J439" s="19">
        <f>VLOOKUP(C:C,TooliD!B:W,22,FALSE)</f>
        <v>3</v>
      </c>
      <c r="K439" s="18">
        <f>VLOOKUP(C:C,TooliD!B:V,21,FALSE)</f>
        <v>3</v>
      </c>
      <c r="L439" s="19">
        <f t="shared" si="84"/>
        <v>0</v>
      </c>
      <c r="M439" s="19" t="str">
        <f t="shared" si="79"/>
        <v>OK</v>
      </c>
      <c r="N439" s="18"/>
    </row>
    <row r="440" spans="1:14" x14ac:dyDescent="0.25">
      <c r="A440" s="18" t="s">
        <v>158</v>
      </c>
      <c r="B440" s="18" t="s">
        <v>100</v>
      </c>
      <c r="C440" s="18" t="s">
        <v>102</v>
      </c>
      <c r="D440" s="18" t="s">
        <v>238</v>
      </c>
      <c r="E440" s="19">
        <f>VLOOKUP(C:C,Courts!B:C,2,FALSE)</f>
        <v>1</v>
      </c>
      <c r="F440" s="19">
        <f>VLOOKUP(C:C,Courts!B:E,4,FALSE)</f>
        <v>1</v>
      </c>
      <c r="G440" s="19">
        <f>VLOOKUP(C:C,Courts!B:D,3,FALSE)</f>
        <v>0</v>
      </c>
      <c r="H440" s="19">
        <f>VLOOKUP(C:C,Courts!B:F,5,FALSE)</f>
        <v>2</v>
      </c>
      <c r="I440" s="18" t="s">
        <v>7</v>
      </c>
      <c r="J440" s="19">
        <f>VLOOKUP(C:C,TooliD!B:H,7,FALSE)</f>
        <v>2</v>
      </c>
      <c r="K440" s="19">
        <f>VLOOKUP(C:C,TooliD!B:G,6,FALSE)</f>
        <v>2</v>
      </c>
      <c r="L440" s="19">
        <f>K440-J440</f>
        <v>0</v>
      </c>
      <c r="M440" s="19" t="str">
        <f>IF(L440=0,"OK", IF(L440&gt;0,"Surplus","Shortfall"))</f>
        <v>OK</v>
      </c>
      <c r="N440" s="18"/>
    </row>
    <row r="441" spans="1:14" x14ac:dyDescent="0.25">
      <c r="A441" s="18" t="s">
        <v>158</v>
      </c>
      <c r="B441" s="18" t="s">
        <v>100</v>
      </c>
      <c r="C441" s="18" t="s">
        <v>102</v>
      </c>
      <c r="D441" s="18" t="s">
        <v>238</v>
      </c>
      <c r="E441" s="19">
        <f>VLOOKUP(C:C,Courts!B:C,2,FALSE)</f>
        <v>1</v>
      </c>
      <c r="F441" s="19">
        <f>VLOOKUP(C:C,Courts!B:E,4,FALSE)</f>
        <v>1</v>
      </c>
      <c r="G441" s="19">
        <f>VLOOKUP(C:C,Courts!B:D,3,FALSE)</f>
        <v>0</v>
      </c>
      <c r="H441" s="19">
        <f>VLOOKUP(C:C,Courts!B:F,5,FALSE)</f>
        <v>2</v>
      </c>
      <c r="I441" s="18" t="s">
        <v>241</v>
      </c>
      <c r="J441" s="19">
        <f>VLOOKUP(C:C,TooliD!B:K,7,FALSE)</f>
        <v>2</v>
      </c>
      <c r="K441" s="19">
        <f>VLOOKUP(C:C,TooliD!B:J,9,FALSE)</f>
        <v>1</v>
      </c>
      <c r="L441" s="19">
        <f t="shared" ref="L441:L445" si="85">K441-J441</f>
        <v>-1</v>
      </c>
      <c r="M441" s="19" t="str">
        <f t="shared" si="79"/>
        <v>Shortfall</v>
      </c>
      <c r="N441" s="18"/>
    </row>
    <row r="442" spans="1:14" x14ac:dyDescent="0.25">
      <c r="A442" s="18" t="s">
        <v>158</v>
      </c>
      <c r="B442" s="18" t="s">
        <v>100</v>
      </c>
      <c r="C442" s="18" t="s">
        <v>102</v>
      </c>
      <c r="D442" s="18" t="s">
        <v>238</v>
      </c>
      <c r="E442" s="19">
        <f>VLOOKUP(C:C,Courts!B:C,2,FALSE)</f>
        <v>1</v>
      </c>
      <c r="F442" s="19">
        <f>VLOOKUP(C:C,Courts!B:E,4,FALSE)</f>
        <v>1</v>
      </c>
      <c r="G442" s="19">
        <f>VLOOKUP(C:C,Courts!B:D,3,FALSE)</f>
        <v>0</v>
      </c>
      <c r="H442" s="19">
        <f>VLOOKUP(C:C,Courts!B:F,5,FALSE)</f>
        <v>2</v>
      </c>
      <c r="I442" s="18" t="s">
        <v>9</v>
      </c>
      <c r="J442" s="19">
        <f>VLOOKUP(C:C,TooliD!B:N,13,FALSE)</f>
        <v>2</v>
      </c>
      <c r="K442" s="18">
        <f>VLOOKUP(C:C,TooliD!B:M,12,FALSE)</f>
        <v>2</v>
      </c>
      <c r="L442" s="19">
        <f t="shared" si="85"/>
        <v>0</v>
      </c>
      <c r="M442" s="19" t="str">
        <f t="shared" si="79"/>
        <v>OK</v>
      </c>
      <c r="N442" s="18"/>
    </row>
    <row r="443" spans="1:14" x14ac:dyDescent="0.25">
      <c r="A443" s="18" t="s">
        <v>158</v>
      </c>
      <c r="B443" s="18" t="s">
        <v>100</v>
      </c>
      <c r="C443" s="18" t="s">
        <v>102</v>
      </c>
      <c r="D443" s="18" t="s">
        <v>238</v>
      </c>
      <c r="E443" s="19">
        <f>VLOOKUP(C:C,Courts!B:C,2,FALSE)</f>
        <v>1</v>
      </c>
      <c r="F443" s="19">
        <f>VLOOKUP(C:C,Courts!B:E,4,FALSE)</f>
        <v>1</v>
      </c>
      <c r="G443" s="19">
        <f>VLOOKUP(C:C,Courts!B:D,3,FALSE)</f>
        <v>0</v>
      </c>
      <c r="H443" s="19">
        <f>VLOOKUP(C:C,Courts!B:F,5,FALSE)</f>
        <v>2</v>
      </c>
      <c r="I443" s="18" t="s">
        <v>239</v>
      </c>
      <c r="J443" s="19">
        <f>VLOOKUP(C:C,TooliD!B:Q,16,FALSE)</f>
        <v>2</v>
      </c>
      <c r="K443" s="18">
        <f>VLOOKUP(C:C,TooliD!B:P,15,FALSE)</f>
        <v>2</v>
      </c>
      <c r="L443" s="19">
        <f t="shared" si="85"/>
        <v>0</v>
      </c>
      <c r="M443" s="19" t="str">
        <f t="shared" si="79"/>
        <v>OK</v>
      </c>
      <c r="N443" s="18"/>
    </row>
    <row r="444" spans="1:14" x14ac:dyDescent="0.25">
      <c r="A444" s="18" t="s">
        <v>158</v>
      </c>
      <c r="B444" s="18" t="s">
        <v>100</v>
      </c>
      <c r="C444" s="18" t="s">
        <v>102</v>
      </c>
      <c r="D444" s="18" t="s">
        <v>238</v>
      </c>
      <c r="E444" s="19">
        <f>VLOOKUP(C:C,Courts!B:C,2,FALSE)</f>
        <v>1</v>
      </c>
      <c r="F444" s="19">
        <f>VLOOKUP(C:C,Courts!B:E,4,FALSE)</f>
        <v>1</v>
      </c>
      <c r="G444" s="19">
        <f>VLOOKUP(C:C,Courts!B:D,3,FALSE)</f>
        <v>0</v>
      </c>
      <c r="H444" s="19">
        <f>VLOOKUP(C:C,Courts!B:F,5,FALSE)</f>
        <v>2</v>
      </c>
      <c r="I444" s="18" t="s">
        <v>11</v>
      </c>
      <c r="J444" s="19">
        <f>VLOOKUP(C:C,TooliD!B:T,19,FALSE)</f>
        <v>12</v>
      </c>
      <c r="K444" s="18">
        <f>VLOOKUP(C:C,TooliD!B:S,18,FALSE)</f>
        <v>8</v>
      </c>
      <c r="L444" s="19">
        <f t="shared" si="85"/>
        <v>-4</v>
      </c>
      <c r="M444" s="19" t="str">
        <f t="shared" si="79"/>
        <v>Shortfall</v>
      </c>
      <c r="N444" s="18"/>
    </row>
    <row r="445" spans="1:14" x14ac:dyDescent="0.25">
      <c r="A445" s="18" t="s">
        <v>158</v>
      </c>
      <c r="B445" s="18" t="s">
        <v>100</v>
      </c>
      <c r="C445" s="18" t="s">
        <v>102</v>
      </c>
      <c r="D445" s="18" t="s">
        <v>238</v>
      </c>
      <c r="E445" s="19">
        <f>VLOOKUP(C:C,Courts!B:C,2,FALSE)</f>
        <v>1</v>
      </c>
      <c r="F445" s="19">
        <f>VLOOKUP(C:C,Courts!B:E,4,FALSE)</f>
        <v>1</v>
      </c>
      <c r="G445" s="19">
        <f>VLOOKUP(C:C,Courts!B:D,3,FALSE)</f>
        <v>0</v>
      </c>
      <c r="H445" s="19">
        <f>VLOOKUP(C:C,Courts!B:F,5,FALSE)</f>
        <v>2</v>
      </c>
      <c r="I445" s="18" t="s">
        <v>212</v>
      </c>
      <c r="J445" s="19">
        <f>VLOOKUP(C:C,TooliD!B:W,22,FALSE)</f>
        <v>2</v>
      </c>
      <c r="K445" s="18">
        <f>VLOOKUP(C:C,TooliD!B:V,21,FALSE)</f>
        <v>1</v>
      </c>
      <c r="L445" s="19">
        <f t="shared" si="85"/>
        <v>-1</v>
      </c>
      <c r="M445" s="19" t="str">
        <f t="shared" si="79"/>
        <v>Shortfall</v>
      </c>
      <c r="N445" s="18"/>
    </row>
    <row r="446" spans="1:14" x14ac:dyDescent="0.25">
      <c r="A446" s="18" t="s">
        <v>158</v>
      </c>
      <c r="B446" s="18" t="s">
        <v>100</v>
      </c>
      <c r="C446" s="18" t="s">
        <v>103</v>
      </c>
      <c r="D446" s="18" t="s">
        <v>238</v>
      </c>
      <c r="E446" s="19">
        <f>VLOOKUP(C:C,Courts!B:C,2,FALSE)</f>
        <v>1</v>
      </c>
      <c r="F446" s="19">
        <f>VLOOKUP(C:C,Courts!B:E,4,FALSE)</f>
        <v>1</v>
      </c>
      <c r="G446" s="19">
        <f>VLOOKUP(C:C,Courts!B:D,3,FALSE)</f>
        <v>0</v>
      </c>
      <c r="H446" s="19">
        <f>VLOOKUP(C:C,Courts!B:F,5,FALSE)</f>
        <v>2</v>
      </c>
      <c r="I446" s="18" t="s">
        <v>7</v>
      </c>
      <c r="J446" s="19">
        <f>VLOOKUP(C:C,TooliD!B:H,7,FALSE)</f>
        <v>2</v>
      </c>
      <c r="K446" s="19">
        <f>VLOOKUP(C:C,TooliD!B:G,6,FALSE)</f>
        <v>3</v>
      </c>
      <c r="L446" s="19">
        <f>K446-J446</f>
        <v>1</v>
      </c>
      <c r="M446" s="19" t="str">
        <f>IF(L446=0,"OK", IF(L446&gt;0,"Surplus","Shortfall"))</f>
        <v>Surplus</v>
      </c>
      <c r="N446" s="18"/>
    </row>
    <row r="447" spans="1:14" x14ac:dyDescent="0.25">
      <c r="A447" s="18" t="s">
        <v>158</v>
      </c>
      <c r="B447" s="18" t="s">
        <v>100</v>
      </c>
      <c r="C447" s="18" t="s">
        <v>103</v>
      </c>
      <c r="D447" s="18" t="s">
        <v>238</v>
      </c>
      <c r="E447" s="19">
        <f>VLOOKUP(C:C,Courts!B:C,2,FALSE)</f>
        <v>1</v>
      </c>
      <c r="F447" s="19">
        <f>VLOOKUP(C:C,Courts!B:E,4,FALSE)</f>
        <v>1</v>
      </c>
      <c r="G447" s="19">
        <f>VLOOKUP(C:C,Courts!B:D,3,FALSE)</f>
        <v>0</v>
      </c>
      <c r="H447" s="19">
        <f>VLOOKUP(C:C,Courts!B:F,5,FALSE)</f>
        <v>2</v>
      </c>
      <c r="I447" s="18" t="s">
        <v>241</v>
      </c>
      <c r="J447" s="19">
        <f>VLOOKUP(C:C,TooliD!B:K,7,FALSE)</f>
        <v>2</v>
      </c>
      <c r="K447" s="19">
        <f>VLOOKUP(C:C,TooliD!B:J,9,FALSE)</f>
        <v>1</v>
      </c>
      <c r="L447" s="19">
        <f t="shared" ref="L447:L451" si="86">K447-J447</f>
        <v>-1</v>
      </c>
      <c r="M447" s="19" t="str">
        <f t="shared" si="79"/>
        <v>Shortfall</v>
      </c>
      <c r="N447" s="18"/>
    </row>
    <row r="448" spans="1:14" x14ac:dyDescent="0.25">
      <c r="A448" s="18" t="s">
        <v>158</v>
      </c>
      <c r="B448" s="18" t="s">
        <v>100</v>
      </c>
      <c r="C448" s="18" t="s">
        <v>103</v>
      </c>
      <c r="D448" s="18" t="s">
        <v>238</v>
      </c>
      <c r="E448" s="19">
        <f>VLOOKUP(C:C,Courts!B:C,2,FALSE)</f>
        <v>1</v>
      </c>
      <c r="F448" s="19">
        <f>VLOOKUP(C:C,Courts!B:E,4,FALSE)</f>
        <v>1</v>
      </c>
      <c r="G448" s="19">
        <f>VLOOKUP(C:C,Courts!B:D,3,FALSE)</f>
        <v>0</v>
      </c>
      <c r="H448" s="19">
        <f>VLOOKUP(C:C,Courts!B:F,5,FALSE)</f>
        <v>2</v>
      </c>
      <c r="I448" s="18" t="s">
        <v>9</v>
      </c>
      <c r="J448" s="19">
        <f>VLOOKUP(C:C,TooliD!B:N,13,FALSE)</f>
        <v>2</v>
      </c>
      <c r="K448" s="18">
        <f>VLOOKUP(C:C,TooliD!B:M,12,FALSE)</f>
        <v>3</v>
      </c>
      <c r="L448" s="19">
        <f t="shared" si="86"/>
        <v>1</v>
      </c>
      <c r="M448" s="19" t="str">
        <f t="shared" si="79"/>
        <v>Surplus</v>
      </c>
      <c r="N448" s="18"/>
    </row>
    <row r="449" spans="1:14" x14ac:dyDescent="0.25">
      <c r="A449" s="18" t="s">
        <v>158</v>
      </c>
      <c r="B449" s="18" t="s">
        <v>100</v>
      </c>
      <c r="C449" s="18" t="s">
        <v>103</v>
      </c>
      <c r="D449" s="18" t="s">
        <v>238</v>
      </c>
      <c r="E449" s="19">
        <f>VLOOKUP(C:C,Courts!B:C,2,FALSE)</f>
        <v>1</v>
      </c>
      <c r="F449" s="19">
        <f>VLOOKUP(C:C,Courts!B:E,4,FALSE)</f>
        <v>1</v>
      </c>
      <c r="G449" s="19">
        <f>VLOOKUP(C:C,Courts!B:D,3,FALSE)</f>
        <v>0</v>
      </c>
      <c r="H449" s="19">
        <f>VLOOKUP(C:C,Courts!B:F,5,FALSE)</f>
        <v>2</v>
      </c>
      <c r="I449" s="18" t="s">
        <v>239</v>
      </c>
      <c r="J449" s="19">
        <f>VLOOKUP(C:C,TooliD!B:Q,16,FALSE)</f>
        <v>2</v>
      </c>
      <c r="K449" s="18">
        <f>VLOOKUP(C:C,TooliD!B:P,15,FALSE)</f>
        <v>4</v>
      </c>
      <c r="L449" s="19">
        <f t="shared" si="86"/>
        <v>2</v>
      </c>
      <c r="M449" s="19" t="str">
        <f t="shared" si="79"/>
        <v>Surplus</v>
      </c>
      <c r="N449" s="18"/>
    </row>
    <row r="450" spans="1:14" x14ac:dyDescent="0.25">
      <c r="A450" s="18" t="s">
        <v>158</v>
      </c>
      <c r="B450" s="18" t="s">
        <v>100</v>
      </c>
      <c r="C450" s="18" t="s">
        <v>103</v>
      </c>
      <c r="D450" s="18" t="s">
        <v>238</v>
      </c>
      <c r="E450" s="19">
        <f>VLOOKUP(C:C,Courts!B:C,2,FALSE)</f>
        <v>1</v>
      </c>
      <c r="F450" s="19">
        <f>VLOOKUP(C:C,Courts!B:E,4,FALSE)</f>
        <v>1</v>
      </c>
      <c r="G450" s="19">
        <f>VLOOKUP(C:C,Courts!B:D,3,FALSE)</f>
        <v>0</v>
      </c>
      <c r="H450" s="19">
        <f>VLOOKUP(C:C,Courts!B:F,5,FALSE)</f>
        <v>2</v>
      </c>
      <c r="I450" s="18" t="s">
        <v>11</v>
      </c>
      <c r="J450" s="19">
        <f>VLOOKUP(C:C,TooliD!B:T,19,FALSE)</f>
        <v>12</v>
      </c>
      <c r="K450" s="18">
        <f>VLOOKUP(C:C,TooliD!B:S,18,FALSE)</f>
        <v>20</v>
      </c>
      <c r="L450" s="19">
        <f t="shared" si="86"/>
        <v>8</v>
      </c>
      <c r="M450" s="19" t="str">
        <f t="shared" si="79"/>
        <v>Surplus</v>
      </c>
      <c r="N450" s="18"/>
    </row>
    <row r="451" spans="1:14" x14ac:dyDescent="0.25">
      <c r="A451" s="18" t="s">
        <v>158</v>
      </c>
      <c r="B451" s="18" t="s">
        <v>100</v>
      </c>
      <c r="C451" s="18" t="s">
        <v>103</v>
      </c>
      <c r="D451" s="18" t="s">
        <v>238</v>
      </c>
      <c r="E451" s="19">
        <f>VLOOKUP(C:C,Courts!B:C,2,FALSE)</f>
        <v>1</v>
      </c>
      <c r="F451" s="19">
        <f>VLOOKUP(C:C,Courts!B:E,4,FALSE)</f>
        <v>1</v>
      </c>
      <c r="G451" s="19">
        <f>VLOOKUP(C:C,Courts!B:D,3,FALSE)</f>
        <v>0</v>
      </c>
      <c r="H451" s="19">
        <f>VLOOKUP(C:C,Courts!B:F,5,FALSE)</f>
        <v>2</v>
      </c>
      <c r="I451" s="18" t="s">
        <v>212</v>
      </c>
      <c r="J451" s="19">
        <f>VLOOKUP(C:C,TooliD!B:W,22,FALSE)</f>
        <v>2</v>
      </c>
      <c r="K451" s="18">
        <f>VLOOKUP(C:C,TooliD!B:V,21,FALSE)</f>
        <v>3</v>
      </c>
      <c r="L451" s="19">
        <f t="shared" si="86"/>
        <v>1</v>
      </c>
      <c r="M451" s="19" t="str">
        <f t="shared" si="79"/>
        <v>Surplus</v>
      </c>
      <c r="N451" s="18"/>
    </row>
    <row r="452" spans="1:14" x14ac:dyDescent="0.25">
      <c r="A452" s="18" t="s">
        <v>158</v>
      </c>
      <c r="B452" s="18" t="s">
        <v>104</v>
      </c>
      <c r="C452" s="18" t="s">
        <v>104</v>
      </c>
      <c r="D452" s="18" t="s">
        <v>237</v>
      </c>
      <c r="E452" s="19">
        <f>VLOOKUP(C:C,Courts!B:C,2,FALSE)</f>
        <v>8</v>
      </c>
      <c r="F452" s="19">
        <f>VLOOKUP(C:C,Courts!B:E,4,FALSE)</f>
        <v>0</v>
      </c>
      <c r="G452" s="19">
        <f>VLOOKUP(C:C,Courts!B:D,3,FALSE)</f>
        <v>1</v>
      </c>
      <c r="H452" s="19">
        <f>VLOOKUP(C:C,Courts!B:F,5,FALSE)</f>
        <v>9</v>
      </c>
      <c r="I452" s="18" t="s">
        <v>7</v>
      </c>
      <c r="J452" s="19">
        <f>VLOOKUP(C:C,TooliD!B:H,7,FALSE)</f>
        <v>9</v>
      </c>
      <c r="K452" s="19">
        <f>VLOOKUP(C:C,TooliD!B:G,6,FALSE)</f>
        <v>10</v>
      </c>
      <c r="L452" s="19">
        <f>K452-J452</f>
        <v>1</v>
      </c>
      <c r="M452" s="19" t="str">
        <f>IF(L452=0,"OK", IF(L452&gt;0,"Surplus","Shortfall"))</f>
        <v>Surplus</v>
      </c>
      <c r="N452" s="18"/>
    </row>
    <row r="453" spans="1:14" x14ac:dyDescent="0.25">
      <c r="A453" s="18" t="s">
        <v>158</v>
      </c>
      <c r="B453" s="18" t="s">
        <v>104</v>
      </c>
      <c r="C453" s="18" t="s">
        <v>104</v>
      </c>
      <c r="D453" s="18" t="s">
        <v>237</v>
      </c>
      <c r="E453" s="19">
        <f>VLOOKUP(C:C,Courts!B:C,2,FALSE)</f>
        <v>8</v>
      </c>
      <c r="F453" s="19">
        <f>VLOOKUP(C:C,Courts!B:E,4,FALSE)</f>
        <v>0</v>
      </c>
      <c r="G453" s="19">
        <f>VLOOKUP(C:C,Courts!B:D,3,FALSE)</f>
        <v>1</v>
      </c>
      <c r="H453" s="19">
        <f>VLOOKUP(C:C,Courts!B:F,5,FALSE)</f>
        <v>9</v>
      </c>
      <c r="I453" s="18" t="s">
        <v>241</v>
      </c>
      <c r="J453" s="19">
        <f>VLOOKUP(C:C,TooliD!B:K,7,FALSE)</f>
        <v>9</v>
      </c>
      <c r="K453" s="19">
        <f>VLOOKUP(C:C,TooliD!B:J,9,FALSE)</f>
        <v>6</v>
      </c>
      <c r="L453" s="19">
        <f t="shared" ref="L453:L457" si="87">K453-J453</f>
        <v>-3</v>
      </c>
      <c r="M453" s="19" t="str">
        <f t="shared" si="79"/>
        <v>Shortfall</v>
      </c>
      <c r="N453" s="18"/>
    </row>
    <row r="454" spans="1:14" x14ac:dyDescent="0.25">
      <c r="A454" s="18" t="s">
        <v>158</v>
      </c>
      <c r="B454" s="18" t="s">
        <v>104</v>
      </c>
      <c r="C454" s="18" t="s">
        <v>104</v>
      </c>
      <c r="D454" s="18" t="s">
        <v>237</v>
      </c>
      <c r="E454" s="19">
        <f>VLOOKUP(C:C,Courts!B:C,2,FALSE)</f>
        <v>8</v>
      </c>
      <c r="F454" s="19">
        <f>VLOOKUP(C:C,Courts!B:E,4,FALSE)</f>
        <v>0</v>
      </c>
      <c r="G454" s="19">
        <f>VLOOKUP(C:C,Courts!B:D,3,FALSE)</f>
        <v>1</v>
      </c>
      <c r="H454" s="19">
        <f>VLOOKUP(C:C,Courts!B:F,5,FALSE)</f>
        <v>9</v>
      </c>
      <c r="I454" s="18" t="s">
        <v>9</v>
      </c>
      <c r="J454" s="19">
        <f>VLOOKUP(C:C,TooliD!B:N,13,FALSE)</f>
        <v>9</v>
      </c>
      <c r="K454" s="18">
        <f>VLOOKUP(C:C,TooliD!B:M,12,FALSE)</f>
        <v>9</v>
      </c>
      <c r="L454" s="19">
        <f t="shared" si="87"/>
        <v>0</v>
      </c>
      <c r="M454" s="19" t="str">
        <f t="shared" si="79"/>
        <v>OK</v>
      </c>
      <c r="N454" s="18"/>
    </row>
    <row r="455" spans="1:14" x14ac:dyDescent="0.25">
      <c r="A455" s="18" t="s">
        <v>158</v>
      </c>
      <c r="B455" s="18" t="s">
        <v>104</v>
      </c>
      <c r="C455" s="18" t="s">
        <v>104</v>
      </c>
      <c r="D455" s="18" t="s">
        <v>237</v>
      </c>
      <c r="E455" s="19">
        <f>VLOOKUP(C:C,Courts!B:C,2,FALSE)</f>
        <v>8</v>
      </c>
      <c r="F455" s="19">
        <f>VLOOKUP(C:C,Courts!B:E,4,FALSE)</f>
        <v>0</v>
      </c>
      <c r="G455" s="19">
        <f>VLOOKUP(C:C,Courts!B:D,3,FALSE)</f>
        <v>1</v>
      </c>
      <c r="H455" s="19">
        <f>VLOOKUP(C:C,Courts!B:F,5,FALSE)</f>
        <v>9</v>
      </c>
      <c r="I455" s="18" t="s">
        <v>239</v>
      </c>
      <c r="J455" s="19">
        <f>VLOOKUP(C:C,TooliD!B:Q,16,FALSE)</f>
        <v>18</v>
      </c>
      <c r="K455" s="18">
        <f>VLOOKUP(C:C,TooliD!B:P,15,FALSE)</f>
        <v>18</v>
      </c>
      <c r="L455" s="19">
        <f t="shared" si="87"/>
        <v>0</v>
      </c>
      <c r="M455" s="19" t="str">
        <f t="shared" si="79"/>
        <v>OK</v>
      </c>
      <c r="N455" s="18"/>
    </row>
    <row r="456" spans="1:14" x14ac:dyDescent="0.25">
      <c r="A456" s="18" t="s">
        <v>158</v>
      </c>
      <c r="B456" s="18" t="s">
        <v>104</v>
      </c>
      <c r="C456" s="18" t="s">
        <v>104</v>
      </c>
      <c r="D456" s="18" t="s">
        <v>237</v>
      </c>
      <c r="E456" s="19">
        <f>VLOOKUP(C:C,Courts!B:C,2,FALSE)</f>
        <v>8</v>
      </c>
      <c r="F456" s="19">
        <f>VLOOKUP(C:C,Courts!B:E,4,FALSE)</f>
        <v>0</v>
      </c>
      <c r="G456" s="19">
        <f>VLOOKUP(C:C,Courts!B:D,3,FALSE)</f>
        <v>1</v>
      </c>
      <c r="H456" s="19">
        <f>VLOOKUP(C:C,Courts!B:F,5,FALSE)</f>
        <v>9</v>
      </c>
      <c r="I456" s="18" t="s">
        <v>11</v>
      </c>
      <c r="J456" s="19">
        <f>VLOOKUP(C:C,TooliD!B:T,19,FALSE)</f>
        <v>72</v>
      </c>
      <c r="K456" s="18">
        <f>VLOOKUP(C:C,TooliD!B:S,18,FALSE)</f>
        <v>72</v>
      </c>
      <c r="L456" s="19">
        <f t="shared" si="87"/>
        <v>0</v>
      </c>
      <c r="M456" s="19" t="str">
        <f t="shared" si="79"/>
        <v>OK</v>
      </c>
      <c r="N456" s="18"/>
    </row>
    <row r="457" spans="1:14" x14ac:dyDescent="0.25">
      <c r="A457" s="18" t="s">
        <v>158</v>
      </c>
      <c r="B457" s="18" t="s">
        <v>104</v>
      </c>
      <c r="C457" s="18" t="s">
        <v>104</v>
      </c>
      <c r="D457" s="18" t="s">
        <v>237</v>
      </c>
      <c r="E457" s="19">
        <f>VLOOKUP(C:C,Courts!B:C,2,FALSE)</f>
        <v>8</v>
      </c>
      <c r="F457" s="19">
        <f>VLOOKUP(C:C,Courts!B:E,4,FALSE)</f>
        <v>0</v>
      </c>
      <c r="G457" s="19">
        <f>VLOOKUP(C:C,Courts!B:D,3,FALSE)</f>
        <v>1</v>
      </c>
      <c r="H457" s="19">
        <f>VLOOKUP(C:C,Courts!B:F,5,FALSE)</f>
        <v>9</v>
      </c>
      <c r="I457" s="18" t="s">
        <v>212</v>
      </c>
      <c r="J457" s="19">
        <f>VLOOKUP(C:C,TooliD!B:W,22,FALSE)</f>
        <v>9</v>
      </c>
      <c r="K457" s="18">
        <f>VLOOKUP(C:C,TooliD!B:V,21,FALSE)</f>
        <v>9</v>
      </c>
      <c r="L457" s="19">
        <f t="shared" si="87"/>
        <v>0</v>
      </c>
      <c r="M457" s="19" t="str">
        <f t="shared" si="79"/>
        <v>OK</v>
      </c>
      <c r="N457" s="18"/>
    </row>
    <row r="458" spans="1:14" x14ac:dyDescent="0.25">
      <c r="A458" s="18" t="s">
        <v>158</v>
      </c>
      <c r="B458" s="18" t="s">
        <v>105</v>
      </c>
      <c r="C458" s="18" t="s">
        <v>105</v>
      </c>
      <c r="D458" s="18" t="s">
        <v>237</v>
      </c>
      <c r="E458" s="19">
        <f>VLOOKUP(C:C,Courts!B:C,2,FALSE)</f>
        <v>39</v>
      </c>
      <c r="F458" s="19">
        <f>VLOOKUP(C:C,Courts!B:E,4,FALSE)</f>
        <v>0</v>
      </c>
      <c r="G458" s="19">
        <f>VLOOKUP(C:C,Courts!B:D,3,FALSE)</f>
        <v>10</v>
      </c>
      <c r="H458" s="19">
        <f>VLOOKUP(C:C,Courts!B:F,5,FALSE)</f>
        <v>49</v>
      </c>
      <c r="I458" s="18" t="s">
        <v>7</v>
      </c>
      <c r="J458" s="19">
        <f>VLOOKUP(C:C,TooliD!B:H,7,FALSE)</f>
        <v>49</v>
      </c>
      <c r="K458" s="19">
        <f>VLOOKUP(C:C,TooliD!B:G,6,FALSE)</f>
        <v>43</v>
      </c>
      <c r="L458" s="19">
        <f>K458-J458</f>
        <v>-6</v>
      </c>
      <c r="M458" s="19" t="str">
        <f>IF(L458=0,"OK", IF(L458&gt;0,"Surplus","Shortfall"))</f>
        <v>Shortfall</v>
      </c>
      <c r="N458" s="18"/>
    </row>
    <row r="459" spans="1:14" x14ac:dyDescent="0.25">
      <c r="A459" s="18" t="s">
        <v>158</v>
      </c>
      <c r="B459" s="18" t="s">
        <v>105</v>
      </c>
      <c r="C459" s="18" t="s">
        <v>105</v>
      </c>
      <c r="D459" s="18" t="s">
        <v>237</v>
      </c>
      <c r="E459" s="19">
        <f>VLOOKUP(C:C,Courts!B:C,2,FALSE)</f>
        <v>39</v>
      </c>
      <c r="F459" s="19">
        <f>VLOOKUP(C:C,Courts!B:E,4,FALSE)</f>
        <v>0</v>
      </c>
      <c r="G459" s="19">
        <f>VLOOKUP(C:C,Courts!B:D,3,FALSE)</f>
        <v>10</v>
      </c>
      <c r="H459" s="19">
        <f>VLOOKUP(C:C,Courts!B:F,5,FALSE)</f>
        <v>49</v>
      </c>
      <c r="I459" s="18" t="s">
        <v>241</v>
      </c>
      <c r="J459" s="19">
        <f>VLOOKUP(C:C,TooliD!B:K,7,FALSE)</f>
        <v>49</v>
      </c>
      <c r="K459" s="19">
        <f>VLOOKUP(C:C,TooliD!B:J,9,FALSE)</f>
        <v>34</v>
      </c>
      <c r="L459" s="19">
        <f t="shared" ref="L459:L463" si="88">K459-J459</f>
        <v>-15</v>
      </c>
      <c r="M459" s="19" t="str">
        <f t="shared" si="79"/>
        <v>Shortfall</v>
      </c>
      <c r="N459" s="18"/>
    </row>
    <row r="460" spans="1:14" x14ac:dyDescent="0.25">
      <c r="A460" s="18" t="s">
        <v>158</v>
      </c>
      <c r="B460" s="18" t="s">
        <v>105</v>
      </c>
      <c r="C460" s="18" t="s">
        <v>105</v>
      </c>
      <c r="D460" s="18" t="s">
        <v>237</v>
      </c>
      <c r="E460" s="19">
        <f>VLOOKUP(C:C,Courts!B:C,2,FALSE)</f>
        <v>39</v>
      </c>
      <c r="F460" s="19">
        <f>VLOOKUP(C:C,Courts!B:E,4,FALSE)</f>
        <v>0</v>
      </c>
      <c r="G460" s="19">
        <f>VLOOKUP(C:C,Courts!B:D,3,FALSE)</f>
        <v>10</v>
      </c>
      <c r="H460" s="19">
        <f>VLOOKUP(C:C,Courts!B:F,5,FALSE)</f>
        <v>49</v>
      </c>
      <c r="I460" s="18" t="s">
        <v>9</v>
      </c>
      <c r="J460" s="19">
        <f>VLOOKUP(C:C,TooliD!B:N,13,FALSE)</f>
        <v>49</v>
      </c>
      <c r="K460" s="18">
        <f>VLOOKUP(C:C,TooliD!B:M,12,FALSE)</f>
        <v>38</v>
      </c>
      <c r="L460" s="19">
        <f t="shared" si="88"/>
        <v>-11</v>
      </c>
      <c r="M460" s="19" t="str">
        <f t="shared" si="79"/>
        <v>Shortfall</v>
      </c>
      <c r="N460" s="18"/>
    </row>
    <row r="461" spans="1:14" x14ac:dyDescent="0.25">
      <c r="A461" s="18" t="s">
        <v>158</v>
      </c>
      <c r="B461" s="18" t="s">
        <v>105</v>
      </c>
      <c r="C461" s="18" t="s">
        <v>105</v>
      </c>
      <c r="D461" s="18" t="s">
        <v>237</v>
      </c>
      <c r="E461" s="19">
        <f>VLOOKUP(C:C,Courts!B:C,2,FALSE)</f>
        <v>39</v>
      </c>
      <c r="F461" s="19">
        <f>VLOOKUP(C:C,Courts!B:E,4,FALSE)</f>
        <v>0</v>
      </c>
      <c r="G461" s="19">
        <f>VLOOKUP(C:C,Courts!B:D,3,FALSE)</f>
        <v>10</v>
      </c>
      <c r="H461" s="19">
        <f>VLOOKUP(C:C,Courts!B:F,5,FALSE)</f>
        <v>49</v>
      </c>
      <c r="I461" s="18" t="s">
        <v>239</v>
      </c>
      <c r="J461" s="19">
        <f>VLOOKUP(C:C,TooliD!B:Q,16,FALSE)</f>
        <v>98</v>
      </c>
      <c r="K461" s="18">
        <f>VLOOKUP(C:C,TooliD!B:P,15,FALSE)</f>
        <v>74</v>
      </c>
      <c r="L461" s="19">
        <f t="shared" si="88"/>
        <v>-24</v>
      </c>
      <c r="M461" s="19" t="str">
        <f t="shared" si="79"/>
        <v>Shortfall</v>
      </c>
      <c r="N461" s="18"/>
    </row>
    <row r="462" spans="1:14" x14ac:dyDescent="0.25">
      <c r="A462" s="18" t="s">
        <v>158</v>
      </c>
      <c r="B462" s="18" t="s">
        <v>105</v>
      </c>
      <c r="C462" s="18" t="s">
        <v>105</v>
      </c>
      <c r="D462" s="18" t="s">
        <v>237</v>
      </c>
      <c r="E462" s="19">
        <f>VLOOKUP(C:C,Courts!B:C,2,FALSE)</f>
        <v>39</v>
      </c>
      <c r="F462" s="19">
        <f>VLOOKUP(C:C,Courts!B:E,4,FALSE)</f>
        <v>0</v>
      </c>
      <c r="G462" s="19">
        <f>VLOOKUP(C:C,Courts!B:D,3,FALSE)</f>
        <v>10</v>
      </c>
      <c r="H462" s="19">
        <f>VLOOKUP(C:C,Courts!B:F,5,FALSE)</f>
        <v>49</v>
      </c>
      <c r="I462" s="18" t="s">
        <v>11</v>
      </c>
      <c r="J462" s="19">
        <f>VLOOKUP(C:C,TooliD!B:T,19,FALSE)</f>
        <v>392</v>
      </c>
      <c r="K462" s="18">
        <f>VLOOKUP(C:C,TooliD!B:S,18,FALSE)</f>
        <v>312</v>
      </c>
      <c r="L462" s="19">
        <f t="shared" si="88"/>
        <v>-80</v>
      </c>
      <c r="M462" s="19" t="str">
        <f t="shared" si="79"/>
        <v>Shortfall</v>
      </c>
      <c r="N462" s="18"/>
    </row>
    <row r="463" spans="1:14" x14ac:dyDescent="0.25">
      <c r="A463" s="18" t="s">
        <v>158</v>
      </c>
      <c r="B463" s="18" t="s">
        <v>105</v>
      </c>
      <c r="C463" s="18" t="s">
        <v>105</v>
      </c>
      <c r="D463" s="18" t="s">
        <v>237</v>
      </c>
      <c r="E463" s="19">
        <f>VLOOKUP(C:C,Courts!B:C,2,FALSE)</f>
        <v>39</v>
      </c>
      <c r="F463" s="19">
        <f>VLOOKUP(C:C,Courts!B:E,4,FALSE)</f>
        <v>0</v>
      </c>
      <c r="G463" s="19">
        <f>VLOOKUP(C:C,Courts!B:D,3,FALSE)</f>
        <v>10</v>
      </c>
      <c r="H463" s="19">
        <f>VLOOKUP(C:C,Courts!B:F,5,FALSE)</f>
        <v>49</v>
      </c>
      <c r="I463" s="18" t="s">
        <v>212</v>
      </c>
      <c r="J463" s="19">
        <f>VLOOKUP(C:C,TooliD!B:W,22,FALSE)</f>
        <v>49</v>
      </c>
      <c r="K463" s="18">
        <f>VLOOKUP(C:C,TooliD!B:V,21,FALSE)</f>
        <v>47</v>
      </c>
      <c r="L463" s="19">
        <f t="shared" si="88"/>
        <v>-2</v>
      </c>
      <c r="M463" s="19" t="str">
        <f t="shared" si="79"/>
        <v>Shortfall</v>
      </c>
      <c r="N463" s="18"/>
    </row>
    <row r="464" spans="1:14" x14ac:dyDescent="0.25">
      <c r="A464" s="18" t="s">
        <v>158</v>
      </c>
      <c r="B464" s="18" t="s">
        <v>106</v>
      </c>
      <c r="C464" s="18" t="s">
        <v>106</v>
      </c>
      <c r="D464" s="18" t="s">
        <v>237</v>
      </c>
      <c r="E464" s="19">
        <f>VLOOKUP(C:C,Courts!B:C,2,FALSE)</f>
        <v>11</v>
      </c>
      <c r="F464" s="19">
        <f>VLOOKUP(C:C,Courts!B:E,4,FALSE)</f>
        <v>0</v>
      </c>
      <c r="G464" s="19">
        <f>VLOOKUP(C:C,Courts!B:D,3,FALSE)</f>
        <v>1</v>
      </c>
      <c r="H464" s="19">
        <f>VLOOKUP(C:C,Courts!B:F,5,FALSE)</f>
        <v>12</v>
      </c>
      <c r="I464" s="18" t="s">
        <v>7</v>
      </c>
      <c r="J464" s="19">
        <f>VLOOKUP(C:C,TooliD!B:H,7,FALSE)</f>
        <v>12</v>
      </c>
      <c r="K464" s="19">
        <f>VLOOKUP(C:C,TooliD!B:G,6,FALSE)</f>
        <v>13</v>
      </c>
      <c r="L464" s="19">
        <f>K464-J464</f>
        <v>1</v>
      </c>
      <c r="M464" s="19" t="str">
        <f>IF(L464=0,"OK", IF(L464&gt;0,"Surplus","Shortfall"))</f>
        <v>Surplus</v>
      </c>
      <c r="N464" s="18"/>
    </row>
    <row r="465" spans="1:14" x14ac:dyDescent="0.25">
      <c r="A465" s="18" t="s">
        <v>158</v>
      </c>
      <c r="B465" s="18" t="s">
        <v>106</v>
      </c>
      <c r="C465" s="18" t="s">
        <v>106</v>
      </c>
      <c r="D465" s="18" t="s">
        <v>237</v>
      </c>
      <c r="E465" s="19">
        <f>VLOOKUP(C:C,Courts!B:C,2,FALSE)</f>
        <v>11</v>
      </c>
      <c r="F465" s="19">
        <f>VLOOKUP(C:C,Courts!B:E,4,FALSE)</f>
        <v>0</v>
      </c>
      <c r="G465" s="19">
        <f>VLOOKUP(C:C,Courts!B:D,3,FALSE)</f>
        <v>1</v>
      </c>
      <c r="H465" s="19">
        <f>VLOOKUP(C:C,Courts!B:F,5,FALSE)</f>
        <v>12</v>
      </c>
      <c r="I465" s="18" t="s">
        <v>241</v>
      </c>
      <c r="J465" s="19">
        <f>VLOOKUP(C:C,TooliD!B:K,7,FALSE)</f>
        <v>12</v>
      </c>
      <c r="K465" s="19">
        <f>VLOOKUP(C:C,TooliD!B:J,9,FALSE)</f>
        <v>9</v>
      </c>
      <c r="L465" s="19">
        <f t="shared" ref="L465:L469" si="89">K465-J465</f>
        <v>-3</v>
      </c>
      <c r="M465" s="19" t="str">
        <f t="shared" si="79"/>
        <v>Shortfall</v>
      </c>
      <c r="N465" s="18"/>
    </row>
    <row r="466" spans="1:14" x14ac:dyDescent="0.25">
      <c r="A466" s="18" t="s">
        <v>158</v>
      </c>
      <c r="B466" s="18" t="s">
        <v>106</v>
      </c>
      <c r="C466" s="18" t="s">
        <v>106</v>
      </c>
      <c r="D466" s="18" t="s">
        <v>237</v>
      </c>
      <c r="E466" s="19">
        <f>VLOOKUP(C:C,Courts!B:C,2,FALSE)</f>
        <v>11</v>
      </c>
      <c r="F466" s="19">
        <f>VLOOKUP(C:C,Courts!B:E,4,FALSE)</f>
        <v>0</v>
      </c>
      <c r="G466" s="19">
        <f>VLOOKUP(C:C,Courts!B:D,3,FALSE)</f>
        <v>1</v>
      </c>
      <c r="H466" s="19">
        <f>VLOOKUP(C:C,Courts!B:F,5,FALSE)</f>
        <v>12</v>
      </c>
      <c r="I466" s="18" t="s">
        <v>9</v>
      </c>
      <c r="J466" s="19">
        <f>VLOOKUP(C:C,TooliD!B:N,13,FALSE)</f>
        <v>12</v>
      </c>
      <c r="K466" s="18">
        <f>VLOOKUP(C:C,TooliD!B:M,12,FALSE)</f>
        <v>12</v>
      </c>
      <c r="L466" s="19">
        <f t="shared" si="89"/>
        <v>0</v>
      </c>
      <c r="M466" s="19" t="str">
        <f t="shared" si="79"/>
        <v>OK</v>
      </c>
      <c r="N466" s="18"/>
    </row>
    <row r="467" spans="1:14" x14ac:dyDescent="0.25">
      <c r="A467" s="18" t="s">
        <v>158</v>
      </c>
      <c r="B467" s="18" t="s">
        <v>106</v>
      </c>
      <c r="C467" s="18" t="s">
        <v>106</v>
      </c>
      <c r="D467" s="18" t="s">
        <v>237</v>
      </c>
      <c r="E467" s="19">
        <f>VLOOKUP(C:C,Courts!B:C,2,FALSE)</f>
        <v>11</v>
      </c>
      <c r="F467" s="19">
        <f>VLOOKUP(C:C,Courts!B:E,4,FALSE)</f>
        <v>0</v>
      </c>
      <c r="G467" s="19">
        <f>VLOOKUP(C:C,Courts!B:D,3,FALSE)</f>
        <v>1</v>
      </c>
      <c r="H467" s="19">
        <f>VLOOKUP(C:C,Courts!B:F,5,FALSE)</f>
        <v>12</v>
      </c>
      <c r="I467" s="18" t="s">
        <v>239</v>
      </c>
      <c r="J467" s="19">
        <f>VLOOKUP(C:C,TooliD!B:Q,16,FALSE)</f>
        <v>24</v>
      </c>
      <c r="K467" s="18">
        <f>VLOOKUP(C:C,TooliD!B:P,15,FALSE)</f>
        <v>24</v>
      </c>
      <c r="L467" s="19">
        <f t="shared" si="89"/>
        <v>0</v>
      </c>
      <c r="M467" s="19" t="str">
        <f t="shared" si="79"/>
        <v>OK</v>
      </c>
      <c r="N467" s="18"/>
    </row>
    <row r="468" spans="1:14" x14ac:dyDescent="0.25">
      <c r="A468" s="18" t="s">
        <v>158</v>
      </c>
      <c r="B468" s="18" t="s">
        <v>106</v>
      </c>
      <c r="C468" s="18" t="s">
        <v>106</v>
      </c>
      <c r="D468" s="18" t="s">
        <v>237</v>
      </c>
      <c r="E468" s="19">
        <f>VLOOKUP(C:C,Courts!B:C,2,FALSE)</f>
        <v>11</v>
      </c>
      <c r="F468" s="19">
        <f>VLOOKUP(C:C,Courts!B:E,4,FALSE)</f>
        <v>0</v>
      </c>
      <c r="G468" s="19">
        <f>VLOOKUP(C:C,Courts!B:D,3,FALSE)</f>
        <v>1</v>
      </c>
      <c r="H468" s="19">
        <f>VLOOKUP(C:C,Courts!B:F,5,FALSE)</f>
        <v>12</v>
      </c>
      <c r="I468" s="18" t="s">
        <v>11</v>
      </c>
      <c r="J468" s="19">
        <f>VLOOKUP(C:C,TooliD!B:T,19,FALSE)</f>
        <v>96</v>
      </c>
      <c r="K468" s="18">
        <f>VLOOKUP(C:C,TooliD!B:S,18,FALSE)</f>
        <v>72</v>
      </c>
      <c r="L468" s="19">
        <f t="shared" si="89"/>
        <v>-24</v>
      </c>
      <c r="M468" s="19" t="str">
        <f t="shared" si="79"/>
        <v>Shortfall</v>
      </c>
      <c r="N468" s="18"/>
    </row>
    <row r="469" spans="1:14" x14ac:dyDescent="0.25">
      <c r="A469" s="18" t="s">
        <v>158</v>
      </c>
      <c r="B469" s="18" t="s">
        <v>106</v>
      </c>
      <c r="C469" s="18" t="s">
        <v>106</v>
      </c>
      <c r="D469" s="18" t="s">
        <v>237</v>
      </c>
      <c r="E469" s="19">
        <f>VLOOKUP(C:C,Courts!B:C,2,FALSE)</f>
        <v>11</v>
      </c>
      <c r="F469" s="19">
        <f>VLOOKUP(C:C,Courts!B:E,4,FALSE)</f>
        <v>0</v>
      </c>
      <c r="G469" s="19">
        <f>VLOOKUP(C:C,Courts!B:D,3,FALSE)</f>
        <v>1</v>
      </c>
      <c r="H469" s="19">
        <f>VLOOKUP(C:C,Courts!B:F,5,FALSE)</f>
        <v>12</v>
      </c>
      <c r="I469" s="18" t="s">
        <v>212</v>
      </c>
      <c r="J469" s="19">
        <f>VLOOKUP(C:C,TooliD!B:W,22,FALSE)</f>
        <v>12</v>
      </c>
      <c r="K469" s="18">
        <f>VLOOKUP(C:C,TooliD!B:V,21,FALSE)</f>
        <v>10</v>
      </c>
      <c r="L469" s="19">
        <f t="shared" si="89"/>
        <v>-2</v>
      </c>
      <c r="M469" s="19" t="str">
        <f t="shared" ref="M469" si="90">IF(L469=0,"OK", IF(L469&gt;0,"Surplus","Shortfall"))</f>
        <v>Shortfall</v>
      </c>
      <c r="N469" s="18"/>
    </row>
    <row r="470" spans="1:14" x14ac:dyDescent="0.25">
      <c r="A470" s="18" t="s">
        <v>158</v>
      </c>
      <c r="B470" s="18" t="s">
        <v>106</v>
      </c>
      <c r="C470" s="18" t="s">
        <v>107</v>
      </c>
      <c r="D470" s="18" t="s">
        <v>238</v>
      </c>
      <c r="E470" s="19">
        <f>VLOOKUP(C:C,Courts!B:C,2,FALSE)</f>
        <v>2</v>
      </c>
      <c r="F470" s="19">
        <f>VLOOKUP(C:C,Courts!B:E,4,FALSE)</f>
        <v>1</v>
      </c>
      <c r="G470" s="19">
        <f>VLOOKUP(C:C,Courts!B:D,3,FALSE)</f>
        <v>0</v>
      </c>
      <c r="H470" s="19">
        <f>VLOOKUP(C:C,Courts!B:F,5,FALSE)</f>
        <v>3</v>
      </c>
      <c r="I470" s="18" t="s">
        <v>7</v>
      </c>
      <c r="J470" s="19">
        <f>VLOOKUP(C:C,TooliD!B:H,7,FALSE)</f>
        <v>3</v>
      </c>
      <c r="K470" s="19">
        <f>VLOOKUP(C:C,TooliD!B:G,6,FALSE)</f>
        <v>4</v>
      </c>
      <c r="L470" s="19">
        <f>K470-J470</f>
        <v>1</v>
      </c>
      <c r="M470" s="19" t="str">
        <f>IF(L470=0,"OK", IF(L470&gt;0,"Surplus","Shortfall"))</f>
        <v>Surplus</v>
      </c>
      <c r="N470" s="18"/>
    </row>
    <row r="471" spans="1:14" x14ac:dyDescent="0.25">
      <c r="A471" s="18" t="s">
        <v>158</v>
      </c>
      <c r="B471" s="18" t="s">
        <v>106</v>
      </c>
      <c r="C471" s="18" t="s">
        <v>107</v>
      </c>
      <c r="D471" s="18" t="s">
        <v>238</v>
      </c>
      <c r="E471" s="19">
        <f>VLOOKUP(C:C,Courts!B:C,2,FALSE)</f>
        <v>2</v>
      </c>
      <c r="F471" s="19">
        <f>VLOOKUP(C:C,Courts!B:E,4,FALSE)</f>
        <v>1</v>
      </c>
      <c r="G471" s="19">
        <f>VLOOKUP(C:C,Courts!B:D,3,FALSE)</f>
        <v>0</v>
      </c>
      <c r="H471" s="19">
        <f>VLOOKUP(C:C,Courts!B:F,5,FALSE)</f>
        <v>3</v>
      </c>
      <c r="I471" s="18" t="s">
        <v>241</v>
      </c>
      <c r="J471" s="19">
        <f>VLOOKUP(C:C,TooliD!B:K,7,FALSE)</f>
        <v>3</v>
      </c>
      <c r="K471" s="19">
        <f>VLOOKUP(C:C,TooliD!B:J,9,FALSE)</f>
        <v>4</v>
      </c>
      <c r="L471" s="19">
        <f t="shared" ref="L471:L475" si="91">K471-J471</f>
        <v>1</v>
      </c>
      <c r="M471" s="19" t="str">
        <f t="shared" ref="M471:M534" si="92">IF(L471=0,"OK", IF(L471&gt;0,"Surplus","Shortfall"))</f>
        <v>Surplus</v>
      </c>
      <c r="N471" s="18"/>
    </row>
    <row r="472" spans="1:14" x14ac:dyDescent="0.25">
      <c r="A472" s="18" t="s">
        <v>158</v>
      </c>
      <c r="B472" s="18" t="s">
        <v>106</v>
      </c>
      <c r="C472" s="18" t="s">
        <v>107</v>
      </c>
      <c r="D472" s="18" t="s">
        <v>238</v>
      </c>
      <c r="E472" s="19">
        <f>VLOOKUP(C:C,Courts!B:C,2,FALSE)</f>
        <v>2</v>
      </c>
      <c r="F472" s="19">
        <f>VLOOKUP(C:C,Courts!B:E,4,FALSE)</f>
        <v>1</v>
      </c>
      <c r="G472" s="19">
        <f>VLOOKUP(C:C,Courts!B:D,3,FALSE)</f>
        <v>0</v>
      </c>
      <c r="H472" s="19">
        <f>VLOOKUP(C:C,Courts!B:F,5,FALSE)</f>
        <v>3</v>
      </c>
      <c r="I472" s="18" t="s">
        <v>9</v>
      </c>
      <c r="J472" s="19">
        <f>VLOOKUP(C:C,TooliD!B:N,13,FALSE)</f>
        <v>3</v>
      </c>
      <c r="K472" s="18">
        <f>VLOOKUP(C:C,TooliD!B:M,12,FALSE)</f>
        <v>4</v>
      </c>
      <c r="L472" s="19">
        <f t="shared" si="91"/>
        <v>1</v>
      </c>
      <c r="M472" s="19" t="str">
        <f t="shared" si="92"/>
        <v>Surplus</v>
      </c>
      <c r="N472" s="18"/>
    </row>
    <row r="473" spans="1:14" x14ac:dyDescent="0.25">
      <c r="A473" s="18" t="s">
        <v>158</v>
      </c>
      <c r="B473" s="18" t="s">
        <v>106</v>
      </c>
      <c r="C473" s="18" t="s">
        <v>107</v>
      </c>
      <c r="D473" s="18" t="s">
        <v>238</v>
      </c>
      <c r="E473" s="19">
        <f>VLOOKUP(C:C,Courts!B:C,2,FALSE)</f>
        <v>2</v>
      </c>
      <c r="F473" s="19">
        <f>VLOOKUP(C:C,Courts!B:E,4,FALSE)</f>
        <v>1</v>
      </c>
      <c r="G473" s="19">
        <f>VLOOKUP(C:C,Courts!B:D,3,FALSE)</f>
        <v>0</v>
      </c>
      <c r="H473" s="19">
        <f>VLOOKUP(C:C,Courts!B:F,5,FALSE)</f>
        <v>3</v>
      </c>
      <c r="I473" s="18" t="s">
        <v>239</v>
      </c>
      <c r="J473" s="19">
        <f>VLOOKUP(C:C,TooliD!B:Q,16,FALSE)</f>
        <v>4</v>
      </c>
      <c r="K473" s="18">
        <f>VLOOKUP(C:C,TooliD!B:P,15,FALSE)</f>
        <v>8</v>
      </c>
      <c r="L473" s="19">
        <f t="shared" si="91"/>
        <v>4</v>
      </c>
      <c r="M473" s="19" t="str">
        <f t="shared" si="92"/>
        <v>Surplus</v>
      </c>
      <c r="N473" s="18"/>
    </row>
    <row r="474" spans="1:14" x14ac:dyDescent="0.25">
      <c r="A474" s="18" t="s">
        <v>158</v>
      </c>
      <c r="B474" s="18" t="s">
        <v>106</v>
      </c>
      <c r="C474" s="18" t="s">
        <v>107</v>
      </c>
      <c r="D474" s="18" t="s">
        <v>238</v>
      </c>
      <c r="E474" s="19">
        <f>VLOOKUP(C:C,Courts!B:C,2,FALSE)</f>
        <v>2</v>
      </c>
      <c r="F474" s="19">
        <f>VLOOKUP(C:C,Courts!B:E,4,FALSE)</f>
        <v>1</v>
      </c>
      <c r="G474" s="19">
        <f>VLOOKUP(C:C,Courts!B:D,3,FALSE)</f>
        <v>0</v>
      </c>
      <c r="H474" s="19">
        <f>VLOOKUP(C:C,Courts!B:F,5,FALSE)</f>
        <v>3</v>
      </c>
      <c r="I474" s="18" t="s">
        <v>11</v>
      </c>
      <c r="J474" s="19">
        <f>VLOOKUP(C:C,TooliD!B:T,19,FALSE)</f>
        <v>20</v>
      </c>
      <c r="K474" s="18">
        <f>VLOOKUP(C:C,TooliD!B:S,18,FALSE)</f>
        <v>28</v>
      </c>
      <c r="L474" s="19">
        <f t="shared" si="91"/>
        <v>8</v>
      </c>
      <c r="M474" s="19" t="str">
        <f t="shared" si="92"/>
        <v>Surplus</v>
      </c>
      <c r="N474" s="18"/>
    </row>
    <row r="475" spans="1:14" x14ac:dyDescent="0.25">
      <c r="A475" s="18" t="s">
        <v>158</v>
      </c>
      <c r="B475" s="18" t="s">
        <v>106</v>
      </c>
      <c r="C475" s="18" t="s">
        <v>107</v>
      </c>
      <c r="D475" s="18" t="s">
        <v>238</v>
      </c>
      <c r="E475" s="19">
        <f>VLOOKUP(C:C,Courts!B:C,2,FALSE)</f>
        <v>2</v>
      </c>
      <c r="F475" s="19">
        <f>VLOOKUP(C:C,Courts!B:E,4,FALSE)</f>
        <v>1</v>
      </c>
      <c r="G475" s="19">
        <f>VLOOKUP(C:C,Courts!B:D,3,FALSE)</f>
        <v>0</v>
      </c>
      <c r="H475" s="19">
        <f>VLOOKUP(C:C,Courts!B:F,5,FALSE)</f>
        <v>3</v>
      </c>
      <c r="I475" s="18" t="s">
        <v>212</v>
      </c>
      <c r="J475" s="19">
        <f>VLOOKUP(C:C,TooliD!B:W,22,FALSE)</f>
        <v>3</v>
      </c>
      <c r="K475" s="18">
        <f>VLOOKUP(C:C,TooliD!B:V,21,FALSE)</f>
        <v>4</v>
      </c>
      <c r="L475" s="19">
        <f t="shared" si="91"/>
        <v>1</v>
      </c>
      <c r="M475" s="19" t="str">
        <f t="shared" si="92"/>
        <v>Surplus</v>
      </c>
      <c r="N475" s="18"/>
    </row>
    <row r="476" spans="1:14" x14ac:dyDescent="0.25">
      <c r="A476" s="18" t="s">
        <v>158</v>
      </c>
      <c r="B476" s="18" t="s">
        <v>106</v>
      </c>
      <c r="C476" s="18" t="s">
        <v>108</v>
      </c>
      <c r="D476" s="18" t="s">
        <v>238</v>
      </c>
      <c r="E476" s="19">
        <f>VLOOKUP(C:C,Courts!B:C,2,FALSE)</f>
        <v>2</v>
      </c>
      <c r="F476" s="19">
        <f>VLOOKUP(C:C,Courts!B:E,4,FALSE)</f>
        <v>1</v>
      </c>
      <c r="G476" s="19">
        <f>VLOOKUP(C:C,Courts!B:D,3,FALSE)</f>
        <v>1</v>
      </c>
      <c r="H476" s="19">
        <f>VLOOKUP(C:C,Courts!B:F,5,FALSE)</f>
        <v>4</v>
      </c>
      <c r="I476" s="18" t="s">
        <v>7</v>
      </c>
      <c r="J476" s="19">
        <f>VLOOKUP(C:C,TooliD!B:H,7,FALSE)</f>
        <v>4</v>
      </c>
      <c r="K476" s="19">
        <f>VLOOKUP(C:C,TooliD!B:G,6,FALSE)</f>
        <v>3</v>
      </c>
      <c r="L476" s="19">
        <f>K476-J476</f>
        <v>-1</v>
      </c>
      <c r="M476" s="19" t="str">
        <f>IF(L476=0,"OK", IF(L476&gt;0,"Surplus","Shortfall"))</f>
        <v>Shortfall</v>
      </c>
      <c r="N476" s="18"/>
    </row>
    <row r="477" spans="1:14" x14ac:dyDescent="0.25">
      <c r="A477" s="18" t="s">
        <v>158</v>
      </c>
      <c r="B477" s="18" t="s">
        <v>106</v>
      </c>
      <c r="C477" s="18" t="s">
        <v>108</v>
      </c>
      <c r="D477" s="18" t="s">
        <v>238</v>
      </c>
      <c r="E477" s="19">
        <f>VLOOKUP(C:C,Courts!B:C,2,FALSE)</f>
        <v>2</v>
      </c>
      <c r="F477" s="19">
        <f>VLOOKUP(C:C,Courts!B:E,4,FALSE)</f>
        <v>1</v>
      </c>
      <c r="G477" s="19">
        <f>VLOOKUP(C:C,Courts!B:D,3,FALSE)</f>
        <v>1</v>
      </c>
      <c r="H477" s="19">
        <f>VLOOKUP(C:C,Courts!B:F,5,FALSE)</f>
        <v>4</v>
      </c>
      <c r="I477" s="18" t="s">
        <v>241</v>
      </c>
      <c r="J477" s="19">
        <f>VLOOKUP(C:C,TooliD!B:K,7,FALSE)</f>
        <v>4</v>
      </c>
      <c r="K477" s="19">
        <f>VLOOKUP(C:C,TooliD!B:J,9,FALSE)</f>
        <v>3</v>
      </c>
      <c r="L477" s="19">
        <f t="shared" ref="L477:L481" si="93">K477-J477</f>
        <v>-1</v>
      </c>
      <c r="M477" s="19" t="str">
        <f t="shared" si="92"/>
        <v>Shortfall</v>
      </c>
      <c r="N477" s="18"/>
    </row>
    <row r="478" spans="1:14" x14ac:dyDescent="0.25">
      <c r="A478" s="18" t="s">
        <v>158</v>
      </c>
      <c r="B478" s="18" t="s">
        <v>106</v>
      </c>
      <c r="C478" s="18" t="s">
        <v>108</v>
      </c>
      <c r="D478" s="18" t="s">
        <v>238</v>
      </c>
      <c r="E478" s="19">
        <f>VLOOKUP(C:C,Courts!B:C,2,FALSE)</f>
        <v>2</v>
      </c>
      <c r="F478" s="19">
        <f>VLOOKUP(C:C,Courts!B:E,4,FALSE)</f>
        <v>1</v>
      </c>
      <c r="G478" s="19">
        <f>VLOOKUP(C:C,Courts!B:D,3,FALSE)</f>
        <v>1</v>
      </c>
      <c r="H478" s="19">
        <f>VLOOKUP(C:C,Courts!B:F,5,FALSE)</f>
        <v>4</v>
      </c>
      <c r="I478" s="18" t="s">
        <v>9</v>
      </c>
      <c r="J478" s="19">
        <f>VLOOKUP(C:C,TooliD!B:N,13,FALSE)</f>
        <v>4</v>
      </c>
      <c r="K478" s="18">
        <f>VLOOKUP(C:C,TooliD!B:M,12,FALSE)</f>
        <v>3</v>
      </c>
      <c r="L478" s="19">
        <f t="shared" si="93"/>
        <v>-1</v>
      </c>
      <c r="M478" s="19" t="str">
        <f t="shared" si="92"/>
        <v>Shortfall</v>
      </c>
      <c r="N478" s="18"/>
    </row>
    <row r="479" spans="1:14" x14ac:dyDescent="0.25">
      <c r="A479" s="18" t="s">
        <v>158</v>
      </c>
      <c r="B479" s="18" t="s">
        <v>106</v>
      </c>
      <c r="C479" s="18" t="s">
        <v>108</v>
      </c>
      <c r="D479" s="18" t="s">
        <v>238</v>
      </c>
      <c r="E479" s="19">
        <f>VLOOKUP(C:C,Courts!B:C,2,FALSE)</f>
        <v>2</v>
      </c>
      <c r="F479" s="19">
        <f>VLOOKUP(C:C,Courts!B:E,4,FALSE)</f>
        <v>1</v>
      </c>
      <c r="G479" s="19">
        <f>VLOOKUP(C:C,Courts!B:D,3,FALSE)</f>
        <v>1</v>
      </c>
      <c r="H479" s="19">
        <f>VLOOKUP(C:C,Courts!B:F,5,FALSE)</f>
        <v>4</v>
      </c>
      <c r="I479" s="18" t="s">
        <v>239</v>
      </c>
      <c r="J479" s="19">
        <f>VLOOKUP(C:C,TooliD!B:Q,16,FALSE)</f>
        <v>6</v>
      </c>
      <c r="K479" s="18">
        <f>VLOOKUP(C:C,TooliD!B:P,15,FALSE)</f>
        <v>4</v>
      </c>
      <c r="L479" s="19">
        <f t="shared" si="93"/>
        <v>-2</v>
      </c>
      <c r="M479" s="19" t="str">
        <f t="shared" si="92"/>
        <v>Shortfall</v>
      </c>
      <c r="N479" s="18"/>
    </row>
    <row r="480" spans="1:14" x14ac:dyDescent="0.25">
      <c r="A480" s="18" t="s">
        <v>158</v>
      </c>
      <c r="B480" s="18" t="s">
        <v>106</v>
      </c>
      <c r="C480" s="18" t="s">
        <v>108</v>
      </c>
      <c r="D480" s="18" t="s">
        <v>238</v>
      </c>
      <c r="E480" s="19">
        <f>VLOOKUP(C:C,Courts!B:C,2,FALSE)</f>
        <v>2</v>
      </c>
      <c r="F480" s="19">
        <f>VLOOKUP(C:C,Courts!B:E,4,FALSE)</f>
        <v>1</v>
      </c>
      <c r="G480" s="19">
        <f>VLOOKUP(C:C,Courts!B:D,3,FALSE)</f>
        <v>1</v>
      </c>
      <c r="H480" s="19">
        <f>VLOOKUP(C:C,Courts!B:F,5,FALSE)</f>
        <v>4</v>
      </c>
      <c r="I480" s="18" t="s">
        <v>11</v>
      </c>
      <c r="J480" s="19">
        <f>VLOOKUP(C:C,TooliD!B:T,19,FALSE)</f>
        <v>28</v>
      </c>
      <c r="K480" s="18">
        <f>VLOOKUP(C:C,TooliD!B:S,18,FALSE)</f>
        <v>20</v>
      </c>
      <c r="L480" s="19">
        <f t="shared" si="93"/>
        <v>-8</v>
      </c>
      <c r="M480" s="19" t="str">
        <f t="shared" si="92"/>
        <v>Shortfall</v>
      </c>
      <c r="N480" s="18"/>
    </row>
    <row r="481" spans="1:14" x14ac:dyDescent="0.25">
      <c r="A481" s="18" t="s">
        <v>158</v>
      </c>
      <c r="B481" s="18" t="s">
        <v>106</v>
      </c>
      <c r="C481" s="18" t="s">
        <v>108</v>
      </c>
      <c r="D481" s="18" t="s">
        <v>238</v>
      </c>
      <c r="E481" s="19">
        <f>VLOOKUP(C:C,Courts!B:C,2,FALSE)</f>
        <v>2</v>
      </c>
      <c r="F481" s="19">
        <f>VLOOKUP(C:C,Courts!B:E,4,FALSE)</f>
        <v>1</v>
      </c>
      <c r="G481" s="19">
        <f>VLOOKUP(C:C,Courts!B:D,3,FALSE)</f>
        <v>1</v>
      </c>
      <c r="H481" s="19">
        <f>VLOOKUP(C:C,Courts!B:F,5,FALSE)</f>
        <v>4</v>
      </c>
      <c r="I481" s="18" t="s">
        <v>212</v>
      </c>
      <c r="J481" s="19">
        <f>VLOOKUP(C:C,TooliD!B:W,22,FALSE)</f>
        <v>4</v>
      </c>
      <c r="K481" s="18">
        <f>VLOOKUP(C:C,TooliD!B:V,21,FALSE)</f>
        <v>3</v>
      </c>
      <c r="L481" s="19">
        <f t="shared" si="93"/>
        <v>-1</v>
      </c>
      <c r="M481" s="19" t="str">
        <f t="shared" si="92"/>
        <v>Shortfall</v>
      </c>
      <c r="N481" s="18"/>
    </row>
    <row r="482" spans="1:14" x14ac:dyDescent="0.25">
      <c r="A482" s="18" t="s">
        <v>158</v>
      </c>
      <c r="B482" s="18" t="s">
        <v>109</v>
      </c>
      <c r="C482" s="18" t="s">
        <v>109</v>
      </c>
      <c r="D482" s="18" t="s">
        <v>237</v>
      </c>
      <c r="E482" s="19">
        <f>VLOOKUP(C:C,Courts!B:C,2,FALSE)</f>
        <v>48</v>
      </c>
      <c r="F482" s="19">
        <f>VLOOKUP(C:C,Courts!B:E,4,FALSE)</f>
        <v>0</v>
      </c>
      <c r="G482" s="19">
        <f>VLOOKUP(C:C,Courts!B:D,3,FALSE)</f>
        <v>14</v>
      </c>
      <c r="H482" s="19">
        <f>VLOOKUP(C:C,Courts!B:F,5,FALSE)</f>
        <v>62</v>
      </c>
      <c r="I482" s="18" t="s">
        <v>7</v>
      </c>
      <c r="J482" s="19">
        <f>VLOOKUP(C:C,TooliD!B:H,7,FALSE)</f>
        <v>62</v>
      </c>
      <c r="K482" s="19">
        <f>VLOOKUP(C:C,TooliD!B:G,6,FALSE)</f>
        <v>56</v>
      </c>
      <c r="L482" s="19">
        <f>K482-J482</f>
        <v>-6</v>
      </c>
      <c r="M482" s="19" t="str">
        <f>IF(L482=0,"OK", IF(L482&gt;0,"Surplus","Shortfall"))</f>
        <v>Shortfall</v>
      </c>
      <c r="N482" s="18"/>
    </row>
    <row r="483" spans="1:14" x14ac:dyDescent="0.25">
      <c r="A483" s="18" t="s">
        <v>158</v>
      </c>
      <c r="B483" s="18" t="s">
        <v>109</v>
      </c>
      <c r="C483" s="18" t="s">
        <v>109</v>
      </c>
      <c r="D483" s="18" t="s">
        <v>237</v>
      </c>
      <c r="E483" s="19">
        <f>VLOOKUP(C:C,Courts!B:C,2,FALSE)</f>
        <v>48</v>
      </c>
      <c r="F483" s="19">
        <f>VLOOKUP(C:C,Courts!B:E,4,FALSE)</f>
        <v>0</v>
      </c>
      <c r="G483" s="19">
        <f>VLOOKUP(C:C,Courts!B:D,3,FALSE)</f>
        <v>14</v>
      </c>
      <c r="H483" s="19">
        <f>VLOOKUP(C:C,Courts!B:F,5,FALSE)</f>
        <v>62</v>
      </c>
      <c r="I483" s="18" t="s">
        <v>241</v>
      </c>
      <c r="J483" s="19">
        <f>VLOOKUP(C:C,TooliD!B:K,7,FALSE)</f>
        <v>62</v>
      </c>
      <c r="K483" s="19">
        <f>VLOOKUP(C:C,TooliD!B:J,9,FALSE)</f>
        <v>38</v>
      </c>
      <c r="L483" s="19">
        <f t="shared" ref="L483:L487" si="94">K483-J483</f>
        <v>-24</v>
      </c>
      <c r="M483" s="19" t="str">
        <f t="shared" si="92"/>
        <v>Shortfall</v>
      </c>
      <c r="N483" s="18"/>
    </row>
    <row r="484" spans="1:14" x14ac:dyDescent="0.25">
      <c r="A484" s="18" t="s">
        <v>158</v>
      </c>
      <c r="B484" s="18" t="s">
        <v>109</v>
      </c>
      <c r="C484" s="18" t="s">
        <v>109</v>
      </c>
      <c r="D484" s="18" t="s">
        <v>237</v>
      </c>
      <c r="E484" s="19">
        <f>VLOOKUP(C:C,Courts!B:C,2,FALSE)</f>
        <v>48</v>
      </c>
      <c r="F484" s="19">
        <f>VLOOKUP(C:C,Courts!B:E,4,FALSE)</f>
        <v>0</v>
      </c>
      <c r="G484" s="19">
        <f>VLOOKUP(C:C,Courts!B:D,3,FALSE)</f>
        <v>14</v>
      </c>
      <c r="H484" s="19">
        <f>VLOOKUP(C:C,Courts!B:F,5,FALSE)</f>
        <v>62</v>
      </c>
      <c r="I484" s="18" t="s">
        <v>9</v>
      </c>
      <c r="J484" s="19">
        <f>VLOOKUP(C:C,TooliD!B:N,13,FALSE)</f>
        <v>62</v>
      </c>
      <c r="K484" s="18">
        <f>VLOOKUP(C:C,TooliD!B:M,12,FALSE)</f>
        <v>49</v>
      </c>
      <c r="L484" s="19">
        <f t="shared" si="94"/>
        <v>-13</v>
      </c>
      <c r="M484" s="19" t="str">
        <f t="shared" si="92"/>
        <v>Shortfall</v>
      </c>
      <c r="N484" s="18"/>
    </row>
    <row r="485" spans="1:14" x14ac:dyDescent="0.25">
      <c r="A485" s="18" t="s">
        <v>158</v>
      </c>
      <c r="B485" s="18" t="s">
        <v>109</v>
      </c>
      <c r="C485" s="18" t="s">
        <v>109</v>
      </c>
      <c r="D485" s="18" t="s">
        <v>237</v>
      </c>
      <c r="E485" s="19">
        <f>VLOOKUP(C:C,Courts!B:C,2,FALSE)</f>
        <v>48</v>
      </c>
      <c r="F485" s="19">
        <f>VLOOKUP(C:C,Courts!B:E,4,FALSE)</f>
        <v>0</v>
      </c>
      <c r="G485" s="19">
        <f>VLOOKUP(C:C,Courts!B:D,3,FALSE)</f>
        <v>14</v>
      </c>
      <c r="H485" s="19">
        <f>VLOOKUP(C:C,Courts!B:F,5,FALSE)</f>
        <v>62</v>
      </c>
      <c r="I485" s="18" t="s">
        <v>239</v>
      </c>
      <c r="J485" s="19">
        <f>VLOOKUP(C:C,TooliD!B:Q,16,FALSE)</f>
        <v>124</v>
      </c>
      <c r="K485" s="18">
        <f>VLOOKUP(C:C,TooliD!B:P,15,FALSE)</f>
        <v>96</v>
      </c>
      <c r="L485" s="19">
        <f t="shared" si="94"/>
        <v>-28</v>
      </c>
      <c r="M485" s="19" t="str">
        <f t="shared" si="92"/>
        <v>Shortfall</v>
      </c>
      <c r="N485" s="18"/>
    </row>
    <row r="486" spans="1:14" x14ac:dyDescent="0.25">
      <c r="A486" s="18" t="s">
        <v>158</v>
      </c>
      <c r="B486" s="18" t="s">
        <v>109</v>
      </c>
      <c r="C486" s="18" t="s">
        <v>109</v>
      </c>
      <c r="D486" s="18" t="s">
        <v>237</v>
      </c>
      <c r="E486" s="19">
        <f>VLOOKUP(C:C,Courts!B:C,2,FALSE)</f>
        <v>48</v>
      </c>
      <c r="F486" s="19">
        <f>VLOOKUP(C:C,Courts!B:E,4,FALSE)</f>
        <v>0</v>
      </c>
      <c r="G486" s="19">
        <f>VLOOKUP(C:C,Courts!B:D,3,FALSE)</f>
        <v>14</v>
      </c>
      <c r="H486" s="19">
        <f>VLOOKUP(C:C,Courts!B:F,5,FALSE)</f>
        <v>62</v>
      </c>
      <c r="I486" s="18" t="s">
        <v>11</v>
      </c>
      <c r="J486" s="19">
        <f>VLOOKUP(C:C,TooliD!B:T,19,FALSE)</f>
        <v>496</v>
      </c>
      <c r="K486" s="18">
        <f>VLOOKUP(C:C,TooliD!B:S,18,FALSE)</f>
        <v>400</v>
      </c>
      <c r="L486" s="19">
        <f t="shared" si="94"/>
        <v>-96</v>
      </c>
      <c r="M486" s="19" t="str">
        <f t="shared" si="92"/>
        <v>Shortfall</v>
      </c>
      <c r="N486" s="18"/>
    </row>
    <row r="487" spans="1:14" x14ac:dyDescent="0.25">
      <c r="A487" s="18" t="s">
        <v>158</v>
      </c>
      <c r="B487" s="18" t="s">
        <v>109</v>
      </c>
      <c r="C487" s="18" t="s">
        <v>109</v>
      </c>
      <c r="D487" s="18" t="s">
        <v>237</v>
      </c>
      <c r="E487" s="19">
        <f>VLOOKUP(C:C,Courts!B:C,2,FALSE)</f>
        <v>48</v>
      </c>
      <c r="F487" s="19">
        <f>VLOOKUP(C:C,Courts!B:E,4,FALSE)</f>
        <v>0</v>
      </c>
      <c r="G487" s="19">
        <f>VLOOKUP(C:C,Courts!B:D,3,FALSE)</f>
        <v>14</v>
      </c>
      <c r="H487" s="19">
        <f>VLOOKUP(C:C,Courts!B:F,5,FALSE)</f>
        <v>62</v>
      </c>
      <c r="I487" s="18" t="s">
        <v>212</v>
      </c>
      <c r="J487" s="19">
        <f>VLOOKUP(C:C,TooliD!B:W,22,FALSE)</f>
        <v>62</v>
      </c>
      <c r="K487" s="18">
        <f>VLOOKUP(C:C,TooliD!B:V,21,FALSE)</f>
        <v>54</v>
      </c>
      <c r="L487" s="19">
        <f t="shared" si="94"/>
        <v>-8</v>
      </c>
      <c r="M487" s="19" t="str">
        <f t="shared" si="92"/>
        <v>Shortfall</v>
      </c>
      <c r="N487" s="18"/>
    </row>
    <row r="488" spans="1:14" x14ac:dyDescent="0.25">
      <c r="A488" s="18" t="s">
        <v>158</v>
      </c>
      <c r="B488" s="18" t="s">
        <v>109</v>
      </c>
      <c r="C488" s="18" t="s">
        <v>110</v>
      </c>
      <c r="D488" s="18" t="s">
        <v>238</v>
      </c>
      <c r="E488" s="19">
        <f>VLOOKUP(C:C,Courts!B:C,2,FALSE)</f>
        <v>3</v>
      </c>
      <c r="F488" s="19">
        <f>VLOOKUP(C:C,Courts!B:E,4,FALSE)</f>
        <v>1</v>
      </c>
      <c r="G488" s="19">
        <f>VLOOKUP(C:C,Courts!B:D,3,FALSE)</f>
        <v>1</v>
      </c>
      <c r="H488" s="19">
        <f>VLOOKUP(C:C,Courts!B:F,5,FALSE)</f>
        <v>5</v>
      </c>
      <c r="I488" s="18" t="s">
        <v>7</v>
      </c>
      <c r="J488" s="19">
        <f>VLOOKUP(C:C,TooliD!B:H,7,FALSE)</f>
        <v>5</v>
      </c>
      <c r="K488" s="19">
        <f>VLOOKUP(C:C,TooliD!B:G,6,FALSE)</f>
        <v>4</v>
      </c>
      <c r="L488" s="19">
        <f>K488-J488</f>
        <v>-1</v>
      </c>
      <c r="M488" s="19" t="str">
        <f>IF(L488=0,"OK", IF(L488&gt;0,"Surplus","Shortfall"))</f>
        <v>Shortfall</v>
      </c>
      <c r="N488" s="18"/>
    </row>
    <row r="489" spans="1:14" x14ac:dyDescent="0.25">
      <c r="A489" s="18" t="s">
        <v>158</v>
      </c>
      <c r="B489" s="18" t="s">
        <v>109</v>
      </c>
      <c r="C489" s="18" t="s">
        <v>110</v>
      </c>
      <c r="D489" s="18" t="s">
        <v>238</v>
      </c>
      <c r="E489" s="19">
        <f>VLOOKUP(C:C,Courts!B:C,2,FALSE)</f>
        <v>3</v>
      </c>
      <c r="F489" s="19">
        <f>VLOOKUP(C:C,Courts!B:E,4,FALSE)</f>
        <v>1</v>
      </c>
      <c r="G489" s="19">
        <f>VLOOKUP(C:C,Courts!B:D,3,FALSE)</f>
        <v>1</v>
      </c>
      <c r="H489" s="19">
        <f>VLOOKUP(C:C,Courts!B:F,5,FALSE)</f>
        <v>5</v>
      </c>
      <c r="I489" s="18" t="s">
        <v>241</v>
      </c>
      <c r="J489" s="19">
        <f>VLOOKUP(C:C,TooliD!B:K,7,FALSE)</f>
        <v>5</v>
      </c>
      <c r="K489" s="19">
        <f>VLOOKUP(C:C,TooliD!B:J,9,FALSE)</f>
        <v>3</v>
      </c>
      <c r="L489" s="19">
        <f t="shared" ref="L489:L493" si="95">K489-J489</f>
        <v>-2</v>
      </c>
      <c r="M489" s="19" t="str">
        <f t="shared" si="92"/>
        <v>Shortfall</v>
      </c>
      <c r="N489" s="18"/>
    </row>
    <row r="490" spans="1:14" x14ac:dyDescent="0.25">
      <c r="A490" s="18" t="s">
        <v>158</v>
      </c>
      <c r="B490" s="18" t="s">
        <v>109</v>
      </c>
      <c r="C490" s="18" t="s">
        <v>110</v>
      </c>
      <c r="D490" s="18" t="s">
        <v>238</v>
      </c>
      <c r="E490" s="19">
        <f>VLOOKUP(C:C,Courts!B:C,2,FALSE)</f>
        <v>3</v>
      </c>
      <c r="F490" s="19">
        <f>VLOOKUP(C:C,Courts!B:E,4,FALSE)</f>
        <v>1</v>
      </c>
      <c r="G490" s="19">
        <f>VLOOKUP(C:C,Courts!B:D,3,FALSE)</f>
        <v>1</v>
      </c>
      <c r="H490" s="19">
        <f>VLOOKUP(C:C,Courts!B:F,5,FALSE)</f>
        <v>5</v>
      </c>
      <c r="I490" s="18" t="s">
        <v>9</v>
      </c>
      <c r="J490" s="19">
        <f>VLOOKUP(C:C,TooliD!B:N,13,FALSE)</f>
        <v>5</v>
      </c>
      <c r="K490" s="18">
        <f>VLOOKUP(C:C,TooliD!B:M,12,FALSE)</f>
        <v>4</v>
      </c>
      <c r="L490" s="19">
        <f t="shared" si="95"/>
        <v>-1</v>
      </c>
      <c r="M490" s="19" t="str">
        <f t="shared" si="92"/>
        <v>Shortfall</v>
      </c>
      <c r="N490" s="18"/>
    </row>
    <row r="491" spans="1:14" x14ac:dyDescent="0.25">
      <c r="A491" s="18" t="s">
        <v>158</v>
      </c>
      <c r="B491" s="18" t="s">
        <v>109</v>
      </c>
      <c r="C491" s="18" t="s">
        <v>110</v>
      </c>
      <c r="D491" s="18" t="s">
        <v>238</v>
      </c>
      <c r="E491" s="19">
        <f>VLOOKUP(C:C,Courts!B:C,2,FALSE)</f>
        <v>3</v>
      </c>
      <c r="F491" s="19">
        <f>VLOOKUP(C:C,Courts!B:E,4,FALSE)</f>
        <v>1</v>
      </c>
      <c r="G491" s="19">
        <f>VLOOKUP(C:C,Courts!B:D,3,FALSE)</f>
        <v>1</v>
      </c>
      <c r="H491" s="19">
        <f>VLOOKUP(C:C,Courts!B:F,5,FALSE)</f>
        <v>5</v>
      </c>
      <c r="I491" s="18" t="s">
        <v>239</v>
      </c>
      <c r="J491" s="19">
        <f>VLOOKUP(C:C,TooliD!B:Q,16,FALSE)</f>
        <v>8</v>
      </c>
      <c r="K491" s="18">
        <f>VLOOKUP(C:C,TooliD!B:P,15,FALSE)</f>
        <v>9</v>
      </c>
      <c r="L491" s="19">
        <f t="shared" si="95"/>
        <v>1</v>
      </c>
      <c r="M491" s="19" t="str">
        <f t="shared" si="92"/>
        <v>Surplus</v>
      </c>
      <c r="N491" s="18"/>
    </row>
    <row r="492" spans="1:14" x14ac:dyDescent="0.25">
      <c r="A492" s="18" t="s">
        <v>158</v>
      </c>
      <c r="B492" s="18" t="s">
        <v>109</v>
      </c>
      <c r="C492" s="18" t="s">
        <v>110</v>
      </c>
      <c r="D492" s="18" t="s">
        <v>238</v>
      </c>
      <c r="E492" s="19">
        <f>VLOOKUP(C:C,Courts!B:C,2,FALSE)</f>
        <v>3</v>
      </c>
      <c r="F492" s="19">
        <f>VLOOKUP(C:C,Courts!B:E,4,FALSE)</f>
        <v>1</v>
      </c>
      <c r="G492" s="19">
        <f>VLOOKUP(C:C,Courts!B:D,3,FALSE)</f>
        <v>1</v>
      </c>
      <c r="H492" s="19">
        <f>VLOOKUP(C:C,Courts!B:F,5,FALSE)</f>
        <v>5</v>
      </c>
      <c r="I492" s="18" t="s">
        <v>11</v>
      </c>
      <c r="J492" s="19">
        <f>VLOOKUP(C:C,TooliD!B:T,19,FALSE)</f>
        <v>36</v>
      </c>
      <c r="K492" s="18">
        <f>VLOOKUP(C:C,TooliD!B:S,18,FALSE)</f>
        <v>29</v>
      </c>
      <c r="L492" s="19">
        <f t="shared" si="95"/>
        <v>-7</v>
      </c>
      <c r="M492" s="19" t="str">
        <f t="shared" si="92"/>
        <v>Shortfall</v>
      </c>
      <c r="N492" s="18"/>
    </row>
    <row r="493" spans="1:14" x14ac:dyDescent="0.25">
      <c r="A493" s="18" t="s">
        <v>158</v>
      </c>
      <c r="B493" s="18" t="s">
        <v>109</v>
      </c>
      <c r="C493" s="18" t="s">
        <v>110</v>
      </c>
      <c r="D493" s="18" t="s">
        <v>238</v>
      </c>
      <c r="E493" s="19">
        <f>VLOOKUP(C:C,Courts!B:C,2,FALSE)</f>
        <v>3</v>
      </c>
      <c r="F493" s="19">
        <f>VLOOKUP(C:C,Courts!B:E,4,FALSE)</f>
        <v>1</v>
      </c>
      <c r="G493" s="19">
        <f>VLOOKUP(C:C,Courts!B:D,3,FALSE)</f>
        <v>1</v>
      </c>
      <c r="H493" s="19">
        <f>VLOOKUP(C:C,Courts!B:F,5,FALSE)</f>
        <v>5</v>
      </c>
      <c r="I493" s="18" t="s">
        <v>212</v>
      </c>
      <c r="J493" s="19">
        <f>VLOOKUP(C:C,TooliD!B:W,22,FALSE)</f>
        <v>5</v>
      </c>
      <c r="K493" s="18">
        <f>VLOOKUP(C:C,TooliD!B:V,21,FALSE)</f>
        <v>4</v>
      </c>
      <c r="L493" s="19">
        <f t="shared" si="95"/>
        <v>-1</v>
      </c>
      <c r="M493" s="19" t="str">
        <f t="shared" si="92"/>
        <v>Shortfall</v>
      </c>
      <c r="N493" s="18"/>
    </row>
    <row r="494" spans="1:14" x14ac:dyDescent="0.25">
      <c r="A494" s="18" t="s">
        <v>158</v>
      </c>
      <c r="B494" s="18" t="s">
        <v>109</v>
      </c>
      <c r="C494" s="18" t="s">
        <v>111</v>
      </c>
      <c r="D494" s="18" t="s">
        <v>238</v>
      </c>
      <c r="E494" s="19">
        <f>VLOOKUP(C:C,Courts!B:C,2,FALSE)</f>
        <v>3</v>
      </c>
      <c r="F494" s="19">
        <f>VLOOKUP(C:C,Courts!B:E,4,FALSE)</f>
        <v>1</v>
      </c>
      <c r="G494" s="19">
        <f>VLOOKUP(C:C,Courts!B:D,3,FALSE)</f>
        <v>1</v>
      </c>
      <c r="H494" s="19">
        <f>VLOOKUP(C:C,Courts!B:F,5,FALSE)</f>
        <v>5</v>
      </c>
      <c r="I494" s="18" t="s">
        <v>7</v>
      </c>
      <c r="J494" s="19">
        <f>VLOOKUP(C:C,TooliD!B:H,7,FALSE)</f>
        <v>5</v>
      </c>
      <c r="K494" s="19">
        <f>VLOOKUP(C:C,TooliD!B:G,6,FALSE)</f>
        <v>4</v>
      </c>
      <c r="L494" s="19">
        <f>K494-J494</f>
        <v>-1</v>
      </c>
      <c r="M494" s="19" t="str">
        <f>IF(L494=0,"OK", IF(L494&gt;0,"Surplus","Shortfall"))</f>
        <v>Shortfall</v>
      </c>
      <c r="N494" s="18"/>
    </row>
    <row r="495" spans="1:14" x14ac:dyDescent="0.25">
      <c r="A495" s="18" t="s">
        <v>158</v>
      </c>
      <c r="B495" s="18" t="s">
        <v>109</v>
      </c>
      <c r="C495" s="18" t="s">
        <v>111</v>
      </c>
      <c r="D495" s="18" t="s">
        <v>238</v>
      </c>
      <c r="E495" s="19">
        <f>VLOOKUP(C:C,Courts!B:C,2,FALSE)</f>
        <v>3</v>
      </c>
      <c r="F495" s="19">
        <f>VLOOKUP(C:C,Courts!B:E,4,FALSE)</f>
        <v>1</v>
      </c>
      <c r="G495" s="19">
        <f>VLOOKUP(C:C,Courts!B:D,3,FALSE)</f>
        <v>1</v>
      </c>
      <c r="H495" s="19">
        <f>VLOOKUP(C:C,Courts!B:F,5,FALSE)</f>
        <v>5</v>
      </c>
      <c r="I495" s="18" t="s">
        <v>241</v>
      </c>
      <c r="J495" s="19">
        <f>VLOOKUP(C:C,TooliD!B:K,7,FALSE)</f>
        <v>5</v>
      </c>
      <c r="K495" s="19">
        <f>VLOOKUP(C:C,TooliD!B:J,9,FALSE)</f>
        <v>4</v>
      </c>
      <c r="L495" s="19">
        <f t="shared" ref="L495:L499" si="96">K495-J495</f>
        <v>-1</v>
      </c>
      <c r="M495" s="19" t="str">
        <f t="shared" si="92"/>
        <v>Shortfall</v>
      </c>
      <c r="N495" s="18"/>
    </row>
    <row r="496" spans="1:14" x14ac:dyDescent="0.25">
      <c r="A496" s="18" t="s">
        <v>158</v>
      </c>
      <c r="B496" s="18" t="s">
        <v>109</v>
      </c>
      <c r="C496" s="18" t="s">
        <v>111</v>
      </c>
      <c r="D496" s="18" t="s">
        <v>238</v>
      </c>
      <c r="E496" s="19">
        <f>VLOOKUP(C:C,Courts!B:C,2,FALSE)</f>
        <v>3</v>
      </c>
      <c r="F496" s="19">
        <f>VLOOKUP(C:C,Courts!B:E,4,FALSE)</f>
        <v>1</v>
      </c>
      <c r="G496" s="19">
        <f>VLOOKUP(C:C,Courts!B:D,3,FALSE)</f>
        <v>1</v>
      </c>
      <c r="H496" s="19">
        <f>VLOOKUP(C:C,Courts!B:F,5,FALSE)</f>
        <v>5</v>
      </c>
      <c r="I496" s="18" t="s">
        <v>9</v>
      </c>
      <c r="J496" s="19">
        <f>VLOOKUP(C:C,TooliD!B:N,13,FALSE)</f>
        <v>5</v>
      </c>
      <c r="K496" s="18">
        <f>VLOOKUP(C:C,TooliD!B:M,12,FALSE)</f>
        <v>4</v>
      </c>
      <c r="L496" s="19">
        <f t="shared" si="96"/>
        <v>-1</v>
      </c>
      <c r="M496" s="19" t="str">
        <f t="shared" si="92"/>
        <v>Shortfall</v>
      </c>
      <c r="N496" s="18"/>
    </row>
    <row r="497" spans="1:14" x14ac:dyDescent="0.25">
      <c r="A497" s="18" t="s">
        <v>158</v>
      </c>
      <c r="B497" s="18" t="s">
        <v>109</v>
      </c>
      <c r="C497" s="18" t="s">
        <v>111</v>
      </c>
      <c r="D497" s="18" t="s">
        <v>238</v>
      </c>
      <c r="E497" s="19">
        <f>VLOOKUP(C:C,Courts!B:C,2,FALSE)</f>
        <v>3</v>
      </c>
      <c r="F497" s="19">
        <f>VLOOKUP(C:C,Courts!B:E,4,FALSE)</f>
        <v>1</v>
      </c>
      <c r="G497" s="19">
        <f>VLOOKUP(C:C,Courts!B:D,3,FALSE)</f>
        <v>1</v>
      </c>
      <c r="H497" s="19">
        <f>VLOOKUP(C:C,Courts!B:F,5,FALSE)</f>
        <v>5</v>
      </c>
      <c r="I497" s="18" t="s">
        <v>239</v>
      </c>
      <c r="J497" s="19">
        <f>VLOOKUP(C:C,TooliD!B:Q,16,FALSE)</f>
        <v>8</v>
      </c>
      <c r="K497" s="18">
        <f>VLOOKUP(C:C,TooliD!B:P,15,FALSE)</f>
        <v>9</v>
      </c>
      <c r="L497" s="19">
        <f t="shared" si="96"/>
        <v>1</v>
      </c>
      <c r="M497" s="19" t="str">
        <f t="shared" si="92"/>
        <v>Surplus</v>
      </c>
      <c r="N497" s="18"/>
    </row>
    <row r="498" spans="1:14" x14ac:dyDescent="0.25">
      <c r="A498" s="18" t="s">
        <v>158</v>
      </c>
      <c r="B498" s="18" t="s">
        <v>109</v>
      </c>
      <c r="C498" s="18" t="s">
        <v>111</v>
      </c>
      <c r="D498" s="18" t="s">
        <v>238</v>
      </c>
      <c r="E498" s="19">
        <f>VLOOKUP(C:C,Courts!B:C,2,FALSE)</f>
        <v>3</v>
      </c>
      <c r="F498" s="19">
        <f>VLOOKUP(C:C,Courts!B:E,4,FALSE)</f>
        <v>1</v>
      </c>
      <c r="G498" s="19">
        <f>VLOOKUP(C:C,Courts!B:D,3,FALSE)</f>
        <v>1</v>
      </c>
      <c r="H498" s="19">
        <f>VLOOKUP(C:C,Courts!B:F,5,FALSE)</f>
        <v>5</v>
      </c>
      <c r="I498" s="18" t="s">
        <v>11</v>
      </c>
      <c r="J498" s="19">
        <f>VLOOKUP(C:C,TooliD!B:T,19,FALSE)</f>
        <v>36</v>
      </c>
      <c r="K498" s="18">
        <f>VLOOKUP(C:C,TooliD!B:S,18,FALSE)</f>
        <v>29</v>
      </c>
      <c r="L498" s="19">
        <f t="shared" si="96"/>
        <v>-7</v>
      </c>
      <c r="M498" s="19" t="str">
        <f t="shared" si="92"/>
        <v>Shortfall</v>
      </c>
      <c r="N498" s="18"/>
    </row>
    <row r="499" spans="1:14" x14ac:dyDescent="0.25">
      <c r="A499" s="18" t="s">
        <v>158</v>
      </c>
      <c r="B499" s="18" t="s">
        <v>109</v>
      </c>
      <c r="C499" s="18" t="s">
        <v>111</v>
      </c>
      <c r="D499" s="18" t="s">
        <v>238</v>
      </c>
      <c r="E499" s="19">
        <f>VLOOKUP(C:C,Courts!B:C,2,FALSE)</f>
        <v>3</v>
      </c>
      <c r="F499" s="19">
        <f>VLOOKUP(C:C,Courts!B:E,4,FALSE)</f>
        <v>1</v>
      </c>
      <c r="G499" s="19">
        <f>VLOOKUP(C:C,Courts!B:D,3,FALSE)</f>
        <v>1</v>
      </c>
      <c r="H499" s="19">
        <f>VLOOKUP(C:C,Courts!B:F,5,FALSE)</f>
        <v>5</v>
      </c>
      <c r="I499" s="18" t="s">
        <v>212</v>
      </c>
      <c r="J499" s="19">
        <f>VLOOKUP(C:C,TooliD!B:W,22,FALSE)</f>
        <v>5</v>
      </c>
      <c r="K499" s="18">
        <f>VLOOKUP(C:C,TooliD!B:V,21,FALSE)</f>
        <v>4</v>
      </c>
      <c r="L499" s="19">
        <f t="shared" si="96"/>
        <v>-1</v>
      </c>
      <c r="M499" s="19" t="str">
        <f t="shared" si="92"/>
        <v>Shortfall</v>
      </c>
      <c r="N499" s="18"/>
    </row>
    <row r="500" spans="1:14" x14ac:dyDescent="0.25">
      <c r="A500" s="18" t="s">
        <v>158</v>
      </c>
      <c r="B500" s="18" t="s">
        <v>112</v>
      </c>
      <c r="C500" s="18" t="s">
        <v>112</v>
      </c>
      <c r="D500" s="18" t="s">
        <v>237</v>
      </c>
      <c r="E500" s="19">
        <f>VLOOKUP(C:C,Courts!B:C,2,FALSE)</f>
        <v>23</v>
      </c>
      <c r="F500" s="19">
        <f>VLOOKUP(C:C,Courts!B:E,4,FALSE)</f>
        <v>0</v>
      </c>
      <c r="G500" s="19">
        <f>VLOOKUP(C:C,Courts!B:D,3,FALSE)</f>
        <v>9</v>
      </c>
      <c r="H500" s="19">
        <f>VLOOKUP(C:C,Courts!B:F,5,FALSE)</f>
        <v>32</v>
      </c>
      <c r="I500" s="18" t="s">
        <v>7</v>
      </c>
      <c r="J500" s="19">
        <f>VLOOKUP(C:C,TooliD!B:H,7,FALSE)</f>
        <v>32</v>
      </c>
      <c r="K500" s="19">
        <f>VLOOKUP(C:C,TooliD!B:G,6,FALSE)</f>
        <v>26</v>
      </c>
      <c r="L500" s="19">
        <f>K500-J500</f>
        <v>-6</v>
      </c>
      <c r="M500" s="19" t="str">
        <f>IF(L500=0,"OK", IF(L500&gt;0,"Surplus","Shortfall"))</f>
        <v>Shortfall</v>
      </c>
      <c r="N500" s="18"/>
    </row>
    <row r="501" spans="1:14" x14ac:dyDescent="0.25">
      <c r="A501" s="18" t="s">
        <v>158</v>
      </c>
      <c r="B501" s="18" t="s">
        <v>112</v>
      </c>
      <c r="C501" s="18" t="s">
        <v>112</v>
      </c>
      <c r="D501" s="18" t="s">
        <v>237</v>
      </c>
      <c r="E501" s="19">
        <f>VLOOKUP(C:C,Courts!B:C,2,FALSE)</f>
        <v>23</v>
      </c>
      <c r="F501" s="19">
        <f>VLOOKUP(C:C,Courts!B:E,4,FALSE)</f>
        <v>0</v>
      </c>
      <c r="G501" s="19">
        <f>VLOOKUP(C:C,Courts!B:D,3,FALSE)</f>
        <v>9</v>
      </c>
      <c r="H501" s="19">
        <f>VLOOKUP(C:C,Courts!B:F,5,FALSE)</f>
        <v>32</v>
      </c>
      <c r="I501" s="18" t="s">
        <v>241</v>
      </c>
      <c r="J501" s="19">
        <f>VLOOKUP(C:C,TooliD!B:K,7,FALSE)</f>
        <v>32</v>
      </c>
      <c r="K501" s="19">
        <f>VLOOKUP(C:C,TooliD!B:J,9,FALSE)</f>
        <v>21</v>
      </c>
      <c r="L501" s="19">
        <f t="shared" ref="L501:L505" si="97">K501-J501</f>
        <v>-11</v>
      </c>
      <c r="M501" s="19" t="str">
        <f t="shared" si="92"/>
        <v>Shortfall</v>
      </c>
      <c r="N501" s="18"/>
    </row>
    <row r="502" spans="1:14" x14ac:dyDescent="0.25">
      <c r="A502" s="18" t="s">
        <v>158</v>
      </c>
      <c r="B502" s="18" t="s">
        <v>112</v>
      </c>
      <c r="C502" s="18" t="s">
        <v>112</v>
      </c>
      <c r="D502" s="18" t="s">
        <v>237</v>
      </c>
      <c r="E502" s="19">
        <f>VLOOKUP(C:C,Courts!B:C,2,FALSE)</f>
        <v>23</v>
      </c>
      <c r="F502" s="19">
        <f>VLOOKUP(C:C,Courts!B:E,4,FALSE)</f>
        <v>0</v>
      </c>
      <c r="G502" s="19">
        <f>VLOOKUP(C:C,Courts!B:D,3,FALSE)</f>
        <v>9</v>
      </c>
      <c r="H502" s="19">
        <f>VLOOKUP(C:C,Courts!B:F,5,FALSE)</f>
        <v>32</v>
      </c>
      <c r="I502" s="18" t="s">
        <v>9</v>
      </c>
      <c r="J502" s="19">
        <f>VLOOKUP(C:C,TooliD!B:N,13,FALSE)</f>
        <v>32</v>
      </c>
      <c r="K502" s="18">
        <f>VLOOKUP(C:C,TooliD!B:M,12,FALSE)</f>
        <v>22</v>
      </c>
      <c r="L502" s="19">
        <f t="shared" si="97"/>
        <v>-10</v>
      </c>
      <c r="M502" s="19" t="str">
        <f t="shared" si="92"/>
        <v>Shortfall</v>
      </c>
      <c r="N502" s="18"/>
    </row>
    <row r="503" spans="1:14" x14ac:dyDescent="0.25">
      <c r="A503" s="18" t="s">
        <v>158</v>
      </c>
      <c r="B503" s="18" t="s">
        <v>112</v>
      </c>
      <c r="C503" s="18" t="s">
        <v>112</v>
      </c>
      <c r="D503" s="18" t="s">
        <v>237</v>
      </c>
      <c r="E503" s="19">
        <f>VLOOKUP(C:C,Courts!B:C,2,FALSE)</f>
        <v>23</v>
      </c>
      <c r="F503" s="19">
        <f>VLOOKUP(C:C,Courts!B:E,4,FALSE)</f>
        <v>0</v>
      </c>
      <c r="G503" s="19">
        <f>VLOOKUP(C:C,Courts!B:D,3,FALSE)</f>
        <v>9</v>
      </c>
      <c r="H503" s="19">
        <f>VLOOKUP(C:C,Courts!B:F,5,FALSE)</f>
        <v>32</v>
      </c>
      <c r="I503" s="18" t="s">
        <v>239</v>
      </c>
      <c r="J503" s="19">
        <f>VLOOKUP(C:C,TooliD!B:Q,16,FALSE)</f>
        <v>64</v>
      </c>
      <c r="K503" s="18">
        <f>VLOOKUP(C:C,TooliD!B:P,15,FALSE)</f>
        <v>44</v>
      </c>
      <c r="L503" s="19">
        <f t="shared" si="97"/>
        <v>-20</v>
      </c>
      <c r="M503" s="19" t="str">
        <f t="shared" si="92"/>
        <v>Shortfall</v>
      </c>
      <c r="N503" s="18"/>
    </row>
    <row r="504" spans="1:14" x14ac:dyDescent="0.25">
      <c r="A504" s="18" t="s">
        <v>158</v>
      </c>
      <c r="B504" s="18" t="s">
        <v>112</v>
      </c>
      <c r="C504" s="18" t="s">
        <v>112</v>
      </c>
      <c r="D504" s="18" t="s">
        <v>237</v>
      </c>
      <c r="E504" s="19">
        <f>VLOOKUP(C:C,Courts!B:C,2,FALSE)</f>
        <v>23</v>
      </c>
      <c r="F504" s="19">
        <f>VLOOKUP(C:C,Courts!B:E,4,FALSE)</f>
        <v>0</v>
      </c>
      <c r="G504" s="19">
        <f>VLOOKUP(C:C,Courts!B:D,3,FALSE)</f>
        <v>9</v>
      </c>
      <c r="H504" s="19">
        <f>VLOOKUP(C:C,Courts!B:F,5,FALSE)</f>
        <v>32</v>
      </c>
      <c r="I504" s="18" t="s">
        <v>11</v>
      </c>
      <c r="J504" s="19">
        <f>VLOOKUP(C:C,TooliD!B:T,19,FALSE)</f>
        <v>256</v>
      </c>
      <c r="K504" s="18">
        <f>VLOOKUP(C:C,TooliD!B:S,18,FALSE)</f>
        <v>180</v>
      </c>
      <c r="L504" s="19">
        <f t="shared" si="97"/>
        <v>-76</v>
      </c>
      <c r="M504" s="19" t="str">
        <f t="shared" si="92"/>
        <v>Shortfall</v>
      </c>
      <c r="N504" s="18"/>
    </row>
    <row r="505" spans="1:14" x14ac:dyDescent="0.25">
      <c r="A505" s="18" t="s">
        <v>158</v>
      </c>
      <c r="B505" s="18" t="s">
        <v>112</v>
      </c>
      <c r="C505" s="18" t="s">
        <v>112</v>
      </c>
      <c r="D505" s="18" t="s">
        <v>237</v>
      </c>
      <c r="E505" s="19">
        <f>VLOOKUP(C:C,Courts!B:C,2,FALSE)</f>
        <v>23</v>
      </c>
      <c r="F505" s="19">
        <f>VLOOKUP(C:C,Courts!B:E,4,FALSE)</f>
        <v>0</v>
      </c>
      <c r="G505" s="19">
        <f>VLOOKUP(C:C,Courts!B:D,3,FALSE)</f>
        <v>9</v>
      </c>
      <c r="H505" s="19">
        <f>VLOOKUP(C:C,Courts!B:F,5,FALSE)</f>
        <v>32</v>
      </c>
      <c r="I505" s="18" t="s">
        <v>212</v>
      </c>
      <c r="J505" s="19">
        <f>VLOOKUP(C:C,TooliD!B:W,22,FALSE)</f>
        <v>32</v>
      </c>
      <c r="K505" s="18">
        <f>VLOOKUP(C:C,TooliD!B:V,21,FALSE)</f>
        <v>24</v>
      </c>
      <c r="L505" s="19">
        <f t="shared" si="97"/>
        <v>-8</v>
      </c>
      <c r="M505" s="19" t="str">
        <f t="shared" si="92"/>
        <v>Shortfall</v>
      </c>
      <c r="N505" s="18"/>
    </row>
    <row r="506" spans="1:14" x14ac:dyDescent="0.25">
      <c r="A506" s="18" t="s">
        <v>158</v>
      </c>
      <c r="B506" s="18" t="s">
        <v>112</v>
      </c>
      <c r="C506" s="18" t="s">
        <v>113</v>
      </c>
      <c r="D506" s="18" t="s">
        <v>238</v>
      </c>
      <c r="E506" s="19">
        <f>VLOOKUP(C:C,Courts!B:C,2,FALSE)</f>
        <v>3</v>
      </c>
      <c r="F506" s="19">
        <f>VLOOKUP(C:C,Courts!B:E,4,FALSE)</f>
        <v>1</v>
      </c>
      <c r="G506" s="19">
        <f>VLOOKUP(C:C,Courts!B:D,3,FALSE)</f>
        <v>1</v>
      </c>
      <c r="H506" s="19">
        <f>VLOOKUP(C:C,Courts!B:F,5,FALSE)</f>
        <v>5</v>
      </c>
      <c r="I506" s="18" t="s">
        <v>7</v>
      </c>
      <c r="J506" s="19">
        <f>VLOOKUP(C:C,TooliD!B:H,7,FALSE)</f>
        <v>5</v>
      </c>
      <c r="K506" s="19">
        <f>VLOOKUP(C:C,TooliD!B:G,6,FALSE)</f>
        <v>5</v>
      </c>
      <c r="L506" s="19">
        <f>K506-J506</f>
        <v>0</v>
      </c>
      <c r="M506" s="19" t="str">
        <f>IF(L506=0,"OK", IF(L506&gt;0,"Surplus","Shortfall"))</f>
        <v>OK</v>
      </c>
      <c r="N506" s="18"/>
    </row>
    <row r="507" spans="1:14" x14ac:dyDescent="0.25">
      <c r="A507" s="18" t="s">
        <v>158</v>
      </c>
      <c r="B507" s="18" t="s">
        <v>112</v>
      </c>
      <c r="C507" s="18" t="s">
        <v>113</v>
      </c>
      <c r="D507" s="18" t="s">
        <v>238</v>
      </c>
      <c r="E507" s="19">
        <f>VLOOKUP(C:C,Courts!B:C,2,FALSE)</f>
        <v>3</v>
      </c>
      <c r="F507" s="19">
        <f>VLOOKUP(C:C,Courts!B:E,4,FALSE)</f>
        <v>1</v>
      </c>
      <c r="G507" s="19">
        <f>VLOOKUP(C:C,Courts!B:D,3,FALSE)</f>
        <v>1</v>
      </c>
      <c r="H507" s="19">
        <f>VLOOKUP(C:C,Courts!B:F,5,FALSE)</f>
        <v>5</v>
      </c>
      <c r="I507" s="18" t="s">
        <v>241</v>
      </c>
      <c r="J507" s="19">
        <f>VLOOKUP(C:C,TooliD!B:K,7,FALSE)</f>
        <v>5</v>
      </c>
      <c r="K507" s="19">
        <f>VLOOKUP(C:C,TooliD!B:J,9,FALSE)</f>
        <v>4</v>
      </c>
      <c r="L507" s="19">
        <f t="shared" ref="L507:L511" si="98">K507-J507</f>
        <v>-1</v>
      </c>
      <c r="M507" s="19" t="str">
        <f t="shared" si="92"/>
        <v>Shortfall</v>
      </c>
      <c r="N507" s="18"/>
    </row>
    <row r="508" spans="1:14" x14ac:dyDescent="0.25">
      <c r="A508" s="18" t="s">
        <v>158</v>
      </c>
      <c r="B508" s="18" t="s">
        <v>112</v>
      </c>
      <c r="C508" s="18" t="s">
        <v>113</v>
      </c>
      <c r="D508" s="18" t="s">
        <v>238</v>
      </c>
      <c r="E508" s="19">
        <f>VLOOKUP(C:C,Courts!B:C,2,FALSE)</f>
        <v>3</v>
      </c>
      <c r="F508" s="19">
        <f>VLOOKUP(C:C,Courts!B:E,4,FALSE)</f>
        <v>1</v>
      </c>
      <c r="G508" s="19">
        <f>VLOOKUP(C:C,Courts!B:D,3,FALSE)</f>
        <v>1</v>
      </c>
      <c r="H508" s="19">
        <f>VLOOKUP(C:C,Courts!B:F,5,FALSE)</f>
        <v>5</v>
      </c>
      <c r="I508" s="18" t="s">
        <v>9</v>
      </c>
      <c r="J508" s="19">
        <f>VLOOKUP(C:C,TooliD!B:N,13,FALSE)</f>
        <v>5</v>
      </c>
      <c r="K508" s="18">
        <f>VLOOKUP(C:C,TooliD!B:M,12,FALSE)</f>
        <v>5</v>
      </c>
      <c r="L508" s="19">
        <f t="shared" si="98"/>
        <v>0</v>
      </c>
      <c r="M508" s="19" t="str">
        <f t="shared" si="92"/>
        <v>OK</v>
      </c>
      <c r="N508" s="18"/>
    </row>
    <row r="509" spans="1:14" x14ac:dyDescent="0.25">
      <c r="A509" s="18" t="s">
        <v>158</v>
      </c>
      <c r="B509" s="18" t="s">
        <v>112</v>
      </c>
      <c r="C509" s="18" t="s">
        <v>113</v>
      </c>
      <c r="D509" s="18" t="s">
        <v>238</v>
      </c>
      <c r="E509" s="19">
        <f>VLOOKUP(C:C,Courts!B:C,2,FALSE)</f>
        <v>3</v>
      </c>
      <c r="F509" s="19">
        <f>VLOOKUP(C:C,Courts!B:E,4,FALSE)</f>
        <v>1</v>
      </c>
      <c r="G509" s="19">
        <f>VLOOKUP(C:C,Courts!B:D,3,FALSE)</f>
        <v>1</v>
      </c>
      <c r="H509" s="19">
        <f>VLOOKUP(C:C,Courts!B:F,5,FALSE)</f>
        <v>5</v>
      </c>
      <c r="I509" s="18" t="s">
        <v>239</v>
      </c>
      <c r="J509" s="19">
        <f>VLOOKUP(C:C,TooliD!B:Q,16,FALSE)</f>
        <v>8</v>
      </c>
      <c r="K509" s="18">
        <f>VLOOKUP(C:C,TooliD!B:P,15,FALSE)</f>
        <v>9</v>
      </c>
      <c r="L509" s="19">
        <f t="shared" si="98"/>
        <v>1</v>
      </c>
      <c r="M509" s="19" t="str">
        <f t="shared" si="92"/>
        <v>Surplus</v>
      </c>
      <c r="N509" s="18"/>
    </row>
    <row r="510" spans="1:14" x14ac:dyDescent="0.25">
      <c r="A510" s="18" t="s">
        <v>158</v>
      </c>
      <c r="B510" s="18" t="s">
        <v>112</v>
      </c>
      <c r="C510" s="18" t="s">
        <v>113</v>
      </c>
      <c r="D510" s="18" t="s">
        <v>238</v>
      </c>
      <c r="E510" s="19">
        <f>VLOOKUP(C:C,Courts!B:C,2,FALSE)</f>
        <v>3</v>
      </c>
      <c r="F510" s="19">
        <f>VLOOKUP(C:C,Courts!B:E,4,FALSE)</f>
        <v>1</v>
      </c>
      <c r="G510" s="19">
        <f>VLOOKUP(C:C,Courts!B:D,3,FALSE)</f>
        <v>1</v>
      </c>
      <c r="H510" s="19">
        <f>VLOOKUP(C:C,Courts!B:F,5,FALSE)</f>
        <v>5</v>
      </c>
      <c r="I510" s="18" t="s">
        <v>11</v>
      </c>
      <c r="J510" s="19">
        <f>VLOOKUP(C:C,TooliD!B:T,19,FALSE)</f>
        <v>36</v>
      </c>
      <c r="K510" s="18">
        <f>VLOOKUP(C:C,TooliD!B:S,18,FALSE)</f>
        <v>39</v>
      </c>
      <c r="L510" s="19">
        <f t="shared" si="98"/>
        <v>3</v>
      </c>
      <c r="M510" s="19" t="str">
        <f t="shared" si="92"/>
        <v>Surplus</v>
      </c>
      <c r="N510" s="18"/>
    </row>
    <row r="511" spans="1:14" x14ac:dyDescent="0.25">
      <c r="A511" s="18" t="s">
        <v>158</v>
      </c>
      <c r="B511" s="18" t="s">
        <v>112</v>
      </c>
      <c r="C511" s="18" t="s">
        <v>113</v>
      </c>
      <c r="D511" s="18" t="s">
        <v>238</v>
      </c>
      <c r="E511" s="19">
        <f>VLOOKUP(C:C,Courts!B:C,2,FALSE)</f>
        <v>3</v>
      </c>
      <c r="F511" s="19">
        <f>VLOOKUP(C:C,Courts!B:E,4,FALSE)</f>
        <v>1</v>
      </c>
      <c r="G511" s="19">
        <f>VLOOKUP(C:C,Courts!B:D,3,FALSE)</f>
        <v>1</v>
      </c>
      <c r="H511" s="19">
        <f>VLOOKUP(C:C,Courts!B:F,5,FALSE)</f>
        <v>5</v>
      </c>
      <c r="I511" s="18" t="s">
        <v>212</v>
      </c>
      <c r="J511" s="19">
        <f>VLOOKUP(C:C,TooliD!B:W,22,FALSE)</f>
        <v>5</v>
      </c>
      <c r="K511" s="18">
        <f>VLOOKUP(C:C,TooliD!B:V,21,FALSE)</f>
        <v>5</v>
      </c>
      <c r="L511" s="19">
        <f t="shared" si="98"/>
        <v>0</v>
      </c>
      <c r="M511" s="19" t="str">
        <f t="shared" si="92"/>
        <v>OK</v>
      </c>
      <c r="N511" s="18"/>
    </row>
    <row r="512" spans="1:14" x14ac:dyDescent="0.25">
      <c r="A512" s="18" t="s">
        <v>158</v>
      </c>
      <c r="B512" s="18" t="s">
        <v>112</v>
      </c>
      <c r="C512" s="18" t="s">
        <v>221</v>
      </c>
      <c r="D512" s="18" t="s">
        <v>238</v>
      </c>
      <c r="E512" s="19">
        <f>VLOOKUP(C:C,Courts!B:C,2,FALSE)</f>
        <v>1</v>
      </c>
      <c r="F512" s="19">
        <f>VLOOKUP(C:C,Courts!B:E,4,FALSE)</f>
        <v>1</v>
      </c>
      <c r="G512" s="19">
        <f>VLOOKUP(C:C,Courts!B:D,3,FALSE)</f>
        <v>0</v>
      </c>
      <c r="H512" s="19">
        <f>VLOOKUP(C:C,Courts!B:F,5,FALSE)</f>
        <v>2</v>
      </c>
      <c r="I512" s="18" t="s">
        <v>7</v>
      </c>
      <c r="J512" s="19">
        <f>VLOOKUP(C:C,TooliD!B:H,7,FALSE)</f>
        <v>2</v>
      </c>
      <c r="K512" s="19">
        <f>VLOOKUP(C:C,TooliD!B:G,6,FALSE)</f>
        <v>0</v>
      </c>
      <c r="L512" s="19">
        <f>K512-J512</f>
        <v>-2</v>
      </c>
      <c r="M512" s="19" t="str">
        <f>IF(L512=0,"OK", IF(L512&gt;0,"Surplus","Shortfall"))</f>
        <v>Shortfall</v>
      </c>
      <c r="N512" s="18"/>
    </row>
    <row r="513" spans="1:14" x14ac:dyDescent="0.25">
      <c r="A513" s="18" t="s">
        <v>158</v>
      </c>
      <c r="B513" s="18" t="s">
        <v>112</v>
      </c>
      <c r="C513" s="18" t="s">
        <v>221</v>
      </c>
      <c r="D513" s="18" t="s">
        <v>238</v>
      </c>
      <c r="E513" s="19">
        <f>VLOOKUP(C:C,Courts!B:C,2,FALSE)</f>
        <v>1</v>
      </c>
      <c r="F513" s="19">
        <f>VLOOKUP(C:C,Courts!B:E,4,FALSE)</f>
        <v>1</v>
      </c>
      <c r="G513" s="19">
        <f>VLOOKUP(C:C,Courts!B:D,3,FALSE)</f>
        <v>0</v>
      </c>
      <c r="H513" s="19">
        <f>VLOOKUP(C:C,Courts!B:F,5,FALSE)</f>
        <v>2</v>
      </c>
      <c r="I513" s="18" t="s">
        <v>241</v>
      </c>
      <c r="J513" s="19">
        <f>VLOOKUP(C:C,TooliD!B:K,7,FALSE)</f>
        <v>2</v>
      </c>
      <c r="K513" s="19">
        <f>VLOOKUP(C:C,TooliD!B:J,9,FALSE)</f>
        <v>0</v>
      </c>
      <c r="L513" s="19">
        <f t="shared" ref="L513:L517" si="99">K513-J513</f>
        <v>-2</v>
      </c>
      <c r="M513" s="19" t="str">
        <f t="shared" si="92"/>
        <v>Shortfall</v>
      </c>
      <c r="N513" s="18"/>
    </row>
    <row r="514" spans="1:14" x14ac:dyDescent="0.25">
      <c r="A514" s="18" t="s">
        <v>158</v>
      </c>
      <c r="B514" s="18" t="s">
        <v>112</v>
      </c>
      <c r="C514" s="18" t="s">
        <v>221</v>
      </c>
      <c r="D514" s="18" t="s">
        <v>238</v>
      </c>
      <c r="E514" s="19">
        <f>VLOOKUP(C:C,Courts!B:C,2,FALSE)</f>
        <v>1</v>
      </c>
      <c r="F514" s="19">
        <f>VLOOKUP(C:C,Courts!B:E,4,FALSE)</f>
        <v>1</v>
      </c>
      <c r="G514" s="19">
        <f>VLOOKUP(C:C,Courts!B:D,3,FALSE)</f>
        <v>0</v>
      </c>
      <c r="H514" s="19">
        <f>VLOOKUP(C:C,Courts!B:F,5,FALSE)</f>
        <v>2</v>
      </c>
      <c r="I514" s="18" t="s">
        <v>9</v>
      </c>
      <c r="J514" s="19">
        <f>VLOOKUP(C:C,TooliD!B:N,13,FALSE)</f>
        <v>2</v>
      </c>
      <c r="K514" s="18">
        <f>VLOOKUP(C:C,TooliD!B:M,12,FALSE)</f>
        <v>0</v>
      </c>
      <c r="L514" s="19">
        <f t="shared" si="99"/>
        <v>-2</v>
      </c>
      <c r="M514" s="19" t="str">
        <f t="shared" si="92"/>
        <v>Shortfall</v>
      </c>
      <c r="N514" s="18"/>
    </row>
    <row r="515" spans="1:14" x14ac:dyDescent="0.25">
      <c r="A515" s="18" t="s">
        <v>158</v>
      </c>
      <c r="B515" s="18" t="s">
        <v>112</v>
      </c>
      <c r="C515" s="18" t="s">
        <v>221</v>
      </c>
      <c r="D515" s="18" t="s">
        <v>238</v>
      </c>
      <c r="E515" s="19">
        <f>VLOOKUP(C:C,Courts!B:C,2,FALSE)</f>
        <v>1</v>
      </c>
      <c r="F515" s="19">
        <f>VLOOKUP(C:C,Courts!B:E,4,FALSE)</f>
        <v>1</v>
      </c>
      <c r="G515" s="19">
        <f>VLOOKUP(C:C,Courts!B:D,3,FALSE)</f>
        <v>0</v>
      </c>
      <c r="H515" s="19">
        <f>VLOOKUP(C:C,Courts!B:F,5,FALSE)</f>
        <v>2</v>
      </c>
      <c r="I515" s="18" t="s">
        <v>239</v>
      </c>
      <c r="J515" s="19">
        <f>VLOOKUP(C:C,TooliD!B:Q,16,FALSE)</f>
        <v>2</v>
      </c>
      <c r="K515" s="18">
        <f>VLOOKUP(C:C,TooliD!B:P,15,FALSE)</f>
        <v>0</v>
      </c>
      <c r="L515" s="19">
        <f t="shared" si="99"/>
        <v>-2</v>
      </c>
      <c r="M515" s="19" t="str">
        <f t="shared" si="92"/>
        <v>Shortfall</v>
      </c>
      <c r="N515" s="18"/>
    </row>
    <row r="516" spans="1:14" x14ac:dyDescent="0.25">
      <c r="A516" s="18" t="s">
        <v>158</v>
      </c>
      <c r="B516" s="18" t="s">
        <v>112</v>
      </c>
      <c r="C516" s="18" t="s">
        <v>221</v>
      </c>
      <c r="D516" s="18" t="s">
        <v>238</v>
      </c>
      <c r="E516" s="19">
        <f>VLOOKUP(C:C,Courts!B:C,2,FALSE)</f>
        <v>1</v>
      </c>
      <c r="F516" s="19">
        <f>VLOOKUP(C:C,Courts!B:E,4,FALSE)</f>
        <v>1</v>
      </c>
      <c r="G516" s="19">
        <f>VLOOKUP(C:C,Courts!B:D,3,FALSE)</f>
        <v>0</v>
      </c>
      <c r="H516" s="19">
        <f>VLOOKUP(C:C,Courts!B:F,5,FALSE)</f>
        <v>2</v>
      </c>
      <c r="I516" s="18" t="s">
        <v>11</v>
      </c>
      <c r="J516" s="19">
        <f>VLOOKUP(C:C,TooliD!B:T,19,FALSE)</f>
        <v>12</v>
      </c>
      <c r="K516" s="18">
        <f>VLOOKUP(C:C,TooliD!B:S,18,FALSE)</f>
        <v>0</v>
      </c>
      <c r="L516" s="19">
        <f t="shared" si="99"/>
        <v>-12</v>
      </c>
      <c r="M516" s="19" t="str">
        <f t="shared" si="92"/>
        <v>Shortfall</v>
      </c>
      <c r="N516" s="18"/>
    </row>
    <row r="517" spans="1:14" x14ac:dyDescent="0.25">
      <c r="A517" s="18" t="s">
        <v>158</v>
      </c>
      <c r="B517" s="18" t="s">
        <v>112</v>
      </c>
      <c r="C517" s="18" t="s">
        <v>221</v>
      </c>
      <c r="D517" s="18" t="s">
        <v>238</v>
      </c>
      <c r="E517" s="19">
        <f>VLOOKUP(C:C,Courts!B:C,2,FALSE)</f>
        <v>1</v>
      </c>
      <c r="F517" s="19">
        <f>VLOOKUP(C:C,Courts!B:E,4,FALSE)</f>
        <v>1</v>
      </c>
      <c r="G517" s="19">
        <f>VLOOKUP(C:C,Courts!B:D,3,FALSE)</f>
        <v>0</v>
      </c>
      <c r="H517" s="19">
        <f>VLOOKUP(C:C,Courts!B:F,5,FALSE)</f>
        <v>2</v>
      </c>
      <c r="I517" s="18" t="s">
        <v>212</v>
      </c>
      <c r="J517" s="19">
        <f>VLOOKUP(C:C,TooliD!B:W,22,FALSE)</f>
        <v>2</v>
      </c>
      <c r="K517" s="18">
        <f>VLOOKUP(C:C,TooliD!B:V,21,FALSE)</f>
        <v>0</v>
      </c>
      <c r="L517" s="19">
        <f t="shared" si="99"/>
        <v>-2</v>
      </c>
      <c r="M517" s="19" t="str">
        <f t="shared" si="92"/>
        <v>Shortfall</v>
      </c>
      <c r="N517" s="18"/>
    </row>
    <row r="518" spans="1:14" x14ac:dyDescent="0.25">
      <c r="A518" s="18" t="s">
        <v>158</v>
      </c>
      <c r="B518" s="18" t="s">
        <v>112</v>
      </c>
      <c r="C518" s="18" t="s">
        <v>222</v>
      </c>
      <c r="D518" s="18" t="s">
        <v>238</v>
      </c>
      <c r="E518" s="19">
        <f>VLOOKUP(C:C,Courts!B:C,2,FALSE)</f>
        <v>2</v>
      </c>
      <c r="F518" s="19">
        <f>VLOOKUP(C:C,Courts!B:E,4,FALSE)</f>
        <v>1</v>
      </c>
      <c r="G518" s="19">
        <f>VLOOKUP(C:C,Courts!B:D,3,FALSE)</f>
        <v>0</v>
      </c>
      <c r="H518" s="19">
        <f>VLOOKUP(C:C,Courts!B:F,5,FALSE)</f>
        <v>3</v>
      </c>
      <c r="I518" s="18" t="s">
        <v>7</v>
      </c>
      <c r="J518" s="19">
        <f>VLOOKUP(C:C,TooliD!B:H,7,FALSE)</f>
        <v>3</v>
      </c>
      <c r="K518" s="19">
        <f>VLOOKUP(C:C,TooliD!B:G,6,FALSE)</f>
        <v>0</v>
      </c>
      <c r="L518" s="19">
        <f>K518-J518</f>
        <v>-3</v>
      </c>
      <c r="M518" s="19" t="str">
        <f>IF(L518=0,"OK", IF(L518&gt;0,"Surplus","Shortfall"))</f>
        <v>Shortfall</v>
      </c>
      <c r="N518" s="18"/>
    </row>
    <row r="519" spans="1:14" x14ac:dyDescent="0.25">
      <c r="A519" s="18" t="s">
        <v>158</v>
      </c>
      <c r="B519" s="18" t="s">
        <v>112</v>
      </c>
      <c r="C519" s="18" t="s">
        <v>222</v>
      </c>
      <c r="D519" s="18" t="s">
        <v>238</v>
      </c>
      <c r="E519" s="19">
        <f>VLOOKUP(C:C,Courts!B:C,2,FALSE)</f>
        <v>2</v>
      </c>
      <c r="F519" s="19">
        <f>VLOOKUP(C:C,Courts!B:E,4,FALSE)</f>
        <v>1</v>
      </c>
      <c r="G519" s="19">
        <f>VLOOKUP(C:C,Courts!B:D,3,FALSE)</f>
        <v>0</v>
      </c>
      <c r="H519" s="19">
        <f>VLOOKUP(C:C,Courts!B:F,5,FALSE)</f>
        <v>3</v>
      </c>
      <c r="I519" s="18" t="s">
        <v>241</v>
      </c>
      <c r="J519" s="19">
        <f>VLOOKUP(C:C,TooliD!B:K,7,FALSE)</f>
        <v>3</v>
      </c>
      <c r="K519" s="19">
        <f>VLOOKUP(C:C,TooliD!B:J,9,FALSE)</f>
        <v>0</v>
      </c>
      <c r="L519" s="19">
        <f t="shared" ref="L519:L523" si="100">K519-J519</f>
        <v>-3</v>
      </c>
      <c r="M519" s="19" t="str">
        <f t="shared" si="92"/>
        <v>Shortfall</v>
      </c>
      <c r="N519" s="18"/>
    </row>
    <row r="520" spans="1:14" x14ac:dyDescent="0.25">
      <c r="A520" s="18" t="s">
        <v>158</v>
      </c>
      <c r="B520" s="18" t="s">
        <v>112</v>
      </c>
      <c r="C520" s="18" t="s">
        <v>222</v>
      </c>
      <c r="D520" s="18" t="s">
        <v>238</v>
      </c>
      <c r="E520" s="19">
        <f>VLOOKUP(C:C,Courts!B:C,2,FALSE)</f>
        <v>2</v>
      </c>
      <c r="F520" s="19">
        <f>VLOOKUP(C:C,Courts!B:E,4,FALSE)</f>
        <v>1</v>
      </c>
      <c r="G520" s="19">
        <f>VLOOKUP(C:C,Courts!B:D,3,FALSE)</f>
        <v>0</v>
      </c>
      <c r="H520" s="19">
        <f>VLOOKUP(C:C,Courts!B:F,5,FALSE)</f>
        <v>3</v>
      </c>
      <c r="I520" s="18" t="s">
        <v>9</v>
      </c>
      <c r="J520" s="19">
        <f>VLOOKUP(C:C,TooliD!B:N,13,FALSE)</f>
        <v>3</v>
      </c>
      <c r="K520" s="18">
        <f>VLOOKUP(C:C,TooliD!B:M,12,FALSE)</f>
        <v>0</v>
      </c>
      <c r="L520" s="19">
        <f t="shared" si="100"/>
        <v>-3</v>
      </c>
      <c r="M520" s="19" t="str">
        <f t="shared" si="92"/>
        <v>Shortfall</v>
      </c>
      <c r="N520" s="18"/>
    </row>
    <row r="521" spans="1:14" x14ac:dyDescent="0.25">
      <c r="A521" s="18" t="s">
        <v>158</v>
      </c>
      <c r="B521" s="18" t="s">
        <v>112</v>
      </c>
      <c r="C521" s="18" t="s">
        <v>222</v>
      </c>
      <c r="D521" s="18" t="s">
        <v>238</v>
      </c>
      <c r="E521" s="19">
        <f>VLOOKUP(C:C,Courts!B:C,2,FALSE)</f>
        <v>2</v>
      </c>
      <c r="F521" s="19">
        <f>VLOOKUP(C:C,Courts!B:E,4,FALSE)</f>
        <v>1</v>
      </c>
      <c r="G521" s="19">
        <f>VLOOKUP(C:C,Courts!B:D,3,FALSE)</f>
        <v>0</v>
      </c>
      <c r="H521" s="19">
        <f>VLOOKUP(C:C,Courts!B:F,5,FALSE)</f>
        <v>3</v>
      </c>
      <c r="I521" s="18" t="s">
        <v>239</v>
      </c>
      <c r="J521" s="19">
        <f>VLOOKUP(C:C,TooliD!B:Q,16,FALSE)</f>
        <v>4</v>
      </c>
      <c r="K521" s="18">
        <f>VLOOKUP(C:C,TooliD!B:P,15,FALSE)</f>
        <v>0</v>
      </c>
      <c r="L521" s="19">
        <f t="shared" si="100"/>
        <v>-4</v>
      </c>
      <c r="M521" s="19" t="str">
        <f t="shared" si="92"/>
        <v>Shortfall</v>
      </c>
      <c r="N521" s="18"/>
    </row>
    <row r="522" spans="1:14" x14ac:dyDescent="0.25">
      <c r="A522" s="18" t="s">
        <v>158</v>
      </c>
      <c r="B522" s="18" t="s">
        <v>112</v>
      </c>
      <c r="C522" s="18" t="s">
        <v>222</v>
      </c>
      <c r="D522" s="18" t="s">
        <v>238</v>
      </c>
      <c r="E522" s="19">
        <f>VLOOKUP(C:C,Courts!B:C,2,FALSE)</f>
        <v>2</v>
      </c>
      <c r="F522" s="19">
        <f>VLOOKUP(C:C,Courts!B:E,4,FALSE)</f>
        <v>1</v>
      </c>
      <c r="G522" s="19">
        <f>VLOOKUP(C:C,Courts!B:D,3,FALSE)</f>
        <v>0</v>
      </c>
      <c r="H522" s="19">
        <f>VLOOKUP(C:C,Courts!B:F,5,FALSE)</f>
        <v>3</v>
      </c>
      <c r="I522" s="18" t="s">
        <v>11</v>
      </c>
      <c r="J522" s="19">
        <f>VLOOKUP(C:C,TooliD!B:T,19,FALSE)</f>
        <v>20</v>
      </c>
      <c r="K522" s="18">
        <f>VLOOKUP(C:C,TooliD!B:S,18,FALSE)</f>
        <v>0</v>
      </c>
      <c r="L522" s="19">
        <f t="shared" si="100"/>
        <v>-20</v>
      </c>
      <c r="M522" s="19" t="str">
        <f t="shared" si="92"/>
        <v>Shortfall</v>
      </c>
      <c r="N522" s="18"/>
    </row>
    <row r="523" spans="1:14" x14ac:dyDescent="0.25">
      <c r="A523" s="18" t="s">
        <v>158</v>
      </c>
      <c r="B523" s="18" t="s">
        <v>112</v>
      </c>
      <c r="C523" s="18" t="s">
        <v>222</v>
      </c>
      <c r="D523" s="18" t="s">
        <v>238</v>
      </c>
      <c r="E523" s="19">
        <f>VLOOKUP(C:C,Courts!B:C,2,FALSE)</f>
        <v>2</v>
      </c>
      <c r="F523" s="19">
        <f>VLOOKUP(C:C,Courts!B:E,4,FALSE)</f>
        <v>1</v>
      </c>
      <c r="G523" s="19">
        <f>VLOOKUP(C:C,Courts!B:D,3,FALSE)</f>
        <v>0</v>
      </c>
      <c r="H523" s="19">
        <f>VLOOKUP(C:C,Courts!B:F,5,FALSE)</f>
        <v>3</v>
      </c>
      <c r="I523" s="18" t="s">
        <v>212</v>
      </c>
      <c r="J523" s="19">
        <f>VLOOKUP(C:C,TooliD!B:W,22,FALSE)</f>
        <v>3</v>
      </c>
      <c r="K523" s="18">
        <f>VLOOKUP(C:C,TooliD!B:V,21,FALSE)</f>
        <v>0</v>
      </c>
      <c r="L523" s="19">
        <f t="shared" si="100"/>
        <v>-3</v>
      </c>
      <c r="M523" s="19" t="str">
        <f t="shared" si="92"/>
        <v>Shortfall</v>
      </c>
      <c r="N523" s="18"/>
    </row>
    <row r="524" spans="1:14" x14ac:dyDescent="0.25">
      <c r="A524" s="18" t="s">
        <v>158</v>
      </c>
      <c r="B524" s="18" t="s">
        <v>114</v>
      </c>
      <c r="C524" s="18" t="s">
        <v>114</v>
      </c>
      <c r="D524" s="18" t="s">
        <v>237</v>
      </c>
      <c r="E524" s="19">
        <f>VLOOKUP(C:C,Courts!B:C,2,FALSE)</f>
        <v>11</v>
      </c>
      <c r="F524" s="19">
        <f>VLOOKUP(C:C,Courts!B:E,4,FALSE)</f>
        <v>0</v>
      </c>
      <c r="G524" s="19">
        <f>VLOOKUP(C:C,Courts!B:D,3,FALSE)</f>
        <v>2</v>
      </c>
      <c r="H524" s="19">
        <f>VLOOKUP(C:C,Courts!B:F,5,FALSE)</f>
        <v>13</v>
      </c>
      <c r="I524" s="18" t="s">
        <v>7</v>
      </c>
      <c r="J524" s="19">
        <f>VLOOKUP(C:C,TooliD!B:H,7,FALSE)</f>
        <v>13</v>
      </c>
      <c r="K524" s="19">
        <f>VLOOKUP(C:C,TooliD!B:G,6,FALSE)</f>
        <v>15</v>
      </c>
      <c r="L524" s="19">
        <f>K524-J524</f>
        <v>2</v>
      </c>
      <c r="M524" s="19" t="str">
        <f>IF(L524=0,"OK", IF(L524&gt;0,"Surplus","Shortfall"))</f>
        <v>Surplus</v>
      </c>
      <c r="N524" s="18"/>
    </row>
    <row r="525" spans="1:14" x14ac:dyDescent="0.25">
      <c r="A525" s="18" t="s">
        <v>158</v>
      </c>
      <c r="B525" s="18" t="s">
        <v>114</v>
      </c>
      <c r="C525" s="18" t="s">
        <v>114</v>
      </c>
      <c r="D525" s="18" t="s">
        <v>237</v>
      </c>
      <c r="E525" s="19">
        <f>VLOOKUP(C:C,Courts!B:C,2,FALSE)</f>
        <v>11</v>
      </c>
      <c r="F525" s="19">
        <f>VLOOKUP(C:C,Courts!B:E,4,FALSE)</f>
        <v>0</v>
      </c>
      <c r="G525" s="19">
        <f>VLOOKUP(C:C,Courts!B:D,3,FALSE)</f>
        <v>2</v>
      </c>
      <c r="H525" s="19">
        <f>VLOOKUP(C:C,Courts!B:F,5,FALSE)</f>
        <v>13</v>
      </c>
      <c r="I525" s="18" t="s">
        <v>241</v>
      </c>
      <c r="J525" s="19">
        <f>VLOOKUP(C:C,TooliD!B:K,7,FALSE)</f>
        <v>13</v>
      </c>
      <c r="K525" s="19">
        <f>VLOOKUP(C:C,TooliD!B:J,9,FALSE)</f>
        <v>11</v>
      </c>
      <c r="L525" s="19">
        <f t="shared" ref="L525:L529" si="101">K525-J525</f>
        <v>-2</v>
      </c>
      <c r="M525" s="19" t="str">
        <f t="shared" si="92"/>
        <v>Shortfall</v>
      </c>
      <c r="N525" s="18"/>
    </row>
    <row r="526" spans="1:14" x14ac:dyDescent="0.25">
      <c r="A526" s="18" t="s">
        <v>158</v>
      </c>
      <c r="B526" s="18" t="s">
        <v>114</v>
      </c>
      <c r="C526" s="18" t="s">
        <v>114</v>
      </c>
      <c r="D526" s="18" t="s">
        <v>237</v>
      </c>
      <c r="E526" s="19">
        <f>VLOOKUP(C:C,Courts!B:C,2,FALSE)</f>
        <v>11</v>
      </c>
      <c r="F526" s="19">
        <f>VLOOKUP(C:C,Courts!B:E,4,FALSE)</f>
        <v>0</v>
      </c>
      <c r="G526" s="19">
        <f>VLOOKUP(C:C,Courts!B:D,3,FALSE)</f>
        <v>2</v>
      </c>
      <c r="H526" s="19">
        <f>VLOOKUP(C:C,Courts!B:F,5,FALSE)</f>
        <v>13</v>
      </c>
      <c r="I526" s="18" t="s">
        <v>9</v>
      </c>
      <c r="J526" s="19">
        <f>VLOOKUP(C:C,TooliD!B:N,13,FALSE)</f>
        <v>13</v>
      </c>
      <c r="K526" s="18">
        <f>VLOOKUP(C:C,TooliD!B:M,12,FALSE)</f>
        <v>14</v>
      </c>
      <c r="L526" s="19">
        <f t="shared" si="101"/>
        <v>1</v>
      </c>
      <c r="M526" s="19" t="str">
        <f t="shared" si="92"/>
        <v>Surplus</v>
      </c>
      <c r="N526" s="18"/>
    </row>
    <row r="527" spans="1:14" x14ac:dyDescent="0.25">
      <c r="A527" s="18" t="s">
        <v>158</v>
      </c>
      <c r="B527" s="18" t="s">
        <v>114</v>
      </c>
      <c r="C527" s="18" t="s">
        <v>114</v>
      </c>
      <c r="D527" s="18" t="s">
        <v>237</v>
      </c>
      <c r="E527" s="19">
        <f>VLOOKUP(C:C,Courts!B:C,2,FALSE)</f>
        <v>11</v>
      </c>
      <c r="F527" s="19">
        <f>VLOOKUP(C:C,Courts!B:E,4,FALSE)</f>
        <v>0</v>
      </c>
      <c r="G527" s="19">
        <f>VLOOKUP(C:C,Courts!B:D,3,FALSE)</f>
        <v>2</v>
      </c>
      <c r="H527" s="19">
        <f>VLOOKUP(C:C,Courts!B:F,5,FALSE)</f>
        <v>13</v>
      </c>
      <c r="I527" s="18" t="s">
        <v>239</v>
      </c>
      <c r="J527" s="19">
        <f>VLOOKUP(C:C,TooliD!B:Q,16,FALSE)</f>
        <v>26</v>
      </c>
      <c r="K527" s="18">
        <f>VLOOKUP(C:C,TooliD!B:P,15,FALSE)</f>
        <v>33</v>
      </c>
      <c r="L527" s="19">
        <f t="shared" si="101"/>
        <v>7</v>
      </c>
      <c r="M527" s="19" t="str">
        <f t="shared" si="92"/>
        <v>Surplus</v>
      </c>
      <c r="N527" s="18"/>
    </row>
    <row r="528" spans="1:14" x14ac:dyDescent="0.25">
      <c r="A528" s="18" t="s">
        <v>158</v>
      </c>
      <c r="B528" s="18" t="s">
        <v>114</v>
      </c>
      <c r="C528" s="18" t="s">
        <v>114</v>
      </c>
      <c r="D528" s="18" t="s">
        <v>237</v>
      </c>
      <c r="E528" s="19">
        <f>VLOOKUP(C:C,Courts!B:C,2,FALSE)</f>
        <v>11</v>
      </c>
      <c r="F528" s="19">
        <f>VLOOKUP(C:C,Courts!B:E,4,FALSE)</f>
        <v>0</v>
      </c>
      <c r="G528" s="19">
        <f>VLOOKUP(C:C,Courts!B:D,3,FALSE)</f>
        <v>2</v>
      </c>
      <c r="H528" s="19">
        <f>VLOOKUP(C:C,Courts!B:F,5,FALSE)</f>
        <v>13</v>
      </c>
      <c r="I528" s="18" t="s">
        <v>11</v>
      </c>
      <c r="J528" s="19">
        <f>VLOOKUP(C:C,TooliD!B:T,19,FALSE)</f>
        <v>104</v>
      </c>
      <c r="K528" s="18">
        <f>VLOOKUP(C:C,TooliD!B:S,18,FALSE)</f>
        <v>102</v>
      </c>
      <c r="L528" s="19">
        <f t="shared" si="101"/>
        <v>-2</v>
      </c>
      <c r="M528" s="19" t="str">
        <f t="shared" si="92"/>
        <v>Shortfall</v>
      </c>
      <c r="N528" s="18"/>
    </row>
    <row r="529" spans="1:14" x14ac:dyDescent="0.25">
      <c r="A529" s="18" t="s">
        <v>158</v>
      </c>
      <c r="B529" s="18" t="s">
        <v>114</v>
      </c>
      <c r="C529" s="18" t="s">
        <v>114</v>
      </c>
      <c r="D529" s="18" t="s">
        <v>237</v>
      </c>
      <c r="E529" s="19">
        <f>VLOOKUP(C:C,Courts!B:C,2,FALSE)</f>
        <v>11</v>
      </c>
      <c r="F529" s="19">
        <f>VLOOKUP(C:C,Courts!B:E,4,FALSE)</f>
        <v>0</v>
      </c>
      <c r="G529" s="19">
        <f>VLOOKUP(C:C,Courts!B:D,3,FALSE)</f>
        <v>2</v>
      </c>
      <c r="H529" s="19">
        <f>VLOOKUP(C:C,Courts!B:F,5,FALSE)</f>
        <v>13</v>
      </c>
      <c r="I529" s="18" t="s">
        <v>212</v>
      </c>
      <c r="J529" s="19">
        <f>VLOOKUP(C:C,TooliD!B:W,22,FALSE)</f>
        <v>13</v>
      </c>
      <c r="K529" s="18">
        <f>VLOOKUP(C:C,TooliD!B:V,21,FALSE)</f>
        <v>15</v>
      </c>
      <c r="L529" s="19">
        <f t="shared" si="101"/>
        <v>2</v>
      </c>
      <c r="M529" s="19" t="str">
        <f t="shared" si="92"/>
        <v>Surplus</v>
      </c>
      <c r="N529" s="18"/>
    </row>
    <row r="530" spans="1:14" x14ac:dyDescent="0.25">
      <c r="A530" s="18" t="s">
        <v>158</v>
      </c>
      <c r="B530" s="18" t="s">
        <v>114</v>
      </c>
      <c r="C530" s="18" t="s">
        <v>115</v>
      </c>
      <c r="D530" s="18" t="s">
        <v>238</v>
      </c>
      <c r="E530" s="19">
        <f>VLOOKUP(C:C,Courts!B:C,2,FALSE)</f>
        <v>4</v>
      </c>
      <c r="F530" s="19">
        <f>VLOOKUP(C:C,Courts!B:E,4,FALSE)</f>
        <v>1</v>
      </c>
      <c r="G530" s="19">
        <f>VLOOKUP(C:C,Courts!B:D,3,FALSE)</f>
        <v>2</v>
      </c>
      <c r="H530" s="19">
        <f>VLOOKUP(C:C,Courts!B:F,5,FALSE)</f>
        <v>7</v>
      </c>
      <c r="I530" s="18" t="s">
        <v>7</v>
      </c>
      <c r="J530" s="19">
        <f>VLOOKUP(C:C,TooliD!B:H,7,FALSE)</f>
        <v>7</v>
      </c>
      <c r="K530" s="19">
        <f>VLOOKUP(C:C,TooliD!B:G,6,FALSE)</f>
        <v>7</v>
      </c>
      <c r="L530" s="19">
        <f>K530-J530</f>
        <v>0</v>
      </c>
      <c r="M530" s="19" t="str">
        <f>IF(L530=0,"OK", IF(L530&gt;0,"Surplus","Shortfall"))</f>
        <v>OK</v>
      </c>
      <c r="N530" s="18"/>
    </row>
    <row r="531" spans="1:14" x14ac:dyDescent="0.25">
      <c r="A531" s="18" t="s">
        <v>158</v>
      </c>
      <c r="B531" s="18" t="s">
        <v>114</v>
      </c>
      <c r="C531" s="18" t="s">
        <v>115</v>
      </c>
      <c r="D531" s="18" t="s">
        <v>238</v>
      </c>
      <c r="E531" s="19">
        <f>VLOOKUP(C:C,Courts!B:C,2,FALSE)</f>
        <v>4</v>
      </c>
      <c r="F531" s="19">
        <f>VLOOKUP(C:C,Courts!B:E,4,FALSE)</f>
        <v>1</v>
      </c>
      <c r="G531" s="19">
        <f>VLOOKUP(C:C,Courts!B:D,3,FALSE)</f>
        <v>2</v>
      </c>
      <c r="H531" s="19">
        <f>VLOOKUP(C:C,Courts!B:F,5,FALSE)</f>
        <v>7</v>
      </c>
      <c r="I531" s="18" t="s">
        <v>241</v>
      </c>
      <c r="J531" s="19">
        <f>VLOOKUP(C:C,TooliD!B:K,7,FALSE)</f>
        <v>7</v>
      </c>
      <c r="K531" s="19">
        <f>VLOOKUP(C:C,TooliD!B:J,9,FALSE)</f>
        <v>5</v>
      </c>
      <c r="L531" s="19">
        <f t="shared" ref="L531:L535" si="102">K531-J531</f>
        <v>-2</v>
      </c>
      <c r="M531" s="19" t="str">
        <f t="shared" si="92"/>
        <v>Shortfall</v>
      </c>
      <c r="N531" s="18"/>
    </row>
    <row r="532" spans="1:14" x14ac:dyDescent="0.25">
      <c r="A532" s="18" t="s">
        <v>158</v>
      </c>
      <c r="B532" s="18" t="s">
        <v>114</v>
      </c>
      <c r="C532" s="18" t="s">
        <v>115</v>
      </c>
      <c r="D532" s="18" t="s">
        <v>238</v>
      </c>
      <c r="E532" s="19">
        <f>VLOOKUP(C:C,Courts!B:C,2,FALSE)</f>
        <v>4</v>
      </c>
      <c r="F532" s="19">
        <f>VLOOKUP(C:C,Courts!B:E,4,FALSE)</f>
        <v>1</v>
      </c>
      <c r="G532" s="19">
        <f>VLOOKUP(C:C,Courts!B:D,3,FALSE)</f>
        <v>2</v>
      </c>
      <c r="H532" s="19">
        <f>VLOOKUP(C:C,Courts!B:F,5,FALSE)</f>
        <v>7</v>
      </c>
      <c r="I532" s="18" t="s">
        <v>9</v>
      </c>
      <c r="J532" s="19">
        <f>VLOOKUP(C:C,TooliD!B:N,13,FALSE)</f>
        <v>7</v>
      </c>
      <c r="K532" s="18">
        <f>VLOOKUP(C:C,TooliD!B:M,12,FALSE)</f>
        <v>6</v>
      </c>
      <c r="L532" s="19">
        <f t="shared" si="102"/>
        <v>-1</v>
      </c>
      <c r="M532" s="19" t="str">
        <f t="shared" si="92"/>
        <v>Shortfall</v>
      </c>
      <c r="N532" s="18"/>
    </row>
    <row r="533" spans="1:14" x14ac:dyDescent="0.25">
      <c r="A533" s="18" t="s">
        <v>158</v>
      </c>
      <c r="B533" s="18" t="s">
        <v>114</v>
      </c>
      <c r="C533" s="18" t="s">
        <v>115</v>
      </c>
      <c r="D533" s="18" t="s">
        <v>238</v>
      </c>
      <c r="E533" s="19">
        <f>VLOOKUP(C:C,Courts!B:C,2,FALSE)</f>
        <v>4</v>
      </c>
      <c r="F533" s="19">
        <f>VLOOKUP(C:C,Courts!B:E,4,FALSE)</f>
        <v>1</v>
      </c>
      <c r="G533" s="19">
        <f>VLOOKUP(C:C,Courts!B:D,3,FALSE)</f>
        <v>2</v>
      </c>
      <c r="H533" s="19">
        <f>VLOOKUP(C:C,Courts!B:F,5,FALSE)</f>
        <v>7</v>
      </c>
      <c r="I533" s="18" t="s">
        <v>239</v>
      </c>
      <c r="J533" s="19">
        <f>VLOOKUP(C:C,TooliD!B:Q,16,FALSE)</f>
        <v>12</v>
      </c>
      <c r="K533" s="18">
        <f>VLOOKUP(C:C,TooliD!B:P,15,FALSE)</f>
        <v>14</v>
      </c>
      <c r="L533" s="19">
        <f t="shared" si="102"/>
        <v>2</v>
      </c>
      <c r="M533" s="19" t="str">
        <f t="shared" si="92"/>
        <v>Surplus</v>
      </c>
      <c r="N533" s="18"/>
    </row>
    <row r="534" spans="1:14" x14ac:dyDescent="0.25">
      <c r="A534" s="18" t="s">
        <v>158</v>
      </c>
      <c r="B534" s="18" t="s">
        <v>114</v>
      </c>
      <c r="C534" s="18" t="s">
        <v>115</v>
      </c>
      <c r="D534" s="18" t="s">
        <v>238</v>
      </c>
      <c r="E534" s="19">
        <f>VLOOKUP(C:C,Courts!B:C,2,FALSE)</f>
        <v>4</v>
      </c>
      <c r="F534" s="19">
        <f>VLOOKUP(C:C,Courts!B:E,4,FALSE)</f>
        <v>1</v>
      </c>
      <c r="G534" s="19">
        <f>VLOOKUP(C:C,Courts!B:D,3,FALSE)</f>
        <v>2</v>
      </c>
      <c r="H534" s="19">
        <f>VLOOKUP(C:C,Courts!B:F,5,FALSE)</f>
        <v>7</v>
      </c>
      <c r="I534" s="18" t="s">
        <v>11</v>
      </c>
      <c r="J534" s="19">
        <f>VLOOKUP(C:C,TooliD!B:T,19,FALSE)</f>
        <v>52</v>
      </c>
      <c r="K534" s="18">
        <f>VLOOKUP(C:C,TooliD!B:S,18,FALSE)</f>
        <v>52</v>
      </c>
      <c r="L534" s="19">
        <f t="shared" si="102"/>
        <v>0</v>
      </c>
      <c r="M534" s="19" t="str">
        <f t="shared" si="92"/>
        <v>OK</v>
      </c>
      <c r="N534" s="18"/>
    </row>
    <row r="535" spans="1:14" x14ac:dyDescent="0.25">
      <c r="A535" s="18" t="s">
        <v>158</v>
      </c>
      <c r="B535" s="18" t="s">
        <v>114</v>
      </c>
      <c r="C535" s="18" t="s">
        <v>115</v>
      </c>
      <c r="D535" s="18" t="s">
        <v>238</v>
      </c>
      <c r="E535" s="19">
        <f>VLOOKUP(C:C,Courts!B:C,2,FALSE)</f>
        <v>4</v>
      </c>
      <c r="F535" s="19">
        <f>VLOOKUP(C:C,Courts!B:E,4,FALSE)</f>
        <v>1</v>
      </c>
      <c r="G535" s="19">
        <f>VLOOKUP(C:C,Courts!B:D,3,FALSE)</f>
        <v>2</v>
      </c>
      <c r="H535" s="19">
        <f>VLOOKUP(C:C,Courts!B:F,5,FALSE)</f>
        <v>7</v>
      </c>
      <c r="I535" s="18" t="s">
        <v>212</v>
      </c>
      <c r="J535" s="19">
        <f>VLOOKUP(C:C,TooliD!B:W,22,FALSE)</f>
        <v>7</v>
      </c>
      <c r="K535" s="18">
        <f>VLOOKUP(C:C,TooliD!B:V,21,FALSE)</f>
        <v>7</v>
      </c>
      <c r="L535" s="19">
        <f t="shared" si="102"/>
        <v>0</v>
      </c>
      <c r="M535" s="19" t="str">
        <f t="shared" ref="M535" si="103">IF(L535=0,"OK", IF(L535&gt;0,"Surplus","Shortfall"))</f>
        <v>OK</v>
      </c>
      <c r="N535" s="18"/>
    </row>
    <row r="536" spans="1:14" x14ac:dyDescent="0.25">
      <c r="A536" s="18" t="s">
        <v>158</v>
      </c>
      <c r="B536" s="18" t="s">
        <v>116</v>
      </c>
      <c r="C536" s="18" t="s">
        <v>116</v>
      </c>
      <c r="D536" s="18" t="s">
        <v>237</v>
      </c>
      <c r="E536" s="19">
        <f>VLOOKUP(C:C,Courts!B:C,2,FALSE)</f>
        <v>10</v>
      </c>
      <c r="F536" s="19">
        <f>VLOOKUP(C:C,Courts!B:E,4,FALSE)</f>
        <v>0</v>
      </c>
      <c r="G536" s="19">
        <f>VLOOKUP(C:C,Courts!B:D,3,FALSE)</f>
        <v>3</v>
      </c>
      <c r="H536" s="19">
        <f>VLOOKUP(C:C,Courts!B:F,5,FALSE)</f>
        <v>13</v>
      </c>
      <c r="I536" s="18" t="s">
        <v>7</v>
      </c>
      <c r="J536" s="19">
        <f>VLOOKUP(C:C,TooliD!B:H,7,FALSE)</f>
        <v>13</v>
      </c>
      <c r="K536" s="19">
        <f>VLOOKUP(C:C,TooliD!B:G,6,FALSE)</f>
        <v>14</v>
      </c>
      <c r="L536" s="19">
        <f>K536-J536</f>
        <v>1</v>
      </c>
      <c r="M536" s="19" t="str">
        <f>IF(L536=0,"OK", IF(L536&gt;0,"Surplus","Shortfall"))</f>
        <v>Surplus</v>
      </c>
      <c r="N536" s="18"/>
    </row>
    <row r="537" spans="1:14" x14ac:dyDescent="0.25">
      <c r="A537" s="18" t="s">
        <v>158</v>
      </c>
      <c r="B537" s="18" t="s">
        <v>116</v>
      </c>
      <c r="C537" s="18" t="s">
        <v>116</v>
      </c>
      <c r="D537" s="18" t="s">
        <v>237</v>
      </c>
      <c r="E537" s="19">
        <f>VLOOKUP(C:C,Courts!B:C,2,FALSE)</f>
        <v>10</v>
      </c>
      <c r="F537" s="19">
        <f>VLOOKUP(C:C,Courts!B:E,4,FALSE)</f>
        <v>0</v>
      </c>
      <c r="G537" s="19">
        <f>VLOOKUP(C:C,Courts!B:D,3,FALSE)</f>
        <v>3</v>
      </c>
      <c r="H537" s="19">
        <f>VLOOKUP(C:C,Courts!B:F,5,FALSE)</f>
        <v>13</v>
      </c>
      <c r="I537" s="18" t="s">
        <v>241</v>
      </c>
      <c r="J537" s="19">
        <f>VLOOKUP(C:C,TooliD!B:K,7,FALSE)</f>
        <v>13</v>
      </c>
      <c r="K537" s="19">
        <f>VLOOKUP(C:C,TooliD!B:J,9,FALSE)</f>
        <v>11</v>
      </c>
      <c r="L537" s="19">
        <f t="shared" ref="L537:L541" si="104">K537-J537</f>
        <v>-2</v>
      </c>
      <c r="M537" s="19" t="str">
        <f t="shared" ref="M537:M600" si="105">IF(L537=0,"OK", IF(L537&gt;0,"Surplus","Shortfall"))</f>
        <v>Shortfall</v>
      </c>
      <c r="N537" s="18"/>
    </row>
    <row r="538" spans="1:14" x14ac:dyDescent="0.25">
      <c r="A538" s="18" t="s">
        <v>158</v>
      </c>
      <c r="B538" s="18" t="s">
        <v>116</v>
      </c>
      <c r="C538" s="18" t="s">
        <v>116</v>
      </c>
      <c r="D538" s="18" t="s">
        <v>237</v>
      </c>
      <c r="E538" s="19">
        <f>VLOOKUP(C:C,Courts!B:C,2,FALSE)</f>
        <v>10</v>
      </c>
      <c r="F538" s="19">
        <f>VLOOKUP(C:C,Courts!B:E,4,FALSE)</f>
        <v>0</v>
      </c>
      <c r="G538" s="19">
        <f>VLOOKUP(C:C,Courts!B:D,3,FALSE)</f>
        <v>3</v>
      </c>
      <c r="H538" s="19">
        <f>VLOOKUP(C:C,Courts!B:F,5,FALSE)</f>
        <v>13</v>
      </c>
      <c r="I538" s="18" t="s">
        <v>9</v>
      </c>
      <c r="J538" s="19">
        <f>VLOOKUP(C:C,TooliD!B:N,13,FALSE)</f>
        <v>13</v>
      </c>
      <c r="K538" s="18">
        <f>VLOOKUP(C:C,TooliD!B:M,12,FALSE)</f>
        <v>12</v>
      </c>
      <c r="L538" s="19">
        <f t="shared" si="104"/>
        <v>-1</v>
      </c>
      <c r="M538" s="19" t="str">
        <f t="shared" si="105"/>
        <v>Shortfall</v>
      </c>
      <c r="N538" s="18"/>
    </row>
    <row r="539" spans="1:14" x14ac:dyDescent="0.25">
      <c r="A539" s="18" t="s">
        <v>158</v>
      </c>
      <c r="B539" s="18" t="s">
        <v>116</v>
      </c>
      <c r="C539" s="18" t="s">
        <v>116</v>
      </c>
      <c r="D539" s="18" t="s">
        <v>237</v>
      </c>
      <c r="E539" s="19">
        <f>VLOOKUP(C:C,Courts!B:C,2,FALSE)</f>
        <v>10</v>
      </c>
      <c r="F539" s="19">
        <f>VLOOKUP(C:C,Courts!B:E,4,FALSE)</f>
        <v>0</v>
      </c>
      <c r="G539" s="19">
        <f>VLOOKUP(C:C,Courts!B:D,3,FALSE)</f>
        <v>3</v>
      </c>
      <c r="H539" s="19">
        <f>VLOOKUP(C:C,Courts!B:F,5,FALSE)</f>
        <v>13</v>
      </c>
      <c r="I539" s="18" t="s">
        <v>239</v>
      </c>
      <c r="J539" s="19">
        <f>VLOOKUP(C:C,TooliD!B:Q,16,FALSE)</f>
        <v>26</v>
      </c>
      <c r="K539" s="18">
        <f>VLOOKUP(C:C,TooliD!B:P,15,FALSE)</f>
        <v>30</v>
      </c>
      <c r="L539" s="19">
        <f t="shared" si="104"/>
        <v>4</v>
      </c>
      <c r="M539" s="19" t="str">
        <f t="shared" si="105"/>
        <v>Surplus</v>
      </c>
      <c r="N539" s="18"/>
    </row>
    <row r="540" spans="1:14" x14ac:dyDescent="0.25">
      <c r="A540" s="18" t="s">
        <v>158</v>
      </c>
      <c r="B540" s="18" t="s">
        <v>116</v>
      </c>
      <c r="C540" s="18" t="s">
        <v>116</v>
      </c>
      <c r="D540" s="18" t="s">
        <v>237</v>
      </c>
      <c r="E540" s="19">
        <f>VLOOKUP(C:C,Courts!B:C,2,FALSE)</f>
        <v>10</v>
      </c>
      <c r="F540" s="19">
        <f>VLOOKUP(C:C,Courts!B:E,4,FALSE)</f>
        <v>0</v>
      </c>
      <c r="G540" s="19">
        <f>VLOOKUP(C:C,Courts!B:D,3,FALSE)</f>
        <v>3</v>
      </c>
      <c r="H540" s="19">
        <f>VLOOKUP(C:C,Courts!B:F,5,FALSE)</f>
        <v>13</v>
      </c>
      <c r="I540" s="18" t="s">
        <v>11</v>
      </c>
      <c r="J540" s="19">
        <f>VLOOKUP(C:C,TooliD!B:T,19,FALSE)</f>
        <v>104</v>
      </c>
      <c r="K540" s="18">
        <f>VLOOKUP(C:C,TooliD!B:S,18,FALSE)</f>
        <v>96</v>
      </c>
      <c r="L540" s="19">
        <f t="shared" si="104"/>
        <v>-8</v>
      </c>
      <c r="M540" s="19" t="str">
        <f t="shared" si="105"/>
        <v>Shortfall</v>
      </c>
      <c r="N540" s="18"/>
    </row>
    <row r="541" spans="1:14" x14ac:dyDescent="0.25">
      <c r="A541" s="18" t="s">
        <v>158</v>
      </c>
      <c r="B541" s="18" t="s">
        <v>116</v>
      </c>
      <c r="C541" s="18" t="s">
        <v>116</v>
      </c>
      <c r="D541" s="18" t="s">
        <v>237</v>
      </c>
      <c r="E541" s="19">
        <f>VLOOKUP(C:C,Courts!B:C,2,FALSE)</f>
        <v>10</v>
      </c>
      <c r="F541" s="19">
        <f>VLOOKUP(C:C,Courts!B:E,4,FALSE)</f>
        <v>0</v>
      </c>
      <c r="G541" s="19">
        <f>VLOOKUP(C:C,Courts!B:D,3,FALSE)</f>
        <v>3</v>
      </c>
      <c r="H541" s="19">
        <f>VLOOKUP(C:C,Courts!B:F,5,FALSE)</f>
        <v>13</v>
      </c>
      <c r="I541" s="18" t="s">
        <v>212</v>
      </c>
      <c r="J541" s="19">
        <f>VLOOKUP(C:C,TooliD!B:W,22,FALSE)</f>
        <v>13</v>
      </c>
      <c r="K541" s="18">
        <f>VLOOKUP(C:C,TooliD!B:V,21,FALSE)</f>
        <v>12</v>
      </c>
      <c r="L541" s="19">
        <f t="shared" si="104"/>
        <v>-1</v>
      </c>
      <c r="M541" s="19" t="str">
        <f t="shared" si="105"/>
        <v>Shortfall</v>
      </c>
      <c r="N541" s="18"/>
    </row>
    <row r="542" spans="1:14" x14ac:dyDescent="0.25">
      <c r="A542" s="18" t="s">
        <v>158</v>
      </c>
      <c r="B542" s="18" t="s">
        <v>116</v>
      </c>
      <c r="C542" s="18" t="s">
        <v>117</v>
      </c>
      <c r="D542" s="18" t="s">
        <v>238</v>
      </c>
      <c r="E542" s="19">
        <f>VLOOKUP(C:C,Courts!B:C,2,FALSE)</f>
        <v>2</v>
      </c>
      <c r="F542" s="19">
        <f>VLOOKUP(C:C,Courts!B:E,4,FALSE)</f>
        <v>1</v>
      </c>
      <c r="G542" s="19">
        <f>VLOOKUP(C:C,Courts!B:D,3,FALSE)</f>
        <v>1</v>
      </c>
      <c r="H542" s="19">
        <f>VLOOKUP(C:C,Courts!B:F,5,FALSE)</f>
        <v>4</v>
      </c>
      <c r="I542" s="18" t="s">
        <v>7</v>
      </c>
      <c r="J542" s="19">
        <f>VLOOKUP(C:C,TooliD!B:H,7,FALSE)</f>
        <v>4</v>
      </c>
      <c r="K542" s="19">
        <f>VLOOKUP(C:C,TooliD!B:G,6,FALSE)</f>
        <v>4</v>
      </c>
      <c r="L542" s="19">
        <f>K542-J542</f>
        <v>0</v>
      </c>
      <c r="M542" s="19" t="str">
        <f>IF(L542=0,"OK", IF(L542&gt;0,"Surplus","Shortfall"))</f>
        <v>OK</v>
      </c>
      <c r="N542" s="18"/>
    </row>
    <row r="543" spans="1:14" x14ac:dyDescent="0.25">
      <c r="A543" s="18" t="s">
        <v>158</v>
      </c>
      <c r="B543" s="18" t="s">
        <v>116</v>
      </c>
      <c r="C543" s="18" t="s">
        <v>117</v>
      </c>
      <c r="D543" s="18" t="s">
        <v>238</v>
      </c>
      <c r="E543" s="19">
        <f>VLOOKUP(C:C,Courts!B:C,2,FALSE)</f>
        <v>2</v>
      </c>
      <c r="F543" s="19">
        <f>VLOOKUP(C:C,Courts!B:E,4,FALSE)</f>
        <v>1</v>
      </c>
      <c r="G543" s="19">
        <f>VLOOKUP(C:C,Courts!B:D,3,FALSE)</f>
        <v>1</v>
      </c>
      <c r="H543" s="19">
        <f>VLOOKUP(C:C,Courts!B:F,5,FALSE)</f>
        <v>4</v>
      </c>
      <c r="I543" s="18" t="s">
        <v>241</v>
      </c>
      <c r="J543" s="19">
        <f>VLOOKUP(C:C,TooliD!B:K,7,FALSE)</f>
        <v>4</v>
      </c>
      <c r="K543" s="19">
        <f>VLOOKUP(C:C,TooliD!B:J,9,FALSE)</f>
        <v>3</v>
      </c>
      <c r="L543" s="19">
        <f t="shared" ref="L543:L547" si="106">K543-J543</f>
        <v>-1</v>
      </c>
      <c r="M543" s="19" t="str">
        <f t="shared" si="105"/>
        <v>Shortfall</v>
      </c>
      <c r="N543" s="18"/>
    </row>
    <row r="544" spans="1:14" x14ac:dyDescent="0.25">
      <c r="A544" s="18" t="s">
        <v>158</v>
      </c>
      <c r="B544" s="18" t="s">
        <v>116</v>
      </c>
      <c r="C544" s="18" t="s">
        <v>117</v>
      </c>
      <c r="D544" s="18" t="s">
        <v>238</v>
      </c>
      <c r="E544" s="19">
        <f>VLOOKUP(C:C,Courts!B:C,2,FALSE)</f>
        <v>2</v>
      </c>
      <c r="F544" s="19">
        <f>VLOOKUP(C:C,Courts!B:E,4,FALSE)</f>
        <v>1</v>
      </c>
      <c r="G544" s="19">
        <f>VLOOKUP(C:C,Courts!B:D,3,FALSE)</f>
        <v>1</v>
      </c>
      <c r="H544" s="19">
        <f>VLOOKUP(C:C,Courts!B:F,5,FALSE)</f>
        <v>4</v>
      </c>
      <c r="I544" s="18" t="s">
        <v>9</v>
      </c>
      <c r="J544" s="19">
        <f>VLOOKUP(C:C,TooliD!B:N,13,FALSE)</f>
        <v>4</v>
      </c>
      <c r="K544" s="18">
        <f>VLOOKUP(C:C,TooliD!B:M,12,FALSE)</f>
        <v>4</v>
      </c>
      <c r="L544" s="19">
        <f t="shared" si="106"/>
        <v>0</v>
      </c>
      <c r="M544" s="19" t="str">
        <f t="shared" si="105"/>
        <v>OK</v>
      </c>
      <c r="N544" s="18"/>
    </row>
    <row r="545" spans="1:14" x14ac:dyDescent="0.25">
      <c r="A545" s="18" t="s">
        <v>158</v>
      </c>
      <c r="B545" s="18" t="s">
        <v>116</v>
      </c>
      <c r="C545" s="18" t="s">
        <v>117</v>
      </c>
      <c r="D545" s="18" t="s">
        <v>238</v>
      </c>
      <c r="E545" s="19">
        <f>VLOOKUP(C:C,Courts!B:C,2,FALSE)</f>
        <v>2</v>
      </c>
      <c r="F545" s="19">
        <f>VLOOKUP(C:C,Courts!B:E,4,FALSE)</f>
        <v>1</v>
      </c>
      <c r="G545" s="19">
        <f>VLOOKUP(C:C,Courts!B:D,3,FALSE)</f>
        <v>1</v>
      </c>
      <c r="H545" s="19">
        <f>VLOOKUP(C:C,Courts!B:F,5,FALSE)</f>
        <v>4</v>
      </c>
      <c r="I545" s="18" t="s">
        <v>239</v>
      </c>
      <c r="J545" s="19">
        <f>VLOOKUP(C:C,TooliD!B:Q,16,FALSE)</f>
        <v>6</v>
      </c>
      <c r="K545" s="18">
        <f>VLOOKUP(C:C,TooliD!B:P,15,FALSE)</f>
        <v>9</v>
      </c>
      <c r="L545" s="19">
        <f t="shared" si="106"/>
        <v>3</v>
      </c>
      <c r="M545" s="19" t="str">
        <f t="shared" si="105"/>
        <v>Surplus</v>
      </c>
      <c r="N545" s="18"/>
    </row>
    <row r="546" spans="1:14" x14ac:dyDescent="0.25">
      <c r="A546" s="18" t="s">
        <v>158</v>
      </c>
      <c r="B546" s="18" t="s">
        <v>116</v>
      </c>
      <c r="C546" s="18" t="s">
        <v>117</v>
      </c>
      <c r="D546" s="18" t="s">
        <v>238</v>
      </c>
      <c r="E546" s="19">
        <f>VLOOKUP(C:C,Courts!B:C,2,FALSE)</f>
        <v>2</v>
      </c>
      <c r="F546" s="19">
        <f>VLOOKUP(C:C,Courts!B:E,4,FALSE)</f>
        <v>1</v>
      </c>
      <c r="G546" s="19">
        <f>VLOOKUP(C:C,Courts!B:D,3,FALSE)</f>
        <v>1</v>
      </c>
      <c r="H546" s="19">
        <f>VLOOKUP(C:C,Courts!B:F,5,FALSE)</f>
        <v>4</v>
      </c>
      <c r="I546" s="18" t="s">
        <v>11</v>
      </c>
      <c r="J546" s="19">
        <f>VLOOKUP(C:C,TooliD!B:T,19,FALSE)</f>
        <v>28</v>
      </c>
      <c r="K546" s="18">
        <f>VLOOKUP(C:C,TooliD!B:S,18,FALSE)</f>
        <v>28</v>
      </c>
      <c r="L546" s="19">
        <f t="shared" si="106"/>
        <v>0</v>
      </c>
      <c r="M546" s="19" t="str">
        <f t="shared" si="105"/>
        <v>OK</v>
      </c>
      <c r="N546" s="18"/>
    </row>
    <row r="547" spans="1:14" x14ac:dyDescent="0.25">
      <c r="A547" s="18" t="s">
        <v>158</v>
      </c>
      <c r="B547" s="18" t="s">
        <v>116</v>
      </c>
      <c r="C547" s="18" t="s">
        <v>117</v>
      </c>
      <c r="D547" s="18" t="s">
        <v>238</v>
      </c>
      <c r="E547" s="19">
        <f>VLOOKUP(C:C,Courts!B:C,2,FALSE)</f>
        <v>2</v>
      </c>
      <c r="F547" s="19">
        <f>VLOOKUP(C:C,Courts!B:E,4,FALSE)</f>
        <v>1</v>
      </c>
      <c r="G547" s="19">
        <f>VLOOKUP(C:C,Courts!B:D,3,FALSE)</f>
        <v>1</v>
      </c>
      <c r="H547" s="19">
        <f>VLOOKUP(C:C,Courts!B:F,5,FALSE)</f>
        <v>4</v>
      </c>
      <c r="I547" s="18" t="s">
        <v>212</v>
      </c>
      <c r="J547" s="19">
        <f>VLOOKUP(C:C,TooliD!B:W,22,FALSE)</f>
        <v>4</v>
      </c>
      <c r="K547" s="18">
        <f>VLOOKUP(C:C,TooliD!B:V,21,FALSE)</f>
        <v>4</v>
      </c>
      <c r="L547" s="19">
        <f t="shared" si="106"/>
        <v>0</v>
      </c>
      <c r="M547" s="19" t="str">
        <f t="shared" si="105"/>
        <v>OK</v>
      </c>
      <c r="N547" s="18"/>
    </row>
    <row r="548" spans="1:14" x14ac:dyDescent="0.25">
      <c r="A548" s="18" t="s">
        <v>158</v>
      </c>
      <c r="B548" s="18" t="s">
        <v>116</v>
      </c>
      <c r="C548" s="18" t="s">
        <v>118</v>
      </c>
      <c r="D548" s="18" t="s">
        <v>238</v>
      </c>
      <c r="E548" s="19">
        <f>VLOOKUP(C:C,Courts!B:C,2,FALSE)</f>
        <v>2</v>
      </c>
      <c r="F548" s="19">
        <f>VLOOKUP(C:C,Courts!B:E,4,FALSE)</f>
        <v>1</v>
      </c>
      <c r="G548" s="19">
        <f>VLOOKUP(C:C,Courts!B:D,3,FALSE)</f>
        <v>1</v>
      </c>
      <c r="H548" s="19">
        <f>VLOOKUP(C:C,Courts!B:F,5,FALSE)</f>
        <v>4</v>
      </c>
      <c r="I548" s="18" t="s">
        <v>7</v>
      </c>
      <c r="J548" s="19">
        <f>VLOOKUP(C:C,TooliD!B:H,7,FALSE)</f>
        <v>4</v>
      </c>
      <c r="K548" s="19">
        <f>VLOOKUP(C:C,TooliD!B:G,6,FALSE)</f>
        <v>2</v>
      </c>
      <c r="L548" s="19">
        <f>K548-J548</f>
        <v>-2</v>
      </c>
      <c r="M548" s="19" t="str">
        <f>IF(L548=0,"OK", IF(L548&gt;0,"Surplus","Shortfall"))</f>
        <v>Shortfall</v>
      </c>
      <c r="N548" s="18"/>
    </row>
    <row r="549" spans="1:14" x14ac:dyDescent="0.25">
      <c r="A549" s="18" t="s">
        <v>158</v>
      </c>
      <c r="B549" s="18" t="s">
        <v>116</v>
      </c>
      <c r="C549" s="18" t="s">
        <v>118</v>
      </c>
      <c r="D549" s="18" t="s">
        <v>238</v>
      </c>
      <c r="E549" s="19">
        <f>VLOOKUP(C:C,Courts!B:C,2,FALSE)</f>
        <v>2</v>
      </c>
      <c r="F549" s="19">
        <f>VLOOKUP(C:C,Courts!B:E,4,FALSE)</f>
        <v>1</v>
      </c>
      <c r="G549" s="19">
        <f>VLOOKUP(C:C,Courts!B:D,3,FALSE)</f>
        <v>1</v>
      </c>
      <c r="H549" s="19">
        <f>VLOOKUP(C:C,Courts!B:F,5,FALSE)</f>
        <v>4</v>
      </c>
      <c r="I549" s="18" t="s">
        <v>241</v>
      </c>
      <c r="J549" s="19">
        <f>VLOOKUP(C:C,TooliD!B:K,7,FALSE)</f>
        <v>4</v>
      </c>
      <c r="K549" s="19">
        <f>VLOOKUP(C:C,TooliD!B:J,9,FALSE)</f>
        <v>2</v>
      </c>
      <c r="L549" s="19">
        <f t="shared" ref="L549:L553" si="107">K549-J549</f>
        <v>-2</v>
      </c>
      <c r="M549" s="19" t="str">
        <f t="shared" si="105"/>
        <v>Shortfall</v>
      </c>
      <c r="N549" s="18"/>
    </row>
    <row r="550" spans="1:14" x14ac:dyDescent="0.25">
      <c r="A550" s="18" t="s">
        <v>158</v>
      </c>
      <c r="B550" s="18" t="s">
        <v>116</v>
      </c>
      <c r="C550" s="18" t="s">
        <v>118</v>
      </c>
      <c r="D550" s="18" t="s">
        <v>238</v>
      </c>
      <c r="E550" s="19">
        <f>VLOOKUP(C:C,Courts!B:C,2,FALSE)</f>
        <v>2</v>
      </c>
      <c r="F550" s="19">
        <f>VLOOKUP(C:C,Courts!B:E,4,FALSE)</f>
        <v>1</v>
      </c>
      <c r="G550" s="19">
        <f>VLOOKUP(C:C,Courts!B:D,3,FALSE)</f>
        <v>1</v>
      </c>
      <c r="H550" s="19">
        <f>VLOOKUP(C:C,Courts!B:F,5,FALSE)</f>
        <v>4</v>
      </c>
      <c r="I550" s="18" t="s">
        <v>9</v>
      </c>
      <c r="J550" s="19">
        <f>VLOOKUP(C:C,TooliD!B:N,13,FALSE)</f>
        <v>4</v>
      </c>
      <c r="K550" s="18">
        <f>VLOOKUP(C:C,TooliD!B:M,12,FALSE)</f>
        <v>3</v>
      </c>
      <c r="L550" s="19">
        <f t="shared" si="107"/>
        <v>-1</v>
      </c>
      <c r="M550" s="19" t="str">
        <f t="shared" si="105"/>
        <v>Shortfall</v>
      </c>
      <c r="N550" s="18"/>
    </row>
    <row r="551" spans="1:14" x14ac:dyDescent="0.25">
      <c r="A551" s="18" t="s">
        <v>158</v>
      </c>
      <c r="B551" s="18" t="s">
        <v>116</v>
      </c>
      <c r="C551" s="18" t="s">
        <v>118</v>
      </c>
      <c r="D551" s="18" t="s">
        <v>238</v>
      </c>
      <c r="E551" s="19">
        <f>VLOOKUP(C:C,Courts!B:C,2,FALSE)</f>
        <v>2</v>
      </c>
      <c r="F551" s="19">
        <f>VLOOKUP(C:C,Courts!B:E,4,FALSE)</f>
        <v>1</v>
      </c>
      <c r="G551" s="19">
        <f>VLOOKUP(C:C,Courts!B:D,3,FALSE)</f>
        <v>1</v>
      </c>
      <c r="H551" s="19">
        <f>VLOOKUP(C:C,Courts!B:F,5,FALSE)</f>
        <v>4</v>
      </c>
      <c r="I551" s="18" t="s">
        <v>239</v>
      </c>
      <c r="J551" s="19">
        <f>VLOOKUP(C:C,TooliD!B:Q,16,FALSE)</f>
        <v>6</v>
      </c>
      <c r="K551" s="18">
        <f>VLOOKUP(C:C,TooliD!B:P,15,FALSE)</f>
        <v>7</v>
      </c>
      <c r="L551" s="19">
        <f t="shared" si="107"/>
        <v>1</v>
      </c>
      <c r="M551" s="19" t="str">
        <f t="shared" si="105"/>
        <v>Surplus</v>
      </c>
      <c r="N551" s="18"/>
    </row>
    <row r="552" spans="1:14" x14ac:dyDescent="0.25">
      <c r="A552" s="18" t="s">
        <v>158</v>
      </c>
      <c r="B552" s="18" t="s">
        <v>116</v>
      </c>
      <c r="C552" s="18" t="s">
        <v>118</v>
      </c>
      <c r="D552" s="18" t="s">
        <v>238</v>
      </c>
      <c r="E552" s="19">
        <f>VLOOKUP(C:C,Courts!B:C,2,FALSE)</f>
        <v>2</v>
      </c>
      <c r="F552" s="19">
        <f>VLOOKUP(C:C,Courts!B:E,4,FALSE)</f>
        <v>1</v>
      </c>
      <c r="G552" s="19">
        <f>VLOOKUP(C:C,Courts!B:D,3,FALSE)</f>
        <v>1</v>
      </c>
      <c r="H552" s="19">
        <f>VLOOKUP(C:C,Courts!B:F,5,FALSE)</f>
        <v>4</v>
      </c>
      <c r="I552" s="18" t="s">
        <v>11</v>
      </c>
      <c r="J552" s="19">
        <f>VLOOKUP(C:C,TooliD!B:T,19,FALSE)</f>
        <v>28</v>
      </c>
      <c r="K552" s="18">
        <f>VLOOKUP(C:C,TooliD!B:S,18,FALSE)</f>
        <v>20</v>
      </c>
      <c r="L552" s="19">
        <f t="shared" si="107"/>
        <v>-8</v>
      </c>
      <c r="M552" s="19" t="str">
        <f t="shared" si="105"/>
        <v>Shortfall</v>
      </c>
      <c r="N552" s="18"/>
    </row>
    <row r="553" spans="1:14" x14ac:dyDescent="0.25">
      <c r="A553" s="18" t="s">
        <v>158</v>
      </c>
      <c r="B553" s="18" t="s">
        <v>116</v>
      </c>
      <c r="C553" s="18" t="s">
        <v>118</v>
      </c>
      <c r="D553" s="18" t="s">
        <v>238</v>
      </c>
      <c r="E553" s="19">
        <f>VLOOKUP(C:C,Courts!B:C,2,FALSE)</f>
        <v>2</v>
      </c>
      <c r="F553" s="19">
        <f>VLOOKUP(C:C,Courts!B:E,4,FALSE)</f>
        <v>1</v>
      </c>
      <c r="G553" s="19">
        <f>VLOOKUP(C:C,Courts!B:D,3,FALSE)</f>
        <v>1</v>
      </c>
      <c r="H553" s="19">
        <f>VLOOKUP(C:C,Courts!B:F,5,FALSE)</f>
        <v>4</v>
      </c>
      <c r="I553" s="18" t="s">
        <v>212</v>
      </c>
      <c r="J553" s="19">
        <f>VLOOKUP(C:C,TooliD!B:W,22,FALSE)</f>
        <v>4</v>
      </c>
      <c r="K553" s="18">
        <f>VLOOKUP(C:C,TooliD!B:V,21,FALSE)</f>
        <v>4</v>
      </c>
      <c r="L553" s="19">
        <f t="shared" si="107"/>
        <v>0</v>
      </c>
      <c r="M553" s="19" t="str">
        <f t="shared" si="105"/>
        <v>OK</v>
      </c>
      <c r="N553" s="18"/>
    </row>
    <row r="554" spans="1:14" x14ac:dyDescent="0.25">
      <c r="A554" s="18" t="s">
        <v>158</v>
      </c>
      <c r="B554" s="18" t="s">
        <v>119</v>
      </c>
      <c r="C554" s="18" t="s">
        <v>119</v>
      </c>
      <c r="D554" s="18" t="s">
        <v>237</v>
      </c>
      <c r="E554" s="19">
        <f>VLOOKUP(C:C,Courts!B:C,2,FALSE)</f>
        <v>15</v>
      </c>
      <c r="F554" s="19">
        <f>VLOOKUP(C:C,Courts!B:E,4,FALSE)</f>
        <v>0</v>
      </c>
      <c r="G554" s="19">
        <f>VLOOKUP(C:C,Courts!B:D,3,FALSE)</f>
        <v>4</v>
      </c>
      <c r="H554" s="19">
        <f>VLOOKUP(C:C,Courts!B:F,5,FALSE)</f>
        <v>19</v>
      </c>
      <c r="I554" s="18" t="s">
        <v>7</v>
      </c>
      <c r="J554" s="19">
        <f>VLOOKUP(C:C,TooliD!B:H,7,FALSE)</f>
        <v>19</v>
      </c>
      <c r="K554" s="19">
        <f>VLOOKUP(C:C,TooliD!B:G,6,FALSE)</f>
        <v>20</v>
      </c>
      <c r="L554" s="19">
        <f>K554-J554</f>
        <v>1</v>
      </c>
      <c r="M554" s="19" t="str">
        <f>IF(L554=0,"OK", IF(L554&gt;0,"Surplus","Shortfall"))</f>
        <v>Surplus</v>
      </c>
      <c r="N554" s="18"/>
    </row>
    <row r="555" spans="1:14" x14ac:dyDescent="0.25">
      <c r="A555" s="18" t="s">
        <v>158</v>
      </c>
      <c r="B555" s="18" t="s">
        <v>119</v>
      </c>
      <c r="C555" s="18" t="s">
        <v>119</v>
      </c>
      <c r="D555" s="18" t="s">
        <v>237</v>
      </c>
      <c r="E555" s="19">
        <f>VLOOKUP(C:C,Courts!B:C,2,FALSE)</f>
        <v>15</v>
      </c>
      <c r="F555" s="19">
        <f>VLOOKUP(C:C,Courts!B:E,4,FALSE)</f>
        <v>0</v>
      </c>
      <c r="G555" s="19">
        <f>VLOOKUP(C:C,Courts!B:D,3,FALSE)</f>
        <v>4</v>
      </c>
      <c r="H555" s="19">
        <f>VLOOKUP(C:C,Courts!B:F,5,FALSE)</f>
        <v>19</v>
      </c>
      <c r="I555" s="18" t="s">
        <v>241</v>
      </c>
      <c r="J555" s="19">
        <f>VLOOKUP(C:C,TooliD!B:K,7,FALSE)</f>
        <v>19</v>
      </c>
      <c r="K555" s="19">
        <f>VLOOKUP(C:C,TooliD!B:J,9,FALSE)</f>
        <v>13</v>
      </c>
      <c r="L555" s="19">
        <f t="shared" ref="L555:L559" si="108">K555-J555</f>
        <v>-6</v>
      </c>
      <c r="M555" s="19" t="str">
        <f t="shared" si="105"/>
        <v>Shortfall</v>
      </c>
      <c r="N555" s="18"/>
    </row>
    <row r="556" spans="1:14" x14ac:dyDescent="0.25">
      <c r="A556" s="18" t="s">
        <v>158</v>
      </c>
      <c r="B556" s="18" t="s">
        <v>119</v>
      </c>
      <c r="C556" s="18" t="s">
        <v>119</v>
      </c>
      <c r="D556" s="18" t="s">
        <v>237</v>
      </c>
      <c r="E556" s="19">
        <f>VLOOKUP(C:C,Courts!B:C,2,FALSE)</f>
        <v>15</v>
      </c>
      <c r="F556" s="19">
        <f>VLOOKUP(C:C,Courts!B:E,4,FALSE)</f>
        <v>0</v>
      </c>
      <c r="G556" s="19">
        <f>VLOOKUP(C:C,Courts!B:D,3,FALSE)</f>
        <v>4</v>
      </c>
      <c r="H556" s="19">
        <f>VLOOKUP(C:C,Courts!B:F,5,FALSE)</f>
        <v>19</v>
      </c>
      <c r="I556" s="18" t="s">
        <v>9</v>
      </c>
      <c r="J556" s="19">
        <f>VLOOKUP(C:C,TooliD!B:N,13,FALSE)</f>
        <v>19</v>
      </c>
      <c r="K556" s="18">
        <f>VLOOKUP(C:C,TooliD!B:M,12,FALSE)</f>
        <v>16</v>
      </c>
      <c r="L556" s="19">
        <f t="shared" si="108"/>
        <v>-3</v>
      </c>
      <c r="M556" s="19" t="str">
        <f t="shared" si="105"/>
        <v>Shortfall</v>
      </c>
      <c r="N556" s="18"/>
    </row>
    <row r="557" spans="1:14" x14ac:dyDescent="0.25">
      <c r="A557" s="18" t="s">
        <v>158</v>
      </c>
      <c r="B557" s="18" t="s">
        <v>119</v>
      </c>
      <c r="C557" s="18" t="s">
        <v>119</v>
      </c>
      <c r="D557" s="18" t="s">
        <v>237</v>
      </c>
      <c r="E557" s="19">
        <f>VLOOKUP(C:C,Courts!B:C,2,FALSE)</f>
        <v>15</v>
      </c>
      <c r="F557" s="19">
        <f>VLOOKUP(C:C,Courts!B:E,4,FALSE)</f>
        <v>0</v>
      </c>
      <c r="G557" s="19">
        <f>VLOOKUP(C:C,Courts!B:D,3,FALSE)</f>
        <v>4</v>
      </c>
      <c r="H557" s="19">
        <f>VLOOKUP(C:C,Courts!B:F,5,FALSE)</f>
        <v>19</v>
      </c>
      <c r="I557" s="18" t="s">
        <v>239</v>
      </c>
      <c r="J557" s="19">
        <f>VLOOKUP(C:C,TooliD!B:Q,16,FALSE)</f>
        <v>38</v>
      </c>
      <c r="K557" s="18">
        <f>VLOOKUP(C:C,TooliD!B:P,15,FALSE)</f>
        <v>34</v>
      </c>
      <c r="L557" s="19">
        <f t="shared" si="108"/>
        <v>-4</v>
      </c>
      <c r="M557" s="19" t="str">
        <f t="shared" si="105"/>
        <v>Shortfall</v>
      </c>
      <c r="N557" s="18"/>
    </row>
    <row r="558" spans="1:14" x14ac:dyDescent="0.25">
      <c r="A558" s="18" t="s">
        <v>158</v>
      </c>
      <c r="B558" s="18" t="s">
        <v>119</v>
      </c>
      <c r="C558" s="18" t="s">
        <v>119</v>
      </c>
      <c r="D558" s="18" t="s">
        <v>237</v>
      </c>
      <c r="E558" s="19">
        <f>VLOOKUP(C:C,Courts!B:C,2,FALSE)</f>
        <v>15</v>
      </c>
      <c r="F558" s="19">
        <f>VLOOKUP(C:C,Courts!B:E,4,FALSE)</f>
        <v>0</v>
      </c>
      <c r="G558" s="19">
        <f>VLOOKUP(C:C,Courts!B:D,3,FALSE)</f>
        <v>4</v>
      </c>
      <c r="H558" s="19">
        <f>VLOOKUP(C:C,Courts!B:F,5,FALSE)</f>
        <v>19</v>
      </c>
      <c r="I558" s="18" t="s">
        <v>11</v>
      </c>
      <c r="J558" s="19">
        <f>VLOOKUP(C:C,TooliD!B:T,19,FALSE)</f>
        <v>152</v>
      </c>
      <c r="K558" s="18">
        <f>VLOOKUP(C:C,TooliD!B:S,18,FALSE)</f>
        <v>128</v>
      </c>
      <c r="L558" s="19">
        <f t="shared" si="108"/>
        <v>-24</v>
      </c>
      <c r="M558" s="19" t="str">
        <f t="shared" si="105"/>
        <v>Shortfall</v>
      </c>
      <c r="N558" s="18"/>
    </row>
    <row r="559" spans="1:14" x14ac:dyDescent="0.25">
      <c r="A559" s="18" t="s">
        <v>158</v>
      </c>
      <c r="B559" s="18" t="s">
        <v>119</v>
      </c>
      <c r="C559" s="18" t="s">
        <v>119</v>
      </c>
      <c r="D559" s="18" t="s">
        <v>237</v>
      </c>
      <c r="E559" s="19">
        <f>VLOOKUP(C:C,Courts!B:C,2,FALSE)</f>
        <v>15</v>
      </c>
      <c r="F559" s="19">
        <f>VLOOKUP(C:C,Courts!B:E,4,FALSE)</f>
        <v>0</v>
      </c>
      <c r="G559" s="19">
        <f>VLOOKUP(C:C,Courts!B:D,3,FALSE)</f>
        <v>4</v>
      </c>
      <c r="H559" s="19">
        <f>VLOOKUP(C:C,Courts!B:F,5,FALSE)</f>
        <v>19</v>
      </c>
      <c r="I559" s="18" t="s">
        <v>212</v>
      </c>
      <c r="J559" s="19">
        <f>VLOOKUP(C:C,TooliD!B:W,22,FALSE)</f>
        <v>19</v>
      </c>
      <c r="K559" s="18">
        <f>VLOOKUP(C:C,TooliD!B:V,21,FALSE)</f>
        <v>17</v>
      </c>
      <c r="L559" s="19">
        <f t="shared" si="108"/>
        <v>-2</v>
      </c>
      <c r="M559" s="19" t="str">
        <f t="shared" si="105"/>
        <v>Shortfall</v>
      </c>
      <c r="N559" s="18"/>
    </row>
    <row r="560" spans="1:14" x14ac:dyDescent="0.25">
      <c r="A560" s="18" t="s">
        <v>158</v>
      </c>
      <c r="B560" s="18" t="s">
        <v>119</v>
      </c>
      <c r="C560" s="18" t="s">
        <v>120</v>
      </c>
      <c r="D560" s="18" t="s">
        <v>238</v>
      </c>
      <c r="E560" s="19">
        <f>VLOOKUP(C:C,Courts!B:C,2,FALSE)</f>
        <v>2</v>
      </c>
      <c r="F560" s="19">
        <f>VLOOKUP(C:C,Courts!B:E,4,FALSE)</f>
        <v>1</v>
      </c>
      <c r="G560" s="19">
        <f>VLOOKUP(C:C,Courts!B:D,3,FALSE)</f>
        <v>0</v>
      </c>
      <c r="H560" s="19">
        <f>VLOOKUP(C:C,Courts!B:F,5,FALSE)</f>
        <v>3</v>
      </c>
      <c r="I560" s="18" t="s">
        <v>7</v>
      </c>
      <c r="J560" s="19">
        <f>VLOOKUP(C:C,TooliD!B:H,7,FALSE)</f>
        <v>3</v>
      </c>
      <c r="K560" s="19">
        <f>VLOOKUP(C:C,TooliD!B:G,6,FALSE)</f>
        <v>3</v>
      </c>
      <c r="L560" s="19">
        <f>K560-J560</f>
        <v>0</v>
      </c>
      <c r="M560" s="19" t="str">
        <f>IF(L560=0,"OK", IF(L560&gt;0,"Surplus","Shortfall"))</f>
        <v>OK</v>
      </c>
      <c r="N560" s="18"/>
    </row>
    <row r="561" spans="1:14" x14ac:dyDescent="0.25">
      <c r="A561" s="18" t="s">
        <v>158</v>
      </c>
      <c r="B561" s="18" t="s">
        <v>119</v>
      </c>
      <c r="C561" s="18" t="s">
        <v>120</v>
      </c>
      <c r="D561" s="18" t="s">
        <v>238</v>
      </c>
      <c r="E561" s="19">
        <f>VLOOKUP(C:C,Courts!B:C,2,FALSE)</f>
        <v>2</v>
      </c>
      <c r="F561" s="19">
        <f>VLOOKUP(C:C,Courts!B:E,4,FALSE)</f>
        <v>1</v>
      </c>
      <c r="G561" s="19">
        <f>VLOOKUP(C:C,Courts!B:D,3,FALSE)</f>
        <v>0</v>
      </c>
      <c r="H561" s="19">
        <f>VLOOKUP(C:C,Courts!B:F,5,FALSE)</f>
        <v>3</v>
      </c>
      <c r="I561" s="18" t="s">
        <v>241</v>
      </c>
      <c r="J561" s="19">
        <f>VLOOKUP(C:C,TooliD!B:K,7,FALSE)</f>
        <v>3</v>
      </c>
      <c r="K561" s="19">
        <f>VLOOKUP(C:C,TooliD!B:J,9,FALSE)</f>
        <v>3</v>
      </c>
      <c r="L561" s="19">
        <f t="shared" ref="L561:L565" si="109">K561-J561</f>
        <v>0</v>
      </c>
      <c r="M561" s="19" t="str">
        <f t="shared" si="105"/>
        <v>OK</v>
      </c>
      <c r="N561" s="18"/>
    </row>
    <row r="562" spans="1:14" x14ac:dyDescent="0.25">
      <c r="A562" s="18" t="s">
        <v>158</v>
      </c>
      <c r="B562" s="18" t="s">
        <v>119</v>
      </c>
      <c r="C562" s="18" t="s">
        <v>120</v>
      </c>
      <c r="D562" s="18" t="s">
        <v>238</v>
      </c>
      <c r="E562" s="19">
        <f>VLOOKUP(C:C,Courts!B:C,2,FALSE)</f>
        <v>2</v>
      </c>
      <c r="F562" s="19">
        <f>VLOOKUP(C:C,Courts!B:E,4,FALSE)</f>
        <v>1</v>
      </c>
      <c r="G562" s="19">
        <f>VLOOKUP(C:C,Courts!B:D,3,FALSE)</f>
        <v>0</v>
      </c>
      <c r="H562" s="19">
        <f>VLOOKUP(C:C,Courts!B:F,5,FALSE)</f>
        <v>3</v>
      </c>
      <c r="I562" s="18" t="s">
        <v>9</v>
      </c>
      <c r="J562" s="19">
        <f>VLOOKUP(C:C,TooliD!B:N,13,FALSE)</f>
        <v>3</v>
      </c>
      <c r="K562" s="18">
        <f>VLOOKUP(C:C,TooliD!B:M,12,FALSE)</f>
        <v>3</v>
      </c>
      <c r="L562" s="19">
        <f t="shared" si="109"/>
        <v>0</v>
      </c>
      <c r="M562" s="19" t="str">
        <f t="shared" si="105"/>
        <v>OK</v>
      </c>
      <c r="N562" s="18"/>
    </row>
    <row r="563" spans="1:14" x14ac:dyDescent="0.25">
      <c r="A563" s="18" t="s">
        <v>158</v>
      </c>
      <c r="B563" s="18" t="s">
        <v>119</v>
      </c>
      <c r="C563" s="18" t="s">
        <v>120</v>
      </c>
      <c r="D563" s="18" t="s">
        <v>238</v>
      </c>
      <c r="E563" s="19">
        <f>VLOOKUP(C:C,Courts!B:C,2,FALSE)</f>
        <v>2</v>
      </c>
      <c r="F563" s="19">
        <f>VLOOKUP(C:C,Courts!B:E,4,FALSE)</f>
        <v>1</v>
      </c>
      <c r="G563" s="19">
        <f>VLOOKUP(C:C,Courts!B:D,3,FALSE)</f>
        <v>0</v>
      </c>
      <c r="H563" s="19">
        <f>VLOOKUP(C:C,Courts!B:F,5,FALSE)</f>
        <v>3</v>
      </c>
      <c r="I563" s="18" t="s">
        <v>239</v>
      </c>
      <c r="J563" s="19">
        <f>VLOOKUP(C:C,TooliD!B:Q,16,FALSE)</f>
        <v>4</v>
      </c>
      <c r="K563" s="18">
        <f>VLOOKUP(C:C,TooliD!B:P,15,FALSE)</f>
        <v>4</v>
      </c>
      <c r="L563" s="19">
        <f t="shared" si="109"/>
        <v>0</v>
      </c>
      <c r="M563" s="19" t="str">
        <f t="shared" si="105"/>
        <v>OK</v>
      </c>
      <c r="N563" s="18"/>
    </row>
    <row r="564" spans="1:14" x14ac:dyDescent="0.25">
      <c r="A564" s="18" t="s">
        <v>158</v>
      </c>
      <c r="B564" s="18" t="s">
        <v>119</v>
      </c>
      <c r="C564" s="18" t="s">
        <v>120</v>
      </c>
      <c r="D564" s="18" t="s">
        <v>238</v>
      </c>
      <c r="E564" s="19">
        <f>VLOOKUP(C:C,Courts!B:C,2,FALSE)</f>
        <v>2</v>
      </c>
      <c r="F564" s="19">
        <f>VLOOKUP(C:C,Courts!B:E,4,FALSE)</f>
        <v>1</v>
      </c>
      <c r="G564" s="19">
        <f>VLOOKUP(C:C,Courts!B:D,3,FALSE)</f>
        <v>0</v>
      </c>
      <c r="H564" s="19">
        <f>VLOOKUP(C:C,Courts!B:F,5,FALSE)</f>
        <v>3</v>
      </c>
      <c r="I564" s="18" t="s">
        <v>11</v>
      </c>
      <c r="J564" s="19">
        <f>VLOOKUP(C:C,TooliD!B:T,19,FALSE)</f>
        <v>20</v>
      </c>
      <c r="K564" s="18">
        <f>VLOOKUP(C:C,TooliD!B:S,18,FALSE)</f>
        <v>20</v>
      </c>
      <c r="L564" s="19">
        <f t="shared" si="109"/>
        <v>0</v>
      </c>
      <c r="M564" s="19" t="str">
        <f t="shared" si="105"/>
        <v>OK</v>
      </c>
      <c r="N564" s="18"/>
    </row>
    <row r="565" spans="1:14" x14ac:dyDescent="0.25">
      <c r="A565" s="18" t="s">
        <v>158</v>
      </c>
      <c r="B565" s="18" t="s">
        <v>119</v>
      </c>
      <c r="C565" s="18" t="s">
        <v>120</v>
      </c>
      <c r="D565" s="18" t="s">
        <v>238</v>
      </c>
      <c r="E565" s="19">
        <f>VLOOKUP(C:C,Courts!B:C,2,FALSE)</f>
        <v>2</v>
      </c>
      <c r="F565" s="19">
        <f>VLOOKUP(C:C,Courts!B:E,4,FALSE)</f>
        <v>1</v>
      </c>
      <c r="G565" s="19">
        <f>VLOOKUP(C:C,Courts!B:D,3,FALSE)</f>
        <v>0</v>
      </c>
      <c r="H565" s="19">
        <f>VLOOKUP(C:C,Courts!B:F,5,FALSE)</f>
        <v>3</v>
      </c>
      <c r="I565" s="18" t="s">
        <v>212</v>
      </c>
      <c r="J565" s="19">
        <f>VLOOKUP(C:C,TooliD!B:W,22,FALSE)</f>
        <v>3</v>
      </c>
      <c r="K565" s="18">
        <f>VLOOKUP(C:C,TooliD!B:V,21,FALSE)</f>
        <v>2</v>
      </c>
      <c r="L565" s="19">
        <f t="shared" si="109"/>
        <v>-1</v>
      </c>
      <c r="M565" s="19" t="str">
        <f t="shared" si="105"/>
        <v>Shortfall</v>
      </c>
      <c r="N565" s="18"/>
    </row>
    <row r="566" spans="1:14" x14ac:dyDescent="0.25">
      <c r="A566" s="18" t="s">
        <v>158</v>
      </c>
      <c r="B566" s="18" t="s">
        <v>121</v>
      </c>
      <c r="C566" s="18" t="s">
        <v>121</v>
      </c>
      <c r="D566" s="18" t="s">
        <v>237</v>
      </c>
      <c r="E566" s="19">
        <f>VLOOKUP(C:C,Courts!B:C,2,FALSE)</f>
        <v>26</v>
      </c>
      <c r="F566" s="19">
        <f>VLOOKUP(C:C,Courts!B:E,4,FALSE)</f>
        <v>0</v>
      </c>
      <c r="G566" s="19">
        <f>VLOOKUP(C:C,Courts!B:D,3,FALSE)</f>
        <v>7</v>
      </c>
      <c r="H566" s="19">
        <f>VLOOKUP(C:C,Courts!B:F,5,FALSE)</f>
        <v>33</v>
      </c>
      <c r="I566" s="18" t="s">
        <v>7</v>
      </c>
      <c r="J566" s="19">
        <f>VLOOKUP(C:C,TooliD!B:H,7,FALSE)</f>
        <v>33</v>
      </c>
      <c r="K566" s="19">
        <f>VLOOKUP(C:C,TooliD!B:G,6,FALSE)</f>
        <v>33</v>
      </c>
      <c r="L566" s="19">
        <f>K566-J566</f>
        <v>0</v>
      </c>
      <c r="M566" s="19" t="str">
        <f>IF(L566=0,"OK", IF(L566&gt;0,"Surplus","Shortfall"))</f>
        <v>OK</v>
      </c>
      <c r="N566" s="18"/>
    </row>
    <row r="567" spans="1:14" x14ac:dyDescent="0.25">
      <c r="A567" s="18" t="s">
        <v>158</v>
      </c>
      <c r="B567" s="18" t="s">
        <v>121</v>
      </c>
      <c r="C567" s="18" t="s">
        <v>121</v>
      </c>
      <c r="D567" s="18" t="s">
        <v>237</v>
      </c>
      <c r="E567" s="19">
        <f>VLOOKUP(C:C,Courts!B:C,2,FALSE)</f>
        <v>26</v>
      </c>
      <c r="F567" s="19">
        <f>VLOOKUP(C:C,Courts!B:E,4,FALSE)</f>
        <v>0</v>
      </c>
      <c r="G567" s="19">
        <f>VLOOKUP(C:C,Courts!B:D,3,FALSE)</f>
        <v>7</v>
      </c>
      <c r="H567" s="19">
        <f>VLOOKUP(C:C,Courts!B:F,5,FALSE)</f>
        <v>33</v>
      </c>
      <c r="I567" s="18" t="s">
        <v>241</v>
      </c>
      <c r="J567" s="19">
        <f>VLOOKUP(C:C,TooliD!B:K,7,FALSE)</f>
        <v>33</v>
      </c>
      <c r="K567" s="19">
        <f>VLOOKUP(C:C,TooliD!B:J,9,FALSE)</f>
        <v>22</v>
      </c>
      <c r="L567" s="19">
        <f t="shared" ref="L567:L571" si="110">K567-J567</f>
        <v>-11</v>
      </c>
      <c r="M567" s="19" t="str">
        <f t="shared" si="105"/>
        <v>Shortfall</v>
      </c>
      <c r="N567" s="18"/>
    </row>
    <row r="568" spans="1:14" x14ac:dyDescent="0.25">
      <c r="A568" s="18" t="s">
        <v>158</v>
      </c>
      <c r="B568" s="18" t="s">
        <v>121</v>
      </c>
      <c r="C568" s="18" t="s">
        <v>121</v>
      </c>
      <c r="D568" s="18" t="s">
        <v>237</v>
      </c>
      <c r="E568" s="19">
        <f>VLOOKUP(C:C,Courts!B:C,2,FALSE)</f>
        <v>26</v>
      </c>
      <c r="F568" s="19">
        <f>VLOOKUP(C:C,Courts!B:E,4,FALSE)</f>
        <v>0</v>
      </c>
      <c r="G568" s="19">
        <f>VLOOKUP(C:C,Courts!B:D,3,FALSE)</f>
        <v>7</v>
      </c>
      <c r="H568" s="19">
        <f>VLOOKUP(C:C,Courts!B:F,5,FALSE)</f>
        <v>33</v>
      </c>
      <c r="I568" s="18" t="s">
        <v>9</v>
      </c>
      <c r="J568" s="19">
        <f>VLOOKUP(C:C,TooliD!B:N,13,FALSE)</f>
        <v>33</v>
      </c>
      <c r="K568" s="18">
        <f>VLOOKUP(C:C,TooliD!B:M,12,FALSE)</f>
        <v>28</v>
      </c>
      <c r="L568" s="19">
        <f t="shared" si="110"/>
        <v>-5</v>
      </c>
      <c r="M568" s="19" t="str">
        <f t="shared" si="105"/>
        <v>Shortfall</v>
      </c>
      <c r="N568" s="18"/>
    </row>
    <row r="569" spans="1:14" x14ac:dyDescent="0.25">
      <c r="A569" s="18" t="s">
        <v>158</v>
      </c>
      <c r="B569" s="18" t="s">
        <v>121</v>
      </c>
      <c r="C569" s="18" t="s">
        <v>121</v>
      </c>
      <c r="D569" s="18" t="s">
        <v>237</v>
      </c>
      <c r="E569" s="19">
        <f>VLOOKUP(C:C,Courts!B:C,2,FALSE)</f>
        <v>26</v>
      </c>
      <c r="F569" s="19">
        <f>VLOOKUP(C:C,Courts!B:E,4,FALSE)</f>
        <v>0</v>
      </c>
      <c r="G569" s="19">
        <f>VLOOKUP(C:C,Courts!B:D,3,FALSE)</f>
        <v>7</v>
      </c>
      <c r="H569" s="19">
        <f>VLOOKUP(C:C,Courts!B:F,5,FALSE)</f>
        <v>33</v>
      </c>
      <c r="I569" s="18" t="s">
        <v>239</v>
      </c>
      <c r="J569" s="19">
        <f>VLOOKUP(C:C,TooliD!B:Q,16,FALSE)</f>
        <v>66</v>
      </c>
      <c r="K569" s="18">
        <f>VLOOKUP(C:C,TooliD!B:P,15,FALSE)</f>
        <v>54</v>
      </c>
      <c r="L569" s="19">
        <f t="shared" si="110"/>
        <v>-12</v>
      </c>
      <c r="M569" s="19" t="str">
        <f t="shared" si="105"/>
        <v>Shortfall</v>
      </c>
      <c r="N569" s="18"/>
    </row>
    <row r="570" spans="1:14" x14ac:dyDescent="0.25">
      <c r="A570" s="18" t="s">
        <v>158</v>
      </c>
      <c r="B570" s="18" t="s">
        <v>121</v>
      </c>
      <c r="C570" s="18" t="s">
        <v>121</v>
      </c>
      <c r="D570" s="18" t="s">
        <v>237</v>
      </c>
      <c r="E570" s="19">
        <f>VLOOKUP(C:C,Courts!B:C,2,FALSE)</f>
        <v>26</v>
      </c>
      <c r="F570" s="19">
        <f>VLOOKUP(C:C,Courts!B:E,4,FALSE)</f>
        <v>0</v>
      </c>
      <c r="G570" s="19">
        <f>VLOOKUP(C:C,Courts!B:D,3,FALSE)</f>
        <v>7</v>
      </c>
      <c r="H570" s="19">
        <f>VLOOKUP(C:C,Courts!B:F,5,FALSE)</f>
        <v>33</v>
      </c>
      <c r="I570" s="18" t="s">
        <v>11</v>
      </c>
      <c r="J570" s="19">
        <f>VLOOKUP(C:C,TooliD!B:T,19,FALSE)</f>
        <v>264</v>
      </c>
      <c r="K570" s="18">
        <f>VLOOKUP(C:C,TooliD!B:S,18,FALSE)</f>
        <v>232</v>
      </c>
      <c r="L570" s="19">
        <f t="shared" si="110"/>
        <v>-32</v>
      </c>
      <c r="M570" s="19" t="str">
        <f t="shared" si="105"/>
        <v>Shortfall</v>
      </c>
      <c r="N570" s="18"/>
    </row>
    <row r="571" spans="1:14" x14ac:dyDescent="0.25">
      <c r="A571" s="18" t="s">
        <v>158</v>
      </c>
      <c r="B571" s="18" t="s">
        <v>121</v>
      </c>
      <c r="C571" s="18" t="s">
        <v>121</v>
      </c>
      <c r="D571" s="18" t="s">
        <v>237</v>
      </c>
      <c r="E571" s="19">
        <f>VLOOKUP(C:C,Courts!B:C,2,FALSE)</f>
        <v>26</v>
      </c>
      <c r="F571" s="19">
        <f>VLOOKUP(C:C,Courts!B:E,4,FALSE)</f>
        <v>0</v>
      </c>
      <c r="G571" s="19">
        <f>VLOOKUP(C:C,Courts!B:D,3,FALSE)</f>
        <v>7</v>
      </c>
      <c r="H571" s="19">
        <f>VLOOKUP(C:C,Courts!B:F,5,FALSE)</f>
        <v>33</v>
      </c>
      <c r="I571" s="18" t="s">
        <v>212</v>
      </c>
      <c r="J571" s="19">
        <f>VLOOKUP(C:C,TooliD!B:W,22,FALSE)</f>
        <v>33</v>
      </c>
      <c r="K571" s="18">
        <f>VLOOKUP(C:C,TooliD!B:V,21,FALSE)</f>
        <v>28</v>
      </c>
      <c r="L571" s="19">
        <f t="shared" si="110"/>
        <v>-5</v>
      </c>
      <c r="M571" s="19" t="str">
        <f t="shared" si="105"/>
        <v>Shortfall</v>
      </c>
      <c r="N571" s="18"/>
    </row>
    <row r="572" spans="1:14" x14ac:dyDescent="0.25">
      <c r="A572" s="18" t="s">
        <v>158</v>
      </c>
      <c r="B572" s="18" t="s">
        <v>121</v>
      </c>
      <c r="C572" s="18" t="s">
        <v>122</v>
      </c>
      <c r="D572" s="18" t="s">
        <v>238</v>
      </c>
      <c r="E572" s="19">
        <f>VLOOKUP(C:C,Courts!B:C,2,FALSE)</f>
        <v>2</v>
      </c>
      <c r="F572" s="19">
        <f>VLOOKUP(C:C,Courts!B:E,4,FALSE)</f>
        <v>1</v>
      </c>
      <c r="G572" s="19">
        <f>VLOOKUP(C:C,Courts!B:D,3,FALSE)</f>
        <v>0</v>
      </c>
      <c r="H572" s="19">
        <f>VLOOKUP(C:C,Courts!B:F,5,FALSE)</f>
        <v>3</v>
      </c>
      <c r="I572" s="18" t="s">
        <v>7</v>
      </c>
      <c r="J572" s="19">
        <f>VLOOKUP(C:C,TooliD!B:H,7,FALSE)</f>
        <v>3</v>
      </c>
      <c r="K572" s="19">
        <f>VLOOKUP(C:C,TooliD!B:G,6,FALSE)</f>
        <v>4</v>
      </c>
      <c r="L572" s="19">
        <f>K572-J572</f>
        <v>1</v>
      </c>
      <c r="M572" s="19" t="str">
        <f>IF(L572=0,"OK", IF(L572&gt;0,"Surplus","Shortfall"))</f>
        <v>Surplus</v>
      </c>
      <c r="N572" s="18"/>
    </row>
    <row r="573" spans="1:14" x14ac:dyDescent="0.25">
      <c r="A573" s="18" t="s">
        <v>158</v>
      </c>
      <c r="B573" s="18" t="s">
        <v>121</v>
      </c>
      <c r="C573" s="18" t="s">
        <v>122</v>
      </c>
      <c r="D573" s="18" t="s">
        <v>238</v>
      </c>
      <c r="E573" s="19">
        <f>VLOOKUP(C:C,Courts!B:C,2,FALSE)</f>
        <v>2</v>
      </c>
      <c r="F573" s="19">
        <f>VLOOKUP(C:C,Courts!B:E,4,FALSE)</f>
        <v>1</v>
      </c>
      <c r="G573" s="19">
        <f>VLOOKUP(C:C,Courts!B:D,3,FALSE)</f>
        <v>0</v>
      </c>
      <c r="H573" s="19">
        <f>VLOOKUP(C:C,Courts!B:F,5,FALSE)</f>
        <v>3</v>
      </c>
      <c r="I573" s="18" t="s">
        <v>241</v>
      </c>
      <c r="J573" s="19">
        <f>VLOOKUP(C:C,TooliD!B:K,7,FALSE)</f>
        <v>3</v>
      </c>
      <c r="K573" s="19">
        <f>VLOOKUP(C:C,TooliD!B:J,9,FALSE)</f>
        <v>2</v>
      </c>
      <c r="L573" s="19">
        <f t="shared" ref="L573:L577" si="111">K573-J573</f>
        <v>-1</v>
      </c>
      <c r="M573" s="19" t="str">
        <f t="shared" si="105"/>
        <v>Shortfall</v>
      </c>
      <c r="N573" s="18"/>
    </row>
    <row r="574" spans="1:14" x14ac:dyDescent="0.25">
      <c r="A574" s="18" t="s">
        <v>158</v>
      </c>
      <c r="B574" s="18" t="s">
        <v>121</v>
      </c>
      <c r="C574" s="18" t="s">
        <v>122</v>
      </c>
      <c r="D574" s="18" t="s">
        <v>238</v>
      </c>
      <c r="E574" s="19">
        <f>VLOOKUP(C:C,Courts!B:C,2,FALSE)</f>
        <v>2</v>
      </c>
      <c r="F574" s="19">
        <f>VLOOKUP(C:C,Courts!B:E,4,FALSE)</f>
        <v>1</v>
      </c>
      <c r="G574" s="19">
        <f>VLOOKUP(C:C,Courts!B:D,3,FALSE)</f>
        <v>0</v>
      </c>
      <c r="H574" s="19">
        <f>VLOOKUP(C:C,Courts!B:F,5,FALSE)</f>
        <v>3</v>
      </c>
      <c r="I574" s="18" t="s">
        <v>9</v>
      </c>
      <c r="J574" s="19">
        <f>VLOOKUP(C:C,TooliD!B:N,13,FALSE)</f>
        <v>3</v>
      </c>
      <c r="K574" s="18">
        <f>VLOOKUP(C:C,TooliD!B:M,12,FALSE)</f>
        <v>4</v>
      </c>
      <c r="L574" s="19">
        <f t="shared" si="111"/>
        <v>1</v>
      </c>
      <c r="M574" s="19" t="str">
        <f t="shared" si="105"/>
        <v>Surplus</v>
      </c>
      <c r="N574" s="18"/>
    </row>
    <row r="575" spans="1:14" x14ac:dyDescent="0.25">
      <c r="A575" s="18" t="s">
        <v>158</v>
      </c>
      <c r="B575" s="18" t="s">
        <v>121</v>
      </c>
      <c r="C575" s="18" t="s">
        <v>122</v>
      </c>
      <c r="D575" s="18" t="s">
        <v>238</v>
      </c>
      <c r="E575" s="19">
        <f>VLOOKUP(C:C,Courts!B:C,2,FALSE)</f>
        <v>2</v>
      </c>
      <c r="F575" s="19">
        <f>VLOOKUP(C:C,Courts!B:E,4,FALSE)</f>
        <v>1</v>
      </c>
      <c r="G575" s="19">
        <f>VLOOKUP(C:C,Courts!B:D,3,FALSE)</f>
        <v>0</v>
      </c>
      <c r="H575" s="19">
        <f>VLOOKUP(C:C,Courts!B:F,5,FALSE)</f>
        <v>3</v>
      </c>
      <c r="I575" s="18" t="s">
        <v>239</v>
      </c>
      <c r="J575" s="19">
        <f>VLOOKUP(C:C,TooliD!B:Q,16,FALSE)</f>
        <v>4</v>
      </c>
      <c r="K575" s="18">
        <f>VLOOKUP(C:C,TooliD!B:P,15,FALSE)</f>
        <v>7</v>
      </c>
      <c r="L575" s="19">
        <f t="shared" si="111"/>
        <v>3</v>
      </c>
      <c r="M575" s="19" t="str">
        <f t="shared" si="105"/>
        <v>Surplus</v>
      </c>
      <c r="N575" s="18"/>
    </row>
    <row r="576" spans="1:14" x14ac:dyDescent="0.25">
      <c r="A576" s="18" t="s">
        <v>158</v>
      </c>
      <c r="B576" s="18" t="s">
        <v>121</v>
      </c>
      <c r="C576" s="18" t="s">
        <v>122</v>
      </c>
      <c r="D576" s="18" t="s">
        <v>238</v>
      </c>
      <c r="E576" s="19">
        <f>VLOOKUP(C:C,Courts!B:C,2,FALSE)</f>
        <v>2</v>
      </c>
      <c r="F576" s="19">
        <f>VLOOKUP(C:C,Courts!B:E,4,FALSE)</f>
        <v>1</v>
      </c>
      <c r="G576" s="19">
        <f>VLOOKUP(C:C,Courts!B:D,3,FALSE)</f>
        <v>0</v>
      </c>
      <c r="H576" s="19">
        <f>VLOOKUP(C:C,Courts!B:F,5,FALSE)</f>
        <v>3</v>
      </c>
      <c r="I576" s="18" t="s">
        <v>11</v>
      </c>
      <c r="J576" s="19">
        <f>VLOOKUP(C:C,TooliD!B:T,19,FALSE)</f>
        <v>20</v>
      </c>
      <c r="K576" s="18">
        <f>VLOOKUP(C:C,TooliD!B:S,18,FALSE)</f>
        <v>28</v>
      </c>
      <c r="L576" s="19">
        <f t="shared" si="111"/>
        <v>8</v>
      </c>
      <c r="M576" s="19" t="str">
        <f t="shared" si="105"/>
        <v>Surplus</v>
      </c>
      <c r="N576" s="18"/>
    </row>
    <row r="577" spans="1:14" x14ac:dyDescent="0.25">
      <c r="A577" s="18" t="s">
        <v>158</v>
      </c>
      <c r="B577" s="18" t="s">
        <v>121</v>
      </c>
      <c r="C577" s="18" t="s">
        <v>122</v>
      </c>
      <c r="D577" s="18" t="s">
        <v>238</v>
      </c>
      <c r="E577" s="19">
        <f>VLOOKUP(C:C,Courts!B:C,2,FALSE)</f>
        <v>2</v>
      </c>
      <c r="F577" s="19">
        <f>VLOOKUP(C:C,Courts!B:E,4,FALSE)</f>
        <v>1</v>
      </c>
      <c r="G577" s="19">
        <f>VLOOKUP(C:C,Courts!B:D,3,FALSE)</f>
        <v>0</v>
      </c>
      <c r="H577" s="19">
        <f>VLOOKUP(C:C,Courts!B:F,5,FALSE)</f>
        <v>3</v>
      </c>
      <c r="I577" s="18" t="s">
        <v>212</v>
      </c>
      <c r="J577" s="19">
        <f>VLOOKUP(C:C,TooliD!B:W,22,FALSE)</f>
        <v>3</v>
      </c>
      <c r="K577" s="18">
        <f>VLOOKUP(C:C,TooliD!B:V,21,FALSE)</f>
        <v>4</v>
      </c>
      <c r="L577" s="19">
        <f t="shared" si="111"/>
        <v>1</v>
      </c>
      <c r="M577" s="19" t="str">
        <f t="shared" si="105"/>
        <v>Surplus</v>
      </c>
      <c r="N577" s="18"/>
    </row>
    <row r="578" spans="1:14" x14ac:dyDescent="0.25">
      <c r="A578" s="18" t="s">
        <v>158</v>
      </c>
      <c r="B578" s="18" t="s">
        <v>121</v>
      </c>
      <c r="C578" s="18" t="s">
        <v>123</v>
      </c>
      <c r="D578" s="18" t="s">
        <v>238</v>
      </c>
      <c r="E578" s="19">
        <f>VLOOKUP(C:C,Courts!B:C,2,FALSE)</f>
        <v>1</v>
      </c>
      <c r="F578" s="19">
        <f>VLOOKUP(C:C,Courts!B:E,4,FALSE)</f>
        <v>0</v>
      </c>
      <c r="G578" s="19">
        <f>VLOOKUP(C:C,Courts!B:D,3,FALSE)</f>
        <v>0</v>
      </c>
      <c r="H578" s="19">
        <f>VLOOKUP(C:C,Courts!B:F,5,FALSE)</f>
        <v>1</v>
      </c>
      <c r="I578" s="18" t="s">
        <v>7</v>
      </c>
      <c r="J578" s="19">
        <f>VLOOKUP(C:C,TooliD!B:H,7,FALSE)</f>
        <v>1</v>
      </c>
      <c r="K578" s="19">
        <f>VLOOKUP(C:C,TooliD!B:G,6,FALSE)</f>
        <v>0</v>
      </c>
      <c r="L578" s="19">
        <f>K578-J578</f>
        <v>-1</v>
      </c>
      <c r="M578" s="19" t="str">
        <f>IF(L578=0,"OK", IF(L578&gt;0,"Surplus","Shortfall"))</f>
        <v>Shortfall</v>
      </c>
      <c r="N578" s="18"/>
    </row>
    <row r="579" spans="1:14" x14ac:dyDescent="0.25">
      <c r="A579" s="18" t="s">
        <v>158</v>
      </c>
      <c r="B579" s="18" t="s">
        <v>121</v>
      </c>
      <c r="C579" s="18" t="s">
        <v>123</v>
      </c>
      <c r="D579" s="18" t="s">
        <v>238</v>
      </c>
      <c r="E579" s="19">
        <f>VLOOKUP(C:C,Courts!B:C,2,FALSE)</f>
        <v>1</v>
      </c>
      <c r="F579" s="19">
        <f>VLOOKUP(C:C,Courts!B:E,4,FALSE)</f>
        <v>0</v>
      </c>
      <c r="G579" s="19">
        <f>VLOOKUP(C:C,Courts!B:D,3,FALSE)</f>
        <v>0</v>
      </c>
      <c r="H579" s="19">
        <f>VLOOKUP(C:C,Courts!B:F,5,FALSE)</f>
        <v>1</v>
      </c>
      <c r="I579" s="18" t="s">
        <v>241</v>
      </c>
      <c r="J579" s="19">
        <f>VLOOKUP(C:C,TooliD!B:K,7,FALSE)</f>
        <v>1</v>
      </c>
      <c r="K579" s="19">
        <f>VLOOKUP(C:C,TooliD!B:J,9,FALSE)</f>
        <v>0</v>
      </c>
      <c r="L579" s="19">
        <f t="shared" ref="L579:L583" si="112">K579-J579</f>
        <v>-1</v>
      </c>
      <c r="M579" s="19" t="str">
        <f t="shared" si="105"/>
        <v>Shortfall</v>
      </c>
      <c r="N579" s="18"/>
    </row>
    <row r="580" spans="1:14" x14ac:dyDescent="0.25">
      <c r="A580" s="18" t="s">
        <v>158</v>
      </c>
      <c r="B580" s="18" t="s">
        <v>121</v>
      </c>
      <c r="C580" s="18" t="s">
        <v>123</v>
      </c>
      <c r="D580" s="18" t="s">
        <v>238</v>
      </c>
      <c r="E580" s="19">
        <f>VLOOKUP(C:C,Courts!B:C,2,FALSE)</f>
        <v>1</v>
      </c>
      <c r="F580" s="19">
        <f>VLOOKUP(C:C,Courts!B:E,4,FALSE)</f>
        <v>0</v>
      </c>
      <c r="G580" s="19">
        <f>VLOOKUP(C:C,Courts!B:D,3,FALSE)</f>
        <v>0</v>
      </c>
      <c r="H580" s="19">
        <f>VLOOKUP(C:C,Courts!B:F,5,FALSE)</f>
        <v>1</v>
      </c>
      <c r="I580" s="18" t="s">
        <v>9</v>
      </c>
      <c r="J580" s="19">
        <f>VLOOKUP(C:C,TooliD!B:N,13,FALSE)</f>
        <v>1</v>
      </c>
      <c r="K580" s="18">
        <f>VLOOKUP(C:C,TooliD!B:M,12,FALSE)</f>
        <v>0</v>
      </c>
      <c r="L580" s="19">
        <f t="shared" si="112"/>
        <v>-1</v>
      </c>
      <c r="M580" s="19" t="str">
        <f t="shared" si="105"/>
        <v>Shortfall</v>
      </c>
      <c r="N580" s="18"/>
    </row>
    <row r="581" spans="1:14" x14ac:dyDescent="0.25">
      <c r="A581" s="18" t="s">
        <v>158</v>
      </c>
      <c r="B581" s="18" t="s">
        <v>121</v>
      </c>
      <c r="C581" s="18" t="s">
        <v>123</v>
      </c>
      <c r="D581" s="18" t="s">
        <v>238</v>
      </c>
      <c r="E581" s="19">
        <f>VLOOKUP(C:C,Courts!B:C,2,FALSE)</f>
        <v>1</v>
      </c>
      <c r="F581" s="19">
        <f>VLOOKUP(C:C,Courts!B:E,4,FALSE)</f>
        <v>0</v>
      </c>
      <c r="G581" s="19">
        <f>VLOOKUP(C:C,Courts!B:D,3,FALSE)</f>
        <v>0</v>
      </c>
      <c r="H581" s="19">
        <f>VLOOKUP(C:C,Courts!B:F,5,FALSE)</f>
        <v>1</v>
      </c>
      <c r="I581" s="18" t="s">
        <v>239</v>
      </c>
      <c r="J581" s="19">
        <f>VLOOKUP(C:C,TooliD!B:Q,16,FALSE)</f>
        <v>2</v>
      </c>
      <c r="K581" s="18">
        <f>VLOOKUP(C:C,TooliD!B:P,15,FALSE)</f>
        <v>0</v>
      </c>
      <c r="L581" s="19">
        <f t="shared" si="112"/>
        <v>-2</v>
      </c>
      <c r="M581" s="19" t="str">
        <f t="shared" si="105"/>
        <v>Shortfall</v>
      </c>
      <c r="N581" s="18"/>
    </row>
    <row r="582" spans="1:14" x14ac:dyDescent="0.25">
      <c r="A582" s="18" t="s">
        <v>158</v>
      </c>
      <c r="B582" s="18" t="s">
        <v>121</v>
      </c>
      <c r="C582" s="18" t="s">
        <v>123</v>
      </c>
      <c r="D582" s="18" t="s">
        <v>238</v>
      </c>
      <c r="E582" s="19">
        <f>VLOOKUP(C:C,Courts!B:C,2,FALSE)</f>
        <v>1</v>
      </c>
      <c r="F582" s="19">
        <f>VLOOKUP(C:C,Courts!B:E,4,FALSE)</f>
        <v>0</v>
      </c>
      <c r="G582" s="19">
        <f>VLOOKUP(C:C,Courts!B:D,3,FALSE)</f>
        <v>0</v>
      </c>
      <c r="H582" s="19">
        <f>VLOOKUP(C:C,Courts!B:F,5,FALSE)</f>
        <v>1</v>
      </c>
      <c r="I582" s="18" t="s">
        <v>11</v>
      </c>
      <c r="J582" s="19">
        <f>VLOOKUP(C:C,TooliD!B:T,19,FALSE)</f>
        <v>8</v>
      </c>
      <c r="K582" s="18">
        <f>VLOOKUP(C:C,TooliD!B:S,18,FALSE)</f>
        <v>0</v>
      </c>
      <c r="L582" s="19">
        <f t="shared" si="112"/>
        <v>-8</v>
      </c>
      <c r="M582" s="19" t="str">
        <f t="shared" si="105"/>
        <v>Shortfall</v>
      </c>
      <c r="N582" s="18"/>
    </row>
    <row r="583" spans="1:14" x14ac:dyDescent="0.25">
      <c r="A583" s="18" t="s">
        <v>158</v>
      </c>
      <c r="B583" s="18" t="s">
        <v>121</v>
      </c>
      <c r="C583" s="18" t="s">
        <v>123</v>
      </c>
      <c r="D583" s="18" t="s">
        <v>238</v>
      </c>
      <c r="E583" s="19">
        <f>VLOOKUP(C:C,Courts!B:C,2,FALSE)</f>
        <v>1</v>
      </c>
      <c r="F583" s="19">
        <f>VLOOKUP(C:C,Courts!B:E,4,FALSE)</f>
        <v>0</v>
      </c>
      <c r="G583" s="19">
        <f>VLOOKUP(C:C,Courts!B:D,3,FALSE)</f>
        <v>0</v>
      </c>
      <c r="H583" s="19">
        <f>VLOOKUP(C:C,Courts!B:F,5,FALSE)</f>
        <v>1</v>
      </c>
      <c r="I583" s="18" t="s">
        <v>212</v>
      </c>
      <c r="J583" s="19">
        <f>VLOOKUP(C:C,TooliD!B:W,22,FALSE)</f>
        <v>1</v>
      </c>
      <c r="K583" s="18">
        <f>VLOOKUP(C:C,TooliD!B:V,21,FALSE)</f>
        <v>0</v>
      </c>
      <c r="L583" s="19">
        <f t="shared" si="112"/>
        <v>-1</v>
      </c>
      <c r="M583" s="19" t="str">
        <f t="shared" si="105"/>
        <v>Shortfall</v>
      </c>
      <c r="N583" s="18"/>
    </row>
    <row r="584" spans="1:14" x14ac:dyDescent="0.25">
      <c r="A584" s="18" t="s">
        <v>158</v>
      </c>
      <c r="B584" s="18" t="s">
        <v>121</v>
      </c>
      <c r="C584" s="18" t="s">
        <v>124</v>
      </c>
      <c r="D584" s="18" t="s">
        <v>238</v>
      </c>
      <c r="E584" s="19">
        <f>VLOOKUP(C:C,Courts!B:C,2,FALSE)</f>
        <v>1</v>
      </c>
      <c r="F584" s="19">
        <f>VLOOKUP(C:C,Courts!B:E,4,FALSE)</f>
        <v>1</v>
      </c>
      <c r="G584" s="19">
        <f>VLOOKUP(C:C,Courts!B:D,3,FALSE)</f>
        <v>0</v>
      </c>
      <c r="H584" s="19">
        <f>VLOOKUP(C:C,Courts!B:F,5,FALSE)</f>
        <v>2</v>
      </c>
      <c r="I584" s="18" t="s">
        <v>7</v>
      </c>
      <c r="J584" s="19">
        <f>VLOOKUP(C:C,TooliD!B:H,7,FALSE)</f>
        <v>2</v>
      </c>
      <c r="K584" s="19">
        <f>VLOOKUP(C:C,TooliD!B:G,6,FALSE)</f>
        <v>3</v>
      </c>
      <c r="L584" s="19">
        <f>K584-J584</f>
        <v>1</v>
      </c>
      <c r="M584" s="19" t="str">
        <f>IF(L584=0,"OK", IF(L584&gt;0,"Surplus","Shortfall"))</f>
        <v>Surplus</v>
      </c>
      <c r="N584" s="18"/>
    </row>
    <row r="585" spans="1:14" x14ac:dyDescent="0.25">
      <c r="A585" s="18" t="s">
        <v>158</v>
      </c>
      <c r="B585" s="18" t="s">
        <v>121</v>
      </c>
      <c r="C585" s="18" t="s">
        <v>124</v>
      </c>
      <c r="D585" s="18" t="s">
        <v>238</v>
      </c>
      <c r="E585" s="19">
        <f>VLOOKUP(C:C,Courts!B:C,2,FALSE)</f>
        <v>1</v>
      </c>
      <c r="F585" s="19">
        <f>VLOOKUP(C:C,Courts!B:E,4,FALSE)</f>
        <v>1</v>
      </c>
      <c r="G585" s="19">
        <f>VLOOKUP(C:C,Courts!B:D,3,FALSE)</f>
        <v>0</v>
      </c>
      <c r="H585" s="19">
        <f>VLOOKUP(C:C,Courts!B:F,5,FALSE)</f>
        <v>2</v>
      </c>
      <c r="I585" s="18" t="s">
        <v>241</v>
      </c>
      <c r="J585" s="19">
        <f>VLOOKUP(C:C,TooliD!B:K,7,FALSE)</f>
        <v>2</v>
      </c>
      <c r="K585" s="19">
        <f>VLOOKUP(C:C,TooliD!B:J,9,FALSE)</f>
        <v>2</v>
      </c>
      <c r="L585" s="19">
        <f t="shared" ref="L585:L589" si="113">K585-J585</f>
        <v>0</v>
      </c>
      <c r="M585" s="19" t="str">
        <f t="shared" si="105"/>
        <v>OK</v>
      </c>
      <c r="N585" s="18"/>
    </row>
    <row r="586" spans="1:14" x14ac:dyDescent="0.25">
      <c r="A586" s="18" t="s">
        <v>158</v>
      </c>
      <c r="B586" s="18" t="s">
        <v>121</v>
      </c>
      <c r="C586" s="18" t="s">
        <v>124</v>
      </c>
      <c r="D586" s="18" t="s">
        <v>238</v>
      </c>
      <c r="E586" s="19">
        <f>VLOOKUP(C:C,Courts!B:C,2,FALSE)</f>
        <v>1</v>
      </c>
      <c r="F586" s="19">
        <f>VLOOKUP(C:C,Courts!B:E,4,FALSE)</f>
        <v>1</v>
      </c>
      <c r="G586" s="19">
        <f>VLOOKUP(C:C,Courts!B:D,3,FALSE)</f>
        <v>0</v>
      </c>
      <c r="H586" s="19">
        <f>VLOOKUP(C:C,Courts!B:F,5,FALSE)</f>
        <v>2</v>
      </c>
      <c r="I586" s="18" t="s">
        <v>9</v>
      </c>
      <c r="J586" s="19">
        <f>VLOOKUP(C:C,TooliD!B:N,13,FALSE)</f>
        <v>2</v>
      </c>
      <c r="K586" s="18">
        <f>VLOOKUP(C:C,TooliD!B:M,12,FALSE)</f>
        <v>3</v>
      </c>
      <c r="L586" s="19">
        <f t="shared" si="113"/>
        <v>1</v>
      </c>
      <c r="M586" s="19" t="str">
        <f t="shared" si="105"/>
        <v>Surplus</v>
      </c>
      <c r="N586" s="18"/>
    </row>
    <row r="587" spans="1:14" x14ac:dyDescent="0.25">
      <c r="A587" s="18" t="s">
        <v>158</v>
      </c>
      <c r="B587" s="18" t="s">
        <v>121</v>
      </c>
      <c r="C587" s="18" t="s">
        <v>124</v>
      </c>
      <c r="D587" s="18" t="s">
        <v>238</v>
      </c>
      <c r="E587" s="19">
        <f>VLOOKUP(C:C,Courts!B:C,2,FALSE)</f>
        <v>1</v>
      </c>
      <c r="F587" s="19">
        <f>VLOOKUP(C:C,Courts!B:E,4,FALSE)</f>
        <v>1</v>
      </c>
      <c r="G587" s="19">
        <f>VLOOKUP(C:C,Courts!B:D,3,FALSE)</f>
        <v>0</v>
      </c>
      <c r="H587" s="19">
        <f>VLOOKUP(C:C,Courts!B:F,5,FALSE)</f>
        <v>2</v>
      </c>
      <c r="I587" s="18" t="s">
        <v>239</v>
      </c>
      <c r="J587" s="19">
        <f>VLOOKUP(C:C,TooliD!B:Q,16,FALSE)</f>
        <v>2</v>
      </c>
      <c r="K587" s="18">
        <f>VLOOKUP(C:C,TooliD!B:P,15,FALSE)</f>
        <v>5</v>
      </c>
      <c r="L587" s="19">
        <f t="shared" si="113"/>
        <v>3</v>
      </c>
      <c r="M587" s="19" t="str">
        <f t="shared" si="105"/>
        <v>Surplus</v>
      </c>
      <c r="N587" s="18"/>
    </row>
    <row r="588" spans="1:14" x14ac:dyDescent="0.25">
      <c r="A588" s="18" t="s">
        <v>158</v>
      </c>
      <c r="B588" s="18" t="s">
        <v>121</v>
      </c>
      <c r="C588" s="18" t="s">
        <v>124</v>
      </c>
      <c r="D588" s="18" t="s">
        <v>238</v>
      </c>
      <c r="E588" s="19">
        <f>VLOOKUP(C:C,Courts!B:C,2,FALSE)</f>
        <v>1</v>
      </c>
      <c r="F588" s="19">
        <f>VLOOKUP(C:C,Courts!B:E,4,FALSE)</f>
        <v>1</v>
      </c>
      <c r="G588" s="19">
        <f>VLOOKUP(C:C,Courts!B:D,3,FALSE)</f>
        <v>0</v>
      </c>
      <c r="H588" s="19">
        <f>VLOOKUP(C:C,Courts!B:F,5,FALSE)</f>
        <v>2</v>
      </c>
      <c r="I588" s="18" t="s">
        <v>11</v>
      </c>
      <c r="J588" s="19">
        <f>VLOOKUP(C:C,TooliD!B:T,19,FALSE)</f>
        <v>12</v>
      </c>
      <c r="K588" s="18">
        <f>VLOOKUP(C:C,TooliD!B:S,18,FALSE)</f>
        <v>16</v>
      </c>
      <c r="L588" s="19">
        <f t="shared" si="113"/>
        <v>4</v>
      </c>
      <c r="M588" s="19" t="str">
        <f t="shared" si="105"/>
        <v>Surplus</v>
      </c>
      <c r="N588" s="18"/>
    </row>
    <row r="589" spans="1:14" x14ac:dyDescent="0.25">
      <c r="A589" s="18" t="s">
        <v>158</v>
      </c>
      <c r="B589" s="18" t="s">
        <v>121</v>
      </c>
      <c r="C589" s="18" t="s">
        <v>124</v>
      </c>
      <c r="D589" s="18" t="s">
        <v>238</v>
      </c>
      <c r="E589" s="19">
        <f>VLOOKUP(C:C,Courts!B:C,2,FALSE)</f>
        <v>1</v>
      </c>
      <c r="F589" s="19">
        <f>VLOOKUP(C:C,Courts!B:E,4,FALSE)</f>
        <v>1</v>
      </c>
      <c r="G589" s="19">
        <f>VLOOKUP(C:C,Courts!B:D,3,FALSE)</f>
        <v>0</v>
      </c>
      <c r="H589" s="19">
        <f>VLOOKUP(C:C,Courts!B:F,5,FALSE)</f>
        <v>2</v>
      </c>
      <c r="I589" s="18" t="s">
        <v>212</v>
      </c>
      <c r="J589" s="19">
        <f>VLOOKUP(C:C,TooliD!B:W,22,FALSE)</f>
        <v>2</v>
      </c>
      <c r="K589" s="18">
        <f>VLOOKUP(C:C,TooliD!B:V,21,FALSE)</f>
        <v>3</v>
      </c>
      <c r="L589" s="19">
        <f t="shared" si="113"/>
        <v>1</v>
      </c>
      <c r="M589" s="19" t="str">
        <f t="shared" si="105"/>
        <v>Surplus</v>
      </c>
      <c r="N589" s="18"/>
    </row>
    <row r="590" spans="1:14" x14ac:dyDescent="0.25">
      <c r="A590" s="18" t="s">
        <v>158</v>
      </c>
      <c r="B590" s="18" t="s">
        <v>125</v>
      </c>
      <c r="C590" s="18" t="s">
        <v>125</v>
      </c>
      <c r="D590" s="18" t="s">
        <v>237</v>
      </c>
      <c r="E590" s="19">
        <f>VLOOKUP(C:C,Courts!B:C,2,FALSE)</f>
        <v>15</v>
      </c>
      <c r="F590" s="19">
        <f>VLOOKUP(C:C,Courts!B:E,4,FALSE)</f>
        <v>0</v>
      </c>
      <c r="G590" s="19">
        <f>VLOOKUP(C:C,Courts!B:D,3,FALSE)</f>
        <v>1</v>
      </c>
      <c r="H590" s="19">
        <f>VLOOKUP(C:C,Courts!B:F,5,FALSE)</f>
        <v>16</v>
      </c>
      <c r="I590" s="18" t="s">
        <v>7</v>
      </c>
      <c r="J590" s="19">
        <f>VLOOKUP(C:C,TooliD!B:H,7,FALSE)</f>
        <v>16</v>
      </c>
      <c r="K590" s="19">
        <f>VLOOKUP(C:C,TooliD!B:G,6,FALSE)</f>
        <v>20</v>
      </c>
      <c r="L590" s="19">
        <f>K590-J590</f>
        <v>4</v>
      </c>
      <c r="M590" s="19" t="str">
        <f>IF(L590=0,"OK", IF(L590&gt;0,"Surplus","Shortfall"))</f>
        <v>Surplus</v>
      </c>
      <c r="N590" s="18"/>
    </row>
    <row r="591" spans="1:14" x14ac:dyDescent="0.25">
      <c r="A591" s="18" t="s">
        <v>158</v>
      </c>
      <c r="B591" s="18" t="s">
        <v>125</v>
      </c>
      <c r="C591" s="18" t="s">
        <v>125</v>
      </c>
      <c r="D591" s="18" t="s">
        <v>237</v>
      </c>
      <c r="E591" s="19">
        <f>VLOOKUP(C:C,Courts!B:C,2,FALSE)</f>
        <v>15</v>
      </c>
      <c r="F591" s="19">
        <f>VLOOKUP(C:C,Courts!B:E,4,FALSE)</f>
        <v>0</v>
      </c>
      <c r="G591" s="19">
        <f>VLOOKUP(C:C,Courts!B:D,3,FALSE)</f>
        <v>1</v>
      </c>
      <c r="H591" s="19">
        <f>VLOOKUP(C:C,Courts!B:F,5,FALSE)</f>
        <v>16</v>
      </c>
      <c r="I591" s="18" t="s">
        <v>241</v>
      </c>
      <c r="J591" s="19">
        <f>VLOOKUP(C:C,TooliD!B:K,7,FALSE)</f>
        <v>16</v>
      </c>
      <c r="K591" s="19">
        <f>VLOOKUP(C:C,TooliD!B:J,9,FALSE)</f>
        <v>15</v>
      </c>
      <c r="L591" s="19">
        <f t="shared" ref="L591:L595" si="114">K591-J591</f>
        <v>-1</v>
      </c>
      <c r="M591" s="19" t="str">
        <f t="shared" si="105"/>
        <v>Shortfall</v>
      </c>
      <c r="N591" s="18"/>
    </row>
    <row r="592" spans="1:14" x14ac:dyDescent="0.25">
      <c r="A592" s="18" t="s">
        <v>158</v>
      </c>
      <c r="B592" s="18" t="s">
        <v>125</v>
      </c>
      <c r="C592" s="18" t="s">
        <v>125</v>
      </c>
      <c r="D592" s="18" t="s">
        <v>237</v>
      </c>
      <c r="E592" s="19">
        <f>VLOOKUP(C:C,Courts!B:C,2,FALSE)</f>
        <v>15</v>
      </c>
      <c r="F592" s="19">
        <f>VLOOKUP(C:C,Courts!B:E,4,FALSE)</f>
        <v>0</v>
      </c>
      <c r="G592" s="19">
        <f>VLOOKUP(C:C,Courts!B:D,3,FALSE)</f>
        <v>1</v>
      </c>
      <c r="H592" s="19">
        <f>VLOOKUP(C:C,Courts!B:F,5,FALSE)</f>
        <v>16</v>
      </c>
      <c r="I592" s="18" t="s">
        <v>9</v>
      </c>
      <c r="J592" s="19">
        <f>VLOOKUP(C:C,TooliD!B:N,13,FALSE)</f>
        <v>16</v>
      </c>
      <c r="K592" s="18">
        <f>VLOOKUP(C:C,TooliD!B:M,12,FALSE)</f>
        <v>19</v>
      </c>
      <c r="L592" s="19">
        <f t="shared" si="114"/>
        <v>3</v>
      </c>
      <c r="M592" s="19" t="str">
        <f t="shared" si="105"/>
        <v>Surplus</v>
      </c>
      <c r="N592" s="18"/>
    </row>
    <row r="593" spans="1:14" x14ac:dyDescent="0.25">
      <c r="A593" s="18" t="s">
        <v>158</v>
      </c>
      <c r="B593" s="18" t="s">
        <v>125</v>
      </c>
      <c r="C593" s="18" t="s">
        <v>125</v>
      </c>
      <c r="D593" s="18" t="s">
        <v>237</v>
      </c>
      <c r="E593" s="19">
        <f>VLOOKUP(C:C,Courts!B:C,2,FALSE)</f>
        <v>15</v>
      </c>
      <c r="F593" s="19">
        <f>VLOOKUP(C:C,Courts!B:E,4,FALSE)</f>
        <v>0</v>
      </c>
      <c r="G593" s="19">
        <f>VLOOKUP(C:C,Courts!B:D,3,FALSE)</f>
        <v>1</v>
      </c>
      <c r="H593" s="19">
        <f>VLOOKUP(C:C,Courts!B:F,5,FALSE)</f>
        <v>16</v>
      </c>
      <c r="I593" s="18" t="s">
        <v>239</v>
      </c>
      <c r="J593" s="19">
        <f>VLOOKUP(C:C,TooliD!B:Q,16,FALSE)</f>
        <v>32</v>
      </c>
      <c r="K593" s="18">
        <f>VLOOKUP(C:C,TooliD!B:P,15,FALSE)</f>
        <v>36</v>
      </c>
      <c r="L593" s="19">
        <f t="shared" si="114"/>
        <v>4</v>
      </c>
      <c r="M593" s="19" t="str">
        <f t="shared" si="105"/>
        <v>Surplus</v>
      </c>
      <c r="N593" s="18"/>
    </row>
    <row r="594" spans="1:14" x14ac:dyDescent="0.25">
      <c r="A594" s="18" t="s">
        <v>158</v>
      </c>
      <c r="B594" s="18" t="s">
        <v>125</v>
      </c>
      <c r="C594" s="18" t="s">
        <v>125</v>
      </c>
      <c r="D594" s="18" t="s">
        <v>237</v>
      </c>
      <c r="E594" s="19">
        <f>VLOOKUP(C:C,Courts!B:C,2,FALSE)</f>
        <v>15</v>
      </c>
      <c r="F594" s="19">
        <f>VLOOKUP(C:C,Courts!B:E,4,FALSE)</f>
        <v>0</v>
      </c>
      <c r="G594" s="19">
        <f>VLOOKUP(C:C,Courts!B:D,3,FALSE)</f>
        <v>1</v>
      </c>
      <c r="H594" s="19">
        <f>VLOOKUP(C:C,Courts!B:F,5,FALSE)</f>
        <v>16</v>
      </c>
      <c r="I594" s="18" t="s">
        <v>11</v>
      </c>
      <c r="J594" s="19">
        <f>VLOOKUP(C:C,TooliD!B:T,19,FALSE)</f>
        <v>128</v>
      </c>
      <c r="K594" s="18">
        <f>VLOOKUP(C:C,TooliD!B:S,18,FALSE)</f>
        <v>144</v>
      </c>
      <c r="L594" s="19">
        <f t="shared" si="114"/>
        <v>16</v>
      </c>
      <c r="M594" s="19" t="str">
        <f t="shared" si="105"/>
        <v>Surplus</v>
      </c>
      <c r="N594" s="18"/>
    </row>
    <row r="595" spans="1:14" x14ac:dyDescent="0.25">
      <c r="A595" s="18" t="s">
        <v>158</v>
      </c>
      <c r="B595" s="18" t="s">
        <v>125</v>
      </c>
      <c r="C595" s="18" t="s">
        <v>125</v>
      </c>
      <c r="D595" s="18" t="s">
        <v>237</v>
      </c>
      <c r="E595" s="19">
        <f>VLOOKUP(C:C,Courts!B:C,2,FALSE)</f>
        <v>15</v>
      </c>
      <c r="F595" s="19">
        <f>VLOOKUP(C:C,Courts!B:E,4,FALSE)</f>
        <v>0</v>
      </c>
      <c r="G595" s="19">
        <f>VLOOKUP(C:C,Courts!B:D,3,FALSE)</f>
        <v>1</v>
      </c>
      <c r="H595" s="19">
        <f>VLOOKUP(C:C,Courts!B:F,5,FALSE)</f>
        <v>16</v>
      </c>
      <c r="I595" s="18" t="s">
        <v>212</v>
      </c>
      <c r="J595" s="19">
        <f>VLOOKUP(C:C,TooliD!B:W,22,FALSE)</f>
        <v>16</v>
      </c>
      <c r="K595" s="18">
        <f>VLOOKUP(C:C,TooliD!B:V,21,FALSE)</f>
        <v>21</v>
      </c>
      <c r="L595" s="19">
        <f t="shared" si="114"/>
        <v>5</v>
      </c>
      <c r="M595" s="19" t="str">
        <f t="shared" si="105"/>
        <v>Surplus</v>
      </c>
      <c r="N595" s="18"/>
    </row>
    <row r="596" spans="1:14" x14ac:dyDescent="0.25">
      <c r="A596" s="18" t="s">
        <v>158</v>
      </c>
      <c r="B596" s="18" t="s">
        <v>125</v>
      </c>
      <c r="C596" s="18" t="s">
        <v>126</v>
      </c>
      <c r="D596" s="18" t="s">
        <v>238</v>
      </c>
      <c r="E596" s="19">
        <f>VLOOKUP(C:C,Courts!B:C,2,FALSE)</f>
        <v>2</v>
      </c>
      <c r="F596" s="19">
        <f>VLOOKUP(C:C,Courts!B:E,4,FALSE)</f>
        <v>1</v>
      </c>
      <c r="G596" s="19">
        <f>VLOOKUP(C:C,Courts!B:D,3,FALSE)</f>
        <v>1</v>
      </c>
      <c r="H596" s="19">
        <f>VLOOKUP(C:C,Courts!B:F,5,FALSE)</f>
        <v>4</v>
      </c>
      <c r="I596" s="18" t="s">
        <v>7</v>
      </c>
      <c r="J596" s="19">
        <f>VLOOKUP(C:C,TooliD!B:H,7,FALSE)</f>
        <v>4</v>
      </c>
      <c r="K596" s="19">
        <f>VLOOKUP(C:C,TooliD!B:G,6,FALSE)</f>
        <v>3</v>
      </c>
      <c r="L596" s="19">
        <f>K596-J596</f>
        <v>-1</v>
      </c>
      <c r="M596" s="19" t="str">
        <f>IF(L596=0,"OK", IF(L596&gt;0,"Surplus","Shortfall"))</f>
        <v>Shortfall</v>
      </c>
      <c r="N596" s="18"/>
    </row>
    <row r="597" spans="1:14" x14ac:dyDescent="0.25">
      <c r="A597" s="18" t="s">
        <v>158</v>
      </c>
      <c r="B597" s="18" t="s">
        <v>125</v>
      </c>
      <c r="C597" s="18" t="s">
        <v>126</v>
      </c>
      <c r="D597" s="18" t="s">
        <v>238</v>
      </c>
      <c r="E597" s="19">
        <f>VLOOKUP(C:C,Courts!B:C,2,FALSE)</f>
        <v>2</v>
      </c>
      <c r="F597" s="19">
        <f>VLOOKUP(C:C,Courts!B:E,4,FALSE)</f>
        <v>1</v>
      </c>
      <c r="G597" s="19">
        <f>VLOOKUP(C:C,Courts!B:D,3,FALSE)</f>
        <v>1</v>
      </c>
      <c r="H597" s="19">
        <f>VLOOKUP(C:C,Courts!B:F,5,FALSE)</f>
        <v>4</v>
      </c>
      <c r="I597" s="18" t="s">
        <v>241</v>
      </c>
      <c r="J597" s="19">
        <f>VLOOKUP(C:C,TooliD!B:K,7,FALSE)</f>
        <v>4</v>
      </c>
      <c r="K597" s="19">
        <f>VLOOKUP(C:C,TooliD!B:J,9,FALSE)</f>
        <v>3</v>
      </c>
      <c r="L597" s="19">
        <f t="shared" ref="L597:L601" si="115">K597-J597</f>
        <v>-1</v>
      </c>
      <c r="M597" s="19" t="str">
        <f t="shared" si="105"/>
        <v>Shortfall</v>
      </c>
      <c r="N597" s="18"/>
    </row>
    <row r="598" spans="1:14" x14ac:dyDescent="0.25">
      <c r="A598" s="18" t="s">
        <v>158</v>
      </c>
      <c r="B598" s="18" t="s">
        <v>125</v>
      </c>
      <c r="C598" s="18" t="s">
        <v>126</v>
      </c>
      <c r="D598" s="18" t="s">
        <v>238</v>
      </c>
      <c r="E598" s="19">
        <f>VLOOKUP(C:C,Courts!B:C,2,FALSE)</f>
        <v>2</v>
      </c>
      <c r="F598" s="19">
        <f>VLOOKUP(C:C,Courts!B:E,4,FALSE)</f>
        <v>1</v>
      </c>
      <c r="G598" s="19">
        <f>VLOOKUP(C:C,Courts!B:D,3,FALSE)</f>
        <v>1</v>
      </c>
      <c r="H598" s="19">
        <f>VLOOKUP(C:C,Courts!B:F,5,FALSE)</f>
        <v>4</v>
      </c>
      <c r="I598" s="18" t="s">
        <v>9</v>
      </c>
      <c r="J598" s="19">
        <f>VLOOKUP(C:C,TooliD!B:N,13,FALSE)</f>
        <v>4</v>
      </c>
      <c r="K598" s="18">
        <f>VLOOKUP(C:C,TooliD!B:M,12,FALSE)</f>
        <v>4</v>
      </c>
      <c r="L598" s="19">
        <f t="shared" si="115"/>
        <v>0</v>
      </c>
      <c r="M598" s="19" t="str">
        <f t="shared" si="105"/>
        <v>OK</v>
      </c>
      <c r="N598" s="18"/>
    </row>
    <row r="599" spans="1:14" x14ac:dyDescent="0.25">
      <c r="A599" s="18" t="s">
        <v>158</v>
      </c>
      <c r="B599" s="18" t="s">
        <v>125</v>
      </c>
      <c r="C599" s="18" t="s">
        <v>126</v>
      </c>
      <c r="D599" s="18" t="s">
        <v>238</v>
      </c>
      <c r="E599" s="19">
        <f>VLOOKUP(C:C,Courts!B:C,2,FALSE)</f>
        <v>2</v>
      </c>
      <c r="F599" s="19">
        <f>VLOOKUP(C:C,Courts!B:E,4,FALSE)</f>
        <v>1</v>
      </c>
      <c r="G599" s="19">
        <f>VLOOKUP(C:C,Courts!B:D,3,FALSE)</f>
        <v>1</v>
      </c>
      <c r="H599" s="19">
        <f>VLOOKUP(C:C,Courts!B:F,5,FALSE)</f>
        <v>4</v>
      </c>
      <c r="I599" s="18" t="s">
        <v>239</v>
      </c>
      <c r="J599" s="19">
        <f>VLOOKUP(C:C,TooliD!B:Q,16,FALSE)</f>
        <v>6</v>
      </c>
      <c r="K599" s="18">
        <f>VLOOKUP(C:C,TooliD!B:P,15,FALSE)</f>
        <v>9</v>
      </c>
      <c r="L599" s="19">
        <f t="shared" si="115"/>
        <v>3</v>
      </c>
      <c r="M599" s="19" t="str">
        <f t="shared" si="105"/>
        <v>Surplus</v>
      </c>
      <c r="N599" s="18"/>
    </row>
    <row r="600" spans="1:14" x14ac:dyDescent="0.25">
      <c r="A600" s="18" t="s">
        <v>158</v>
      </c>
      <c r="B600" s="18" t="s">
        <v>125</v>
      </c>
      <c r="C600" s="18" t="s">
        <v>126</v>
      </c>
      <c r="D600" s="18" t="s">
        <v>238</v>
      </c>
      <c r="E600" s="19">
        <f>VLOOKUP(C:C,Courts!B:C,2,FALSE)</f>
        <v>2</v>
      </c>
      <c r="F600" s="19">
        <f>VLOOKUP(C:C,Courts!B:E,4,FALSE)</f>
        <v>1</v>
      </c>
      <c r="G600" s="19">
        <f>VLOOKUP(C:C,Courts!B:D,3,FALSE)</f>
        <v>1</v>
      </c>
      <c r="H600" s="19">
        <f>VLOOKUP(C:C,Courts!B:F,5,FALSE)</f>
        <v>4</v>
      </c>
      <c r="I600" s="18" t="s">
        <v>11</v>
      </c>
      <c r="J600" s="19">
        <f>VLOOKUP(C:C,TooliD!B:T,19,FALSE)</f>
        <v>28</v>
      </c>
      <c r="K600" s="18">
        <f>VLOOKUP(C:C,TooliD!B:S,18,FALSE)</f>
        <v>26</v>
      </c>
      <c r="L600" s="19">
        <f t="shared" si="115"/>
        <v>-2</v>
      </c>
      <c r="M600" s="19" t="str">
        <f t="shared" si="105"/>
        <v>Shortfall</v>
      </c>
      <c r="N600" s="18"/>
    </row>
    <row r="601" spans="1:14" x14ac:dyDescent="0.25">
      <c r="A601" s="18" t="s">
        <v>158</v>
      </c>
      <c r="B601" s="18" t="s">
        <v>125</v>
      </c>
      <c r="C601" s="18" t="s">
        <v>126</v>
      </c>
      <c r="D601" s="18" t="s">
        <v>238</v>
      </c>
      <c r="E601" s="19">
        <f>VLOOKUP(C:C,Courts!B:C,2,FALSE)</f>
        <v>2</v>
      </c>
      <c r="F601" s="19">
        <f>VLOOKUP(C:C,Courts!B:E,4,FALSE)</f>
        <v>1</v>
      </c>
      <c r="G601" s="19">
        <f>VLOOKUP(C:C,Courts!B:D,3,FALSE)</f>
        <v>1</v>
      </c>
      <c r="H601" s="19">
        <f>VLOOKUP(C:C,Courts!B:F,5,FALSE)</f>
        <v>4</v>
      </c>
      <c r="I601" s="18" t="s">
        <v>212</v>
      </c>
      <c r="J601" s="19">
        <f>VLOOKUP(C:C,TooliD!B:W,22,FALSE)</f>
        <v>4</v>
      </c>
      <c r="K601" s="18">
        <f>VLOOKUP(C:C,TooliD!B:V,21,FALSE)</f>
        <v>4</v>
      </c>
      <c r="L601" s="19">
        <f t="shared" si="115"/>
        <v>0</v>
      </c>
      <c r="M601" s="19" t="str">
        <f t="shared" ref="M601" si="116">IF(L601=0,"OK", IF(L601&gt;0,"Surplus","Shortfall"))</f>
        <v>OK</v>
      </c>
      <c r="N601" s="18"/>
    </row>
    <row r="602" spans="1:14" x14ac:dyDescent="0.25">
      <c r="A602" s="18" t="s">
        <v>158</v>
      </c>
      <c r="B602" s="18" t="s">
        <v>125</v>
      </c>
      <c r="C602" s="18" t="s">
        <v>127</v>
      </c>
      <c r="D602" s="18" t="s">
        <v>238</v>
      </c>
      <c r="E602" s="19">
        <f>VLOOKUP(C:C,Courts!B:C,2,FALSE)</f>
        <v>2</v>
      </c>
      <c r="F602" s="19">
        <f>VLOOKUP(C:C,Courts!B:E,4,FALSE)</f>
        <v>1</v>
      </c>
      <c r="G602" s="19">
        <f>VLOOKUP(C:C,Courts!B:D,3,FALSE)</f>
        <v>0</v>
      </c>
      <c r="H602" s="19">
        <f>VLOOKUP(C:C,Courts!B:F,5,FALSE)</f>
        <v>3</v>
      </c>
      <c r="I602" s="18" t="s">
        <v>7</v>
      </c>
      <c r="J602" s="19">
        <f>VLOOKUP(C:C,TooliD!B:H,7,FALSE)</f>
        <v>3</v>
      </c>
      <c r="K602" s="19">
        <f>VLOOKUP(C:C,TooliD!B:G,6,FALSE)</f>
        <v>3</v>
      </c>
      <c r="L602" s="19">
        <f>K602-J602</f>
        <v>0</v>
      </c>
      <c r="M602" s="19" t="str">
        <f>IF(L602=0,"OK", IF(L602&gt;0,"Surplus","Shortfall"))</f>
        <v>OK</v>
      </c>
      <c r="N602" s="18"/>
    </row>
    <row r="603" spans="1:14" x14ac:dyDescent="0.25">
      <c r="A603" s="18" t="s">
        <v>158</v>
      </c>
      <c r="B603" s="18" t="s">
        <v>125</v>
      </c>
      <c r="C603" s="18" t="s">
        <v>127</v>
      </c>
      <c r="D603" s="18" t="s">
        <v>238</v>
      </c>
      <c r="E603" s="19">
        <f>VLOOKUP(C:C,Courts!B:C,2,FALSE)</f>
        <v>2</v>
      </c>
      <c r="F603" s="19">
        <f>VLOOKUP(C:C,Courts!B:E,4,FALSE)</f>
        <v>1</v>
      </c>
      <c r="G603" s="19">
        <f>VLOOKUP(C:C,Courts!B:D,3,FALSE)</f>
        <v>0</v>
      </c>
      <c r="H603" s="19">
        <f>VLOOKUP(C:C,Courts!B:F,5,FALSE)</f>
        <v>3</v>
      </c>
      <c r="I603" s="18" t="s">
        <v>241</v>
      </c>
      <c r="J603" s="19">
        <f>VLOOKUP(C:C,TooliD!B:K,7,FALSE)</f>
        <v>3</v>
      </c>
      <c r="K603" s="19">
        <f>VLOOKUP(C:C,TooliD!B:J,9,FALSE)</f>
        <v>2</v>
      </c>
      <c r="L603" s="19">
        <f t="shared" ref="L603:L607" si="117">K603-J603</f>
        <v>-1</v>
      </c>
      <c r="M603" s="19" t="str">
        <f t="shared" ref="M603:M666" si="118">IF(L603=0,"OK", IF(L603&gt;0,"Surplus","Shortfall"))</f>
        <v>Shortfall</v>
      </c>
      <c r="N603" s="18"/>
    </row>
    <row r="604" spans="1:14" x14ac:dyDescent="0.25">
      <c r="A604" s="18" t="s">
        <v>158</v>
      </c>
      <c r="B604" s="18" t="s">
        <v>125</v>
      </c>
      <c r="C604" s="18" t="s">
        <v>127</v>
      </c>
      <c r="D604" s="18" t="s">
        <v>238</v>
      </c>
      <c r="E604" s="19">
        <f>VLOOKUP(C:C,Courts!B:C,2,FALSE)</f>
        <v>2</v>
      </c>
      <c r="F604" s="19">
        <f>VLOOKUP(C:C,Courts!B:E,4,FALSE)</f>
        <v>1</v>
      </c>
      <c r="G604" s="19">
        <f>VLOOKUP(C:C,Courts!B:D,3,FALSE)</f>
        <v>0</v>
      </c>
      <c r="H604" s="19">
        <f>VLOOKUP(C:C,Courts!B:F,5,FALSE)</f>
        <v>3</v>
      </c>
      <c r="I604" s="18" t="s">
        <v>9</v>
      </c>
      <c r="J604" s="19">
        <f>VLOOKUP(C:C,TooliD!B:N,13,FALSE)</f>
        <v>3</v>
      </c>
      <c r="K604" s="18">
        <f>VLOOKUP(C:C,TooliD!B:M,12,FALSE)</f>
        <v>3</v>
      </c>
      <c r="L604" s="19">
        <f t="shared" si="117"/>
        <v>0</v>
      </c>
      <c r="M604" s="19" t="str">
        <f t="shared" si="118"/>
        <v>OK</v>
      </c>
      <c r="N604" s="18"/>
    </row>
    <row r="605" spans="1:14" x14ac:dyDescent="0.25">
      <c r="A605" s="18" t="s">
        <v>158</v>
      </c>
      <c r="B605" s="18" t="s">
        <v>125</v>
      </c>
      <c r="C605" s="18" t="s">
        <v>127</v>
      </c>
      <c r="D605" s="18" t="s">
        <v>238</v>
      </c>
      <c r="E605" s="19">
        <f>VLOOKUP(C:C,Courts!B:C,2,FALSE)</f>
        <v>2</v>
      </c>
      <c r="F605" s="19">
        <f>VLOOKUP(C:C,Courts!B:E,4,FALSE)</f>
        <v>1</v>
      </c>
      <c r="G605" s="19">
        <f>VLOOKUP(C:C,Courts!B:D,3,FALSE)</f>
        <v>0</v>
      </c>
      <c r="H605" s="19">
        <f>VLOOKUP(C:C,Courts!B:F,5,FALSE)</f>
        <v>3</v>
      </c>
      <c r="I605" s="18" t="s">
        <v>239</v>
      </c>
      <c r="J605" s="19">
        <f>VLOOKUP(C:C,TooliD!B:Q,16,FALSE)</f>
        <v>4</v>
      </c>
      <c r="K605" s="18">
        <f>VLOOKUP(C:C,TooliD!B:P,15,FALSE)</f>
        <v>5</v>
      </c>
      <c r="L605" s="19">
        <f t="shared" si="117"/>
        <v>1</v>
      </c>
      <c r="M605" s="19" t="str">
        <f t="shared" si="118"/>
        <v>Surplus</v>
      </c>
      <c r="N605" s="18"/>
    </row>
    <row r="606" spans="1:14" x14ac:dyDescent="0.25">
      <c r="A606" s="18" t="s">
        <v>158</v>
      </c>
      <c r="B606" s="18" t="s">
        <v>125</v>
      </c>
      <c r="C606" s="18" t="s">
        <v>127</v>
      </c>
      <c r="D606" s="18" t="s">
        <v>238</v>
      </c>
      <c r="E606" s="19">
        <f>VLOOKUP(C:C,Courts!B:C,2,FALSE)</f>
        <v>2</v>
      </c>
      <c r="F606" s="19">
        <f>VLOOKUP(C:C,Courts!B:E,4,FALSE)</f>
        <v>1</v>
      </c>
      <c r="G606" s="19">
        <f>VLOOKUP(C:C,Courts!B:D,3,FALSE)</f>
        <v>0</v>
      </c>
      <c r="H606" s="19">
        <f>VLOOKUP(C:C,Courts!B:F,5,FALSE)</f>
        <v>3</v>
      </c>
      <c r="I606" s="18" t="s">
        <v>11</v>
      </c>
      <c r="J606" s="19">
        <f>VLOOKUP(C:C,TooliD!B:T,19,FALSE)</f>
        <v>20</v>
      </c>
      <c r="K606" s="18">
        <f>VLOOKUP(C:C,TooliD!B:S,18,FALSE)</f>
        <v>20</v>
      </c>
      <c r="L606" s="19">
        <f t="shared" si="117"/>
        <v>0</v>
      </c>
      <c r="M606" s="19" t="str">
        <f t="shared" si="118"/>
        <v>OK</v>
      </c>
      <c r="N606" s="18"/>
    </row>
    <row r="607" spans="1:14" x14ac:dyDescent="0.25">
      <c r="A607" s="18" t="s">
        <v>158</v>
      </c>
      <c r="B607" s="18" t="s">
        <v>125</v>
      </c>
      <c r="C607" s="18" t="s">
        <v>127</v>
      </c>
      <c r="D607" s="18" t="s">
        <v>238</v>
      </c>
      <c r="E607" s="19">
        <f>VLOOKUP(C:C,Courts!B:C,2,FALSE)</f>
        <v>2</v>
      </c>
      <c r="F607" s="19">
        <f>VLOOKUP(C:C,Courts!B:E,4,FALSE)</f>
        <v>1</v>
      </c>
      <c r="G607" s="19">
        <f>VLOOKUP(C:C,Courts!B:D,3,FALSE)</f>
        <v>0</v>
      </c>
      <c r="H607" s="19">
        <f>VLOOKUP(C:C,Courts!B:F,5,FALSE)</f>
        <v>3</v>
      </c>
      <c r="I607" s="18" t="s">
        <v>212</v>
      </c>
      <c r="J607" s="19">
        <f>VLOOKUP(C:C,TooliD!B:W,22,FALSE)</f>
        <v>3</v>
      </c>
      <c r="K607" s="18">
        <f>VLOOKUP(C:C,TooliD!B:V,21,FALSE)</f>
        <v>3</v>
      </c>
      <c r="L607" s="19">
        <f t="shared" si="117"/>
        <v>0</v>
      </c>
      <c r="M607" s="19" t="str">
        <f t="shared" si="118"/>
        <v>OK</v>
      </c>
      <c r="N607" s="18"/>
    </row>
    <row r="608" spans="1:14" x14ac:dyDescent="0.25">
      <c r="A608" s="18" t="s">
        <v>158</v>
      </c>
      <c r="B608" s="18" t="s">
        <v>125</v>
      </c>
      <c r="C608" s="18" t="s">
        <v>128</v>
      </c>
      <c r="D608" s="18" t="s">
        <v>242</v>
      </c>
      <c r="E608" s="19">
        <f>VLOOKUP(C:C,Courts!B:C,2,FALSE)</f>
        <v>0</v>
      </c>
      <c r="F608" s="19">
        <f>VLOOKUP(C:C,Courts!B:E,4,FALSE)</f>
        <v>1</v>
      </c>
      <c r="G608" s="19">
        <f>VLOOKUP(C:C,Courts!B:D,3,FALSE)</f>
        <v>0</v>
      </c>
      <c r="H608" s="19">
        <f>VLOOKUP(C:C,Courts!B:F,5,FALSE)</f>
        <v>1</v>
      </c>
      <c r="I608" s="18" t="s">
        <v>7</v>
      </c>
      <c r="J608" s="19">
        <f>VLOOKUP(C:C,TooliD!B:H,7,FALSE)</f>
        <v>1</v>
      </c>
      <c r="K608" s="19">
        <f>VLOOKUP(C:C,TooliD!B:G,6,FALSE)</f>
        <v>1</v>
      </c>
      <c r="L608" s="19">
        <f>K608-J608</f>
        <v>0</v>
      </c>
      <c r="M608" s="19" t="str">
        <f>IF(L608=0,"OK", IF(L608&gt;0,"Surplus","Shortfall"))</f>
        <v>OK</v>
      </c>
      <c r="N608" s="18"/>
    </row>
    <row r="609" spans="1:14" x14ac:dyDescent="0.25">
      <c r="A609" s="18" t="s">
        <v>158</v>
      </c>
      <c r="B609" s="18" t="s">
        <v>125</v>
      </c>
      <c r="C609" s="18" t="s">
        <v>128</v>
      </c>
      <c r="D609" s="18" t="s">
        <v>242</v>
      </c>
      <c r="E609" s="19">
        <f>VLOOKUP(C:C,Courts!B:C,2,FALSE)</f>
        <v>0</v>
      </c>
      <c r="F609" s="19">
        <f>VLOOKUP(C:C,Courts!B:E,4,FALSE)</f>
        <v>1</v>
      </c>
      <c r="G609" s="19">
        <f>VLOOKUP(C:C,Courts!B:D,3,FALSE)</f>
        <v>0</v>
      </c>
      <c r="H609" s="19">
        <f>VLOOKUP(C:C,Courts!B:F,5,FALSE)</f>
        <v>1</v>
      </c>
      <c r="I609" s="18" t="s">
        <v>241</v>
      </c>
      <c r="J609" s="19">
        <f>VLOOKUP(C:C,TooliD!B:K,7,FALSE)</f>
        <v>1</v>
      </c>
      <c r="K609" s="19">
        <f>VLOOKUP(C:C,TooliD!B:J,9,FALSE)</f>
        <v>1</v>
      </c>
      <c r="L609" s="19">
        <f t="shared" ref="L609:L613" si="119">K609-J609</f>
        <v>0</v>
      </c>
      <c r="M609" s="19" t="str">
        <f t="shared" si="118"/>
        <v>OK</v>
      </c>
      <c r="N609" s="18"/>
    </row>
    <row r="610" spans="1:14" x14ac:dyDescent="0.25">
      <c r="A610" s="18" t="s">
        <v>158</v>
      </c>
      <c r="B610" s="18" t="s">
        <v>125</v>
      </c>
      <c r="C610" s="18" t="s">
        <v>128</v>
      </c>
      <c r="D610" s="18" t="s">
        <v>242</v>
      </c>
      <c r="E610" s="19">
        <f>VLOOKUP(C:C,Courts!B:C,2,FALSE)</f>
        <v>0</v>
      </c>
      <c r="F610" s="19">
        <f>VLOOKUP(C:C,Courts!B:E,4,FALSE)</f>
        <v>1</v>
      </c>
      <c r="G610" s="19">
        <f>VLOOKUP(C:C,Courts!B:D,3,FALSE)</f>
        <v>0</v>
      </c>
      <c r="H610" s="19">
        <f>VLOOKUP(C:C,Courts!B:F,5,FALSE)</f>
        <v>1</v>
      </c>
      <c r="I610" s="18" t="s">
        <v>9</v>
      </c>
      <c r="J610" s="19">
        <f>VLOOKUP(C:C,TooliD!B:N,13,FALSE)</f>
        <v>1</v>
      </c>
      <c r="K610" s="18">
        <f>VLOOKUP(C:C,TooliD!B:M,12,FALSE)</f>
        <v>1</v>
      </c>
      <c r="L610" s="19">
        <f t="shared" si="119"/>
        <v>0</v>
      </c>
      <c r="M610" s="19" t="str">
        <f t="shared" si="118"/>
        <v>OK</v>
      </c>
      <c r="N610" s="18"/>
    </row>
    <row r="611" spans="1:14" x14ac:dyDescent="0.25">
      <c r="A611" s="18" t="s">
        <v>158</v>
      </c>
      <c r="B611" s="18" t="s">
        <v>125</v>
      </c>
      <c r="C611" s="18" t="s">
        <v>128</v>
      </c>
      <c r="D611" s="18" t="s">
        <v>242</v>
      </c>
      <c r="E611" s="19">
        <f>VLOOKUP(C:C,Courts!B:C,2,FALSE)</f>
        <v>0</v>
      </c>
      <c r="F611" s="19">
        <f>VLOOKUP(C:C,Courts!B:E,4,FALSE)</f>
        <v>1</v>
      </c>
      <c r="G611" s="19">
        <f>VLOOKUP(C:C,Courts!B:D,3,FALSE)</f>
        <v>0</v>
      </c>
      <c r="H611" s="19">
        <f>VLOOKUP(C:C,Courts!B:F,5,FALSE)</f>
        <v>1</v>
      </c>
      <c r="I611" s="18" t="s">
        <v>239</v>
      </c>
      <c r="J611" s="19">
        <f>VLOOKUP(C:C,TooliD!B:Q,16,FALSE)</f>
        <v>0</v>
      </c>
      <c r="K611" s="18">
        <f>VLOOKUP(C:C,TooliD!B:P,15,FALSE)</f>
        <v>0</v>
      </c>
      <c r="L611" s="19">
        <f t="shared" si="119"/>
        <v>0</v>
      </c>
      <c r="M611" s="19" t="str">
        <f t="shared" si="118"/>
        <v>OK</v>
      </c>
      <c r="N611" s="18"/>
    </row>
    <row r="612" spans="1:14" x14ac:dyDescent="0.25">
      <c r="A612" s="18" t="s">
        <v>158</v>
      </c>
      <c r="B612" s="18" t="s">
        <v>125</v>
      </c>
      <c r="C612" s="18" t="s">
        <v>128</v>
      </c>
      <c r="D612" s="18" t="s">
        <v>242</v>
      </c>
      <c r="E612" s="19">
        <f>VLOOKUP(C:C,Courts!B:C,2,FALSE)</f>
        <v>0</v>
      </c>
      <c r="F612" s="19">
        <f>VLOOKUP(C:C,Courts!B:E,4,FALSE)</f>
        <v>1</v>
      </c>
      <c r="G612" s="19">
        <f>VLOOKUP(C:C,Courts!B:D,3,FALSE)</f>
        <v>0</v>
      </c>
      <c r="H612" s="19">
        <f>VLOOKUP(C:C,Courts!B:F,5,FALSE)</f>
        <v>1</v>
      </c>
      <c r="I612" s="18" t="s">
        <v>11</v>
      </c>
      <c r="J612" s="19">
        <f>VLOOKUP(C:C,TooliD!B:T,19,FALSE)</f>
        <v>4</v>
      </c>
      <c r="K612" s="18">
        <f>VLOOKUP(C:C,TooliD!B:S,18,FALSE)</f>
        <v>4</v>
      </c>
      <c r="L612" s="19">
        <f t="shared" si="119"/>
        <v>0</v>
      </c>
      <c r="M612" s="19" t="str">
        <f t="shared" si="118"/>
        <v>OK</v>
      </c>
      <c r="N612" s="18"/>
    </row>
    <row r="613" spans="1:14" x14ac:dyDescent="0.25">
      <c r="A613" s="18" t="s">
        <v>158</v>
      </c>
      <c r="B613" s="18" t="s">
        <v>125</v>
      </c>
      <c r="C613" s="18" t="s">
        <v>128</v>
      </c>
      <c r="D613" s="18" t="s">
        <v>242</v>
      </c>
      <c r="E613" s="19">
        <f>VLOOKUP(C:C,Courts!B:C,2,FALSE)</f>
        <v>0</v>
      </c>
      <c r="F613" s="19">
        <f>VLOOKUP(C:C,Courts!B:E,4,FALSE)</f>
        <v>1</v>
      </c>
      <c r="G613" s="19">
        <f>VLOOKUP(C:C,Courts!B:D,3,FALSE)</f>
        <v>0</v>
      </c>
      <c r="H613" s="19">
        <f>VLOOKUP(C:C,Courts!B:F,5,FALSE)</f>
        <v>1</v>
      </c>
      <c r="I613" s="18" t="s">
        <v>212</v>
      </c>
      <c r="J613" s="19">
        <f>VLOOKUP(C:C,TooliD!B:W,22,FALSE)</f>
        <v>1</v>
      </c>
      <c r="K613" s="18">
        <f>VLOOKUP(C:C,TooliD!B:V,21,FALSE)</f>
        <v>1</v>
      </c>
      <c r="L613" s="19">
        <f t="shared" si="119"/>
        <v>0</v>
      </c>
      <c r="M613" s="19" t="str">
        <f t="shared" si="118"/>
        <v>OK</v>
      </c>
      <c r="N613" s="18"/>
    </row>
    <row r="614" spans="1:14" x14ac:dyDescent="0.25">
      <c r="A614" s="18" t="s">
        <v>158</v>
      </c>
      <c r="B614" s="18" t="s">
        <v>129</v>
      </c>
      <c r="C614" s="18" t="s">
        <v>129</v>
      </c>
      <c r="D614" s="18" t="s">
        <v>237</v>
      </c>
      <c r="E614" s="19">
        <f>VLOOKUP(C:C,Courts!B:C,2,FALSE)</f>
        <v>12</v>
      </c>
      <c r="F614" s="19">
        <f>VLOOKUP(C:C,Courts!B:E,4,FALSE)</f>
        <v>0</v>
      </c>
      <c r="G614" s="19">
        <f>VLOOKUP(C:C,Courts!B:D,3,FALSE)</f>
        <v>3</v>
      </c>
      <c r="H614" s="19">
        <f>VLOOKUP(C:C,Courts!B:F,5,FALSE)</f>
        <v>15</v>
      </c>
      <c r="I614" s="18" t="s">
        <v>7</v>
      </c>
      <c r="J614" s="19">
        <f>VLOOKUP(C:C,TooliD!B:H,7,FALSE)</f>
        <v>15</v>
      </c>
      <c r="K614" s="19">
        <f>VLOOKUP(C:C,TooliD!B:G,6,FALSE)</f>
        <v>15</v>
      </c>
      <c r="L614" s="19">
        <f>K614-J614</f>
        <v>0</v>
      </c>
      <c r="M614" s="19" t="str">
        <f>IF(L614=0,"OK", IF(L614&gt;0,"Surplus","Shortfall"))</f>
        <v>OK</v>
      </c>
      <c r="N614" s="18"/>
    </row>
    <row r="615" spans="1:14" x14ac:dyDescent="0.25">
      <c r="A615" s="18" t="s">
        <v>158</v>
      </c>
      <c r="B615" s="18" t="s">
        <v>129</v>
      </c>
      <c r="C615" s="18" t="s">
        <v>129</v>
      </c>
      <c r="D615" s="18" t="s">
        <v>237</v>
      </c>
      <c r="E615" s="19">
        <f>VLOOKUP(C:C,Courts!B:C,2,FALSE)</f>
        <v>12</v>
      </c>
      <c r="F615" s="19">
        <f>VLOOKUP(C:C,Courts!B:E,4,FALSE)</f>
        <v>0</v>
      </c>
      <c r="G615" s="19">
        <f>VLOOKUP(C:C,Courts!B:D,3,FALSE)</f>
        <v>3</v>
      </c>
      <c r="H615" s="19">
        <f>VLOOKUP(C:C,Courts!B:F,5,FALSE)</f>
        <v>15</v>
      </c>
      <c r="I615" s="18" t="s">
        <v>241</v>
      </c>
      <c r="J615" s="19">
        <f>VLOOKUP(C:C,TooliD!B:K,7,FALSE)</f>
        <v>15</v>
      </c>
      <c r="K615" s="19">
        <f>VLOOKUP(C:C,TooliD!B:J,9,FALSE)</f>
        <v>12</v>
      </c>
      <c r="L615" s="19">
        <f t="shared" ref="L615:L619" si="120">K615-J615</f>
        <v>-3</v>
      </c>
      <c r="M615" s="19" t="str">
        <f t="shared" si="118"/>
        <v>Shortfall</v>
      </c>
      <c r="N615" s="18"/>
    </row>
    <row r="616" spans="1:14" x14ac:dyDescent="0.25">
      <c r="A616" s="18" t="s">
        <v>158</v>
      </c>
      <c r="B616" s="18" t="s">
        <v>129</v>
      </c>
      <c r="C616" s="18" t="s">
        <v>129</v>
      </c>
      <c r="D616" s="18" t="s">
        <v>237</v>
      </c>
      <c r="E616" s="19">
        <f>VLOOKUP(C:C,Courts!B:C,2,FALSE)</f>
        <v>12</v>
      </c>
      <c r="F616" s="19">
        <f>VLOOKUP(C:C,Courts!B:E,4,FALSE)</f>
        <v>0</v>
      </c>
      <c r="G616" s="19">
        <f>VLOOKUP(C:C,Courts!B:D,3,FALSE)</f>
        <v>3</v>
      </c>
      <c r="H616" s="19">
        <f>VLOOKUP(C:C,Courts!B:F,5,FALSE)</f>
        <v>15</v>
      </c>
      <c r="I616" s="18" t="s">
        <v>9</v>
      </c>
      <c r="J616" s="19">
        <f>VLOOKUP(C:C,TooliD!B:N,13,FALSE)</f>
        <v>15</v>
      </c>
      <c r="K616" s="18">
        <f>VLOOKUP(C:C,TooliD!B:M,12,FALSE)</f>
        <v>14</v>
      </c>
      <c r="L616" s="19">
        <f t="shared" si="120"/>
        <v>-1</v>
      </c>
      <c r="M616" s="19" t="str">
        <f t="shared" si="118"/>
        <v>Shortfall</v>
      </c>
      <c r="N616" s="18"/>
    </row>
    <row r="617" spans="1:14" x14ac:dyDescent="0.25">
      <c r="A617" s="18" t="s">
        <v>158</v>
      </c>
      <c r="B617" s="18" t="s">
        <v>129</v>
      </c>
      <c r="C617" s="18" t="s">
        <v>129</v>
      </c>
      <c r="D617" s="18" t="s">
        <v>237</v>
      </c>
      <c r="E617" s="19">
        <f>VLOOKUP(C:C,Courts!B:C,2,FALSE)</f>
        <v>12</v>
      </c>
      <c r="F617" s="19">
        <f>VLOOKUP(C:C,Courts!B:E,4,FALSE)</f>
        <v>0</v>
      </c>
      <c r="G617" s="19">
        <f>VLOOKUP(C:C,Courts!B:D,3,FALSE)</f>
        <v>3</v>
      </c>
      <c r="H617" s="19">
        <f>VLOOKUP(C:C,Courts!B:F,5,FALSE)</f>
        <v>15</v>
      </c>
      <c r="I617" s="18" t="s">
        <v>239</v>
      </c>
      <c r="J617" s="19">
        <f>VLOOKUP(C:C,TooliD!B:Q,16,FALSE)</f>
        <v>30</v>
      </c>
      <c r="K617" s="18">
        <f>VLOOKUP(C:C,TooliD!B:P,15,FALSE)</f>
        <v>30</v>
      </c>
      <c r="L617" s="19">
        <f t="shared" si="120"/>
        <v>0</v>
      </c>
      <c r="M617" s="19" t="str">
        <f t="shared" si="118"/>
        <v>OK</v>
      </c>
      <c r="N617" s="18"/>
    </row>
    <row r="618" spans="1:14" x14ac:dyDescent="0.25">
      <c r="A618" s="18" t="s">
        <v>158</v>
      </c>
      <c r="B618" s="18" t="s">
        <v>129</v>
      </c>
      <c r="C618" s="18" t="s">
        <v>129</v>
      </c>
      <c r="D618" s="18" t="s">
        <v>237</v>
      </c>
      <c r="E618" s="19">
        <f>VLOOKUP(C:C,Courts!B:C,2,FALSE)</f>
        <v>12</v>
      </c>
      <c r="F618" s="19">
        <f>VLOOKUP(C:C,Courts!B:E,4,FALSE)</f>
        <v>0</v>
      </c>
      <c r="G618" s="19">
        <f>VLOOKUP(C:C,Courts!B:D,3,FALSE)</f>
        <v>3</v>
      </c>
      <c r="H618" s="19">
        <f>VLOOKUP(C:C,Courts!B:F,5,FALSE)</f>
        <v>15</v>
      </c>
      <c r="I618" s="18" t="s">
        <v>11</v>
      </c>
      <c r="J618" s="19">
        <f>VLOOKUP(C:C,TooliD!B:T,19,FALSE)</f>
        <v>120</v>
      </c>
      <c r="K618" s="18">
        <f>VLOOKUP(C:C,TooliD!B:S,18,FALSE)</f>
        <v>100</v>
      </c>
      <c r="L618" s="19">
        <f t="shared" si="120"/>
        <v>-20</v>
      </c>
      <c r="M618" s="19" t="str">
        <f t="shared" si="118"/>
        <v>Shortfall</v>
      </c>
      <c r="N618" s="18"/>
    </row>
    <row r="619" spans="1:14" x14ac:dyDescent="0.25">
      <c r="A619" s="18" t="s">
        <v>158</v>
      </c>
      <c r="B619" s="18" t="s">
        <v>129</v>
      </c>
      <c r="C619" s="18" t="s">
        <v>129</v>
      </c>
      <c r="D619" s="18" t="s">
        <v>237</v>
      </c>
      <c r="E619" s="19">
        <f>VLOOKUP(C:C,Courts!B:C,2,FALSE)</f>
        <v>12</v>
      </c>
      <c r="F619" s="19">
        <f>VLOOKUP(C:C,Courts!B:E,4,FALSE)</f>
        <v>0</v>
      </c>
      <c r="G619" s="19">
        <f>VLOOKUP(C:C,Courts!B:D,3,FALSE)</f>
        <v>3</v>
      </c>
      <c r="H619" s="19">
        <f>VLOOKUP(C:C,Courts!B:F,5,FALSE)</f>
        <v>15</v>
      </c>
      <c r="I619" s="18" t="s">
        <v>212</v>
      </c>
      <c r="J619" s="19">
        <f>VLOOKUP(C:C,TooliD!B:W,22,FALSE)</f>
        <v>15</v>
      </c>
      <c r="K619" s="18">
        <f>VLOOKUP(C:C,TooliD!B:V,21,FALSE)</f>
        <v>13</v>
      </c>
      <c r="L619" s="19">
        <f t="shared" si="120"/>
        <v>-2</v>
      </c>
      <c r="M619" s="19" t="str">
        <f t="shared" si="118"/>
        <v>Shortfall</v>
      </c>
      <c r="N619" s="18"/>
    </row>
    <row r="620" spans="1:14" x14ac:dyDescent="0.25">
      <c r="A620" s="18" t="s">
        <v>158</v>
      </c>
      <c r="B620" s="18" t="s">
        <v>129</v>
      </c>
      <c r="C620" s="18" t="s">
        <v>130</v>
      </c>
      <c r="D620" s="18" t="s">
        <v>238</v>
      </c>
      <c r="E620" s="19">
        <f>VLOOKUP(C:C,Courts!B:C,2,FALSE)</f>
        <v>3</v>
      </c>
      <c r="F620" s="19">
        <f>VLOOKUP(C:C,Courts!B:E,4,FALSE)</f>
        <v>1</v>
      </c>
      <c r="G620" s="19">
        <f>VLOOKUP(C:C,Courts!B:D,3,FALSE)</f>
        <v>1</v>
      </c>
      <c r="H620" s="19">
        <f>VLOOKUP(C:C,Courts!B:F,5,FALSE)</f>
        <v>5</v>
      </c>
      <c r="I620" s="18" t="s">
        <v>7</v>
      </c>
      <c r="J620" s="19">
        <f>VLOOKUP(C:C,TooliD!B:H,7,FALSE)</f>
        <v>5</v>
      </c>
      <c r="K620" s="19">
        <f>VLOOKUP(C:C,TooliD!B:G,6,FALSE)</f>
        <v>4</v>
      </c>
      <c r="L620" s="19">
        <f>K620-J620</f>
        <v>-1</v>
      </c>
      <c r="M620" s="19" t="str">
        <f>IF(L620=0,"OK", IF(L620&gt;0,"Surplus","Shortfall"))</f>
        <v>Shortfall</v>
      </c>
      <c r="N620" s="18"/>
    </row>
    <row r="621" spans="1:14" x14ac:dyDescent="0.25">
      <c r="A621" s="18" t="s">
        <v>158</v>
      </c>
      <c r="B621" s="18" t="s">
        <v>129</v>
      </c>
      <c r="C621" s="18" t="s">
        <v>130</v>
      </c>
      <c r="D621" s="18" t="s">
        <v>238</v>
      </c>
      <c r="E621" s="19">
        <f>VLOOKUP(C:C,Courts!B:C,2,FALSE)</f>
        <v>3</v>
      </c>
      <c r="F621" s="19">
        <f>VLOOKUP(C:C,Courts!B:E,4,FALSE)</f>
        <v>1</v>
      </c>
      <c r="G621" s="19">
        <f>VLOOKUP(C:C,Courts!B:D,3,FALSE)</f>
        <v>1</v>
      </c>
      <c r="H621" s="19">
        <f>VLOOKUP(C:C,Courts!B:F,5,FALSE)</f>
        <v>5</v>
      </c>
      <c r="I621" s="18" t="s">
        <v>241</v>
      </c>
      <c r="J621" s="19">
        <f>VLOOKUP(C:C,TooliD!B:K,7,FALSE)</f>
        <v>5</v>
      </c>
      <c r="K621" s="19">
        <f>VLOOKUP(C:C,TooliD!B:J,9,FALSE)</f>
        <v>4</v>
      </c>
      <c r="L621" s="19">
        <f t="shared" ref="L621:L625" si="121">K621-J621</f>
        <v>-1</v>
      </c>
      <c r="M621" s="19" t="str">
        <f t="shared" si="118"/>
        <v>Shortfall</v>
      </c>
      <c r="N621" s="18"/>
    </row>
    <row r="622" spans="1:14" x14ac:dyDescent="0.25">
      <c r="A622" s="18" t="s">
        <v>158</v>
      </c>
      <c r="B622" s="18" t="s">
        <v>129</v>
      </c>
      <c r="C622" s="18" t="s">
        <v>130</v>
      </c>
      <c r="D622" s="18" t="s">
        <v>238</v>
      </c>
      <c r="E622" s="19">
        <f>VLOOKUP(C:C,Courts!B:C,2,FALSE)</f>
        <v>3</v>
      </c>
      <c r="F622" s="19">
        <f>VLOOKUP(C:C,Courts!B:E,4,FALSE)</f>
        <v>1</v>
      </c>
      <c r="G622" s="19">
        <f>VLOOKUP(C:C,Courts!B:D,3,FALSE)</f>
        <v>1</v>
      </c>
      <c r="H622" s="19">
        <f>VLOOKUP(C:C,Courts!B:F,5,FALSE)</f>
        <v>5</v>
      </c>
      <c r="I622" s="18" t="s">
        <v>9</v>
      </c>
      <c r="J622" s="19">
        <f>VLOOKUP(C:C,TooliD!B:N,13,FALSE)</f>
        <v>5</v>
      </c>
      <c r="K622" s="18">
        <f>VLOOKUP(C:C,TooliD!B:M,12,FALSE)</f>
        <v>4</v>
      </c>
      <c r="L622" s="19">
        <f t="shared" si="121"/>
        <v>-1</v>
      </c>
      <c r="M622" s="19" t="str">
        <f t="shared" si="118"/>
        <v>Shortfall</v>
      </c>
      <c r="N622" s="18"/>
    </row>
    <row r="623" spans="1:14" x14ac:dyDescent="0.25">
      <c r="A623" s="18" t="s">
        <v>158</v>
      </c>
      <c r="B623" s="18" t="s">
        <v>129</v>
      </c>
      <c r="C623" s="18" t="s">
        <v>130</v>
      </c>
      <c r="D623" s="18" t="s">
        <v>238</v>
      </c>
      <c r="E623" s="19">
        <f>VLOOKUP(C:C,Courts!B:C,2,FALSE)</f>
        <v>3</v>
      </c>
      <c r="F623" s="19">
        <f>VLOOKUP(C:C,Courts!B:E,4,FALSE)</f>
        <v>1</v>
      </c>
      <c r="G623" s="19">
        <f>VLOOKUP(C:C,Courts!B:D,3,FALSE)</f>
        <v>1</v>
      </c>
      <c r="H623" s="19">
        <f>VLOOKUP(C:C,Courts!B:F,5,FALSE)</f>
        <v>5</v>
      </c>
      <c r="I623" s="18" t="s">
        <v>239</v>
      </c>
      <c r="J623" s="19">
        <f>VLOOKUP(C:C,TooliD!B:Q,16,FALSE)</f>
        <v>8</v>
      </c>
      <c r="K623" s="18">
        <f>VLOOKUP(C:C,TooliD!B:P,15,FALSE)</f>
        <v>11</v>
      </c>
      <c r="L623" s="19">
        <f t="shared" si="121"/>
        <v>3</v>
      </c>
      <c r="M623" s="19" t="str">
        <f t="shared" si="118"/>
        <v>Surplus</v>
      </c>
      <c r="N623" s="18"/>
    </row>
    <row r="624" spans="1:14" x14ac:dyDescent="0.25">
      <c r="A624" s="18" t="s">
        <v>158</v>
      </c>
      <c r="B624" s="18" t="s">
        <v>129</v>
      </c>
      <c r="C624" s="18" t="s">
        <v>130</v>
      </c>
      <c r="D624" s="18" t="s">
        <v>238</v>
      </c>
      <c r="E624" s="19">
        <f>VLOOKUP(C:C,Courts!B:C,2,FALSE)</f>
        <v>3</v>
      </c>
      <c r="F624" s="19">
        <f>VLOOKUP(C:C,Courts!B:E,4,FALSE)</f>
        <v>1</v>
      </c>
      <c r="G624" s="19">
        <f>VLOOKUP(C:C,Courts!B:D,3,FALSE)</f>
        <v>1</v>
      </c>
      <c r="H624" s="19">
        <f>VLOOKUP(C:C,Courts!B:F,5,FALSE)</f>
        <v>5</v>
      </c>
      <c r="I624" s="18" t="s">
        <v>11</v>
      </c>
      <c r="J624" s="19">
        <f>VLOOKUP(C:C,TooliD!B:T,19,FALSE)</f>
        <v>36</v>
      </c>
      <c r="K624" s="18">
        <f>VLOOKUP(C:C,TooliD!B:S,18,FALSE)</f>
        <v>31</v>
      </c>
      <c r="L624" s="19">
        <f t="shared" si="121"/>
        <v>-5</v>
      </c>
      <c r="M624" s="19" t="str">
        <f t="shared" si="118"/>
        <v>Shortfall</v>
      </c>
      <c r="N624" s="18"/>
    </row>
    <row r="625" spans="1:14" x14ac:dyDescent="0.25">
      <c r="A625" s="18" t="s">
        <v>158</v>
      </c>
      <c r="B625" s="18" t="s">
        <v>129</v>
      </c>
      <c r="C625" s="18" t="s">
        <v>130</v>
      </c>
      <c r="D625" s="18" t="s">
        <v>238</v>
      </c>
      <c r="E625" s="19">
        <f>VLOOKUP(C:C,Courts!B:C,2,FALSE)</f>
        <v>3</v>
      </c>
      <c r="F625" s="19">
        <f>VLOOKUP(C:C,Courts!B:E,4,FALSE)</f>
        <v>1</v>
      </c>
      <c r="G625" s="19">
        <f>VLOOKUP(C:C,Courts!B:D,3,FALSE)</f>
        <v>1</v>
      </c>
      <c r="H625" s="19">
        <f>VLOOKUP(C:C,Courts!B:F,5,FALSE)</f>
        <v>5</v>
      </c>
      <c r="I625" s="18" t="s">
        <v>212</v>
      </c>
      <c r="J625" s="19">
        <f>VLOOKUP(C:C,TooliD!B:W,22,FALSE)</f>
        <v>5</v>
      </c>
      <c r="K625" s="18">
        <f>VLOOKUP(C:C,TooliD!B:V,21,FALSE)</f>
        <v>4</v>
      </c>
      <c r="L625" s="19">
        <f t="shared" si="121"/>
        <v>-1</v>
      </c>
      <c r="M625" s="19" t="str">
        <f t="shared" si="118"/>
        <v>Shortfall</v>
      </c>
      <c r="N625" s="18"/>
    </row>
    <row r="626" spans="1:14" x14ac:dyDescent="0.25">
      <c r="A626" s="18" t="s">
        <v>158</v>
      </c>
      <c r="B626" s="18" t="s">
        <v>129</v>
      </c>
      <c r="C626" s="18" t="s">
        <v>131</v>
      </c>
      <c r="D626" s="18" t="s">
        <v>238</v>
      </c>
      <c r="E626" s="19">
        <f>VLOOKUP(C:C,Courts!B:C,2,FALSE)</f>
        <v>2</v>
      </c>
      <c r="F626" s="19">
        <f>VLOOKUP(C:C,Courts!B:E,4,FALSE)</f>
        <v>1</v>
      </c>
      <c r="G626" s="19">
        <f>VLOOKUP(C:C,Courts!B:D,3,FALSE)</f>
        <v>1</v>
      </c>
      <c r="H626" s="19">
        <f>VLOOKUP(C:C,Courts!B:F,5,FALSE)</f>
        <v>4</v>
      </c>
      <c r="I626" s="18" t="s">
        <v>7</v>
      </c>
      <c r="J626" s="19">
        <f>VLOOKUP(C:C,TooliD!B:H,7,FALSE)</f>
        <v>4</v>
      </c>
      <c r="K626" s="19">
        <f>VLOOKUP(C:C,TooliD!B:G,6,FALSE)</f>
        <v>3</v>
      </c>
      <c r="L626" s="19">
        <f>K626-J626</f>
        <v>-1</v>
      </c>
      <c r="M626" s="19" t="str">
        <f>IF(L626=0,"OK", IF(L626&gt;0,"Surplus","Shortfall"))</f>
        <v>Shortfall</v>
      </c>
      <c r="N626" s="18"/>
    </row>
    <row r="627" spans="1:14" x14ac:dyDescent="0.25">
      <c r="A627" s="18" t="s">
        <v>158</v>
      </c>
      <c r="B627" s="18" t="s">
        <v>129</v>
      </c>
      <c r="C627" s="18" t="s">
        <v>131</v>
      </c>
      <c r="D627" s="18" t="s">
        <v>238</v>
      </c>
      <c r="E627" s="19">
        <f>VLOOKUP(C:C,Courts!B:C,2,FALSE)</f>
        <v>2</v>
      </c>
      <c r="F627" s="19">
        <f>VLOOKUP(C:C,Courts!B:E,4,FALSE)</f>
        <v>1</v>
      </c>
      <c r="G627" s="19">
        <f>VLOOKUP(C:C,Courts!B:D,3,FALSE)</f>
        <v>1</v>
      </c>
      <c r="H627" s="19">
        <f>VLOOKUP(C:C,Courts!B:F,5,FALSE)</f>
        <v>4</v>
      </c>
      <c r="I627" s="18" t="s">
        <v>241</v>
      </c>
      <c r="J627" s="19">
        <f>VLOOKUP(C:C,TooliD!B:K,7,FALSE)</f>
        <v>4</v>
      </c>
      <c r="K627" s="19">
        <f>VLOOKUP(C:C,TooliD!B:J,9,FALSE)</f>
        <v>1</v>
      </c>
      <c r="L627" s="19">
        <f t="shared" ref="L627:L631" si="122">K627-J627</f>
        <v>-3</v>
      </c>
      <c r="M627" s="19" t="str">
        <f t="shared" si="118"/>
        <v>Shortfall</v>
      </c>
      <c r="N627" s="18"/>
    </row>
    <row r="628" spans="1:14" x14ac:dyDescent="0.25">
      <c r="A628" s="18" t="s">
        <v>158</v>
      </c>
      <c r="B628" s="18" t="s">
        <v>129</v>
      </c>
      <c r="C628" s="18" t="s">
        <v>131</v>
      </c>
      <c r="D628" s="18" t="s">
        <v>238</v>
      </c>
      <c r="E628" s="19">
        <f>VLOOKUP(C:C,Courts!B:C,2,FALSE)</f>
        <v>2</v>
      </c>
      <c r="F628" s="19">
        <f>VLOOKUP(C:C,Courts!B:E,4,FALSE)</f>
        <v>1</v>
      </c>
      <c r="G628" s="19">
        <f>VLOOKUP(C:C,Courts!B:D,3,FALSE)</f>
        <v>1</v>
      </c>
      <c r="H628" s="19">
        <f>VLOOKUP(C:C,Courts!B:F,5,FALSE)</f>
        <v>4</v>
      </c>
      <c r="I628" s="18" t="s">
        <v>9</v>
      </c>
      <c r="J628" s="19">
        <f>VLOOKUP(C:C,TooliD!B:N,13,FALSE)</f>
        <v>4</v>
      </c>
      <c r="K628" s="18">
        <f>VLOOKUP(C:C,TooliD!B:M,12,FALSE)</f>
        <v>3</v>
      </c>
      <c r="L628" s="19">
        <f t="shared" si="122"/>
        <v>-1</v>
      </c>
      <c r="M628" s="19" t="str">
        <f t="shared" si="118"/>
        <v>Shortfall</v>
      </c>
      <c r="N628" s="18"/>
    </row>
    <row r="629" spans="1:14" x14ac:dyDescent="0.25">
      <c r="A629" s="18" t="s">
        <v>158</v>
      </c>
      <c r="B629" s="18" t="s">
        <v>129</v>
      </c>
      <c r="C629" s="18" t="s">
        <v>131</v>
      </c>
      <c r="D629" s="18" t="s">
        <v>238</v>
      </c>
      <c r="E629" s="19">
        <f>VLOOKUP(C:C,Courts!B:C,2,FALSE)</f>
        <v>2</v>
      </c>
      <c r="F629" s="19">
        <f>VLOOKUP(C:C,Courts!B:E,4,FALSE)</f>
        <v>1</v>
      </c>
      <c r="G629" s="19">
        <f>VLOOKUP(C:C,Courts!B:D,3,FALSE)</f>
        <v>1</v>
      </c>
      <c r="H629" s="19">
        <f>VLOOKUP(C:C,Courts!B:F,5,FALSE)</f>
        <v>4</v>
      </c>
      <c r="I629" s="18" t="s">
        <v>239</v>
      </c>
      <c r="J629" s="19">
        <f>VLOOKUP(C:C,TooliD!B:Q,16,FALSE)</f>
        <v>6</v>
      </c>
      <c r="K629" s="18">
        <f>VLOOKUP(C:C,TooliD!B:P,15,FALSE)</f>
        <v>5</v>
      </c>
      <c r="L629" s="19">
        <f t="shared" si="122"/>
        <v>-1</v>
      </c>
      <c r="M629" s="19" t="str">
        <f t="shared" si="118"/>
        <v>Shortfall</v>
      </c>
      <c r="N629" s="18"/>
    </row>
    <row r="630" spans="1:14" x14ac:dyDescent="0.25">
      <c r="A630" s="18" t="s">
        <v>158</v>
      </c>
      <c r="B630" s="18" t="s">
        <v>129</v>
      </c>
      <c r="C630" s="18" t="s">
        <v>131</v>
      </c>
      <c r="D630" s="18" t="s">
        <v>238</v>
      </c>
      <c r="E630" s="19">
        <f>VLOOKUP(C:C,Courts!B:C,2,FALSE)</f>
        <v>2</v>
      </c>
      <c r="F630" s="19">
        <f>VLOOKUP(C:C,Courts!B:E,4,FALSE)</f>
        <v>1</v>
      </c>
      <c r="G630" s="19">
        <f>VLOOKUP(C:C,Courts!B:D,3,FALSE)</f>
        <v>1</v>
      </c>
      <c r="H630" s="19">
        <f>VLOOKUP(C:C,Courts!B:F,5,FALSE)</f>
        <v>4</v>
      </c>
      <c r="I630" s="18" t="s">
        <v>11</v>
      </c>
      <c r="J630" s="19">
        <f>VLOOKUP(C:C,TooliD!B:T,19,FALSE)</f>
        <v>28</v>
      </c>
      <c r="K630" s="18">
        <f>VLOOKUP(C:C,TooliD!B:S,18,FALSE)</f>
        <v>15</v>
      </c>
      <c r="L630" s="19">
        <f t="shared" si="122"/>
        <v>-13</v>
      </c>
      <c r="M630" s="19" t="str">
        <f t="shared" si="118"/>
        <v>Shortfall</v>
      </c>
      <c r="N630" s="18"/>
    </row>
    <row r="631" spans="1:14" x14ac:dyDescent="0.25">
      <c r="A631" s="18" t="s">
        <v>158</v>
      </c>
      <c r="B631" s="18" t="s">
        <v>129</v>
      </c>
      <c r="C631" s="18" t="s">
        <v>131</v>
      </c>
      <c r="D631" s="18" t="s">
        <v>238</v>
      </c>
      <c r="E631" s="19">
        <f>VLOOKUP(C:C,Courts!B:C,2,FALSE)</f>
        <v>2</v>
      </c>
      <c r="F631" s="19">
        <f>VLOOKUP(C:C,Courts!B:E,4,FALSE)</f>
        <v>1</v>
      </c>
      <c r="G631" s="19">
        <f>VLOOKUP(C:C,Courts!B:D,3,FALSE)</f>
        <v>1</v>
      </c>
      <c r="H631" s="19">
        <f>VLOOKUP(C:C,Courts!B:F,5,FALSE)</f>
        <v>4</v>
      </c>
      <c r="I631" s="18" t="s">
        <v>212</v>
      </c>
      <c r="J631" s="19">
        <f>VLOOKUP(C:C,TooliD!B:W,22,FALSE)</f>
        <v>4</v>
      </c>
      <c r="K631" s="18">
        <f>VLOOKUP(C:C,TooliD!B:V,21,FALSE)</f>
        <v>3</v>
      </c>
      <c r="L631" s="19">
        <f t="shared" si="122"/>
        <v>-1</v>
      </c>
      <c r="M631" s="19" t="str">
        <f t="shared" si="118"/>
        <v>Shortfall</v>
      </c>
      <c r="N631" s="18"/>
    </row>
    <row r="632" spans="1:14" x14ac:dyDescent="0.25">
      <c r="A632" s="18" t="s">
        <v>158</v>
      </c>
      <c r="B632" s="18" t="s">
        <v>132</v>
      </c>
      <c r="C632" s="18" t="s">
        <v>132</v>
      </c>
      <c r="D632" s="18" t="s">
        <v>237</v>
      </c>
      <c r="E632" s="19">
        <f>VLOOKUP(C:C,Courts!B:C,2,FALSE)</f>
        <v>13</v>
      </c>
      <c r="F632" s="19">
        <f>VLOOKUP(C:C,Courts!B:E,4,FALSE)</f>
        <v>0</v>
      </c>
      <c r="G632" s="19">
        <f>VLOOKUP(C:C,Courts!B:D,3,FALSE)</f>
        <v>1</v>
      </c>
      <c r="H632" s="19">
        <f>VLOOKUP(C:C,Courts!B:F,5,FALSE)</f>
        <v>14</v>
      </c>
      <c r="I632" s="18" t="s">
        <v>7</v>
      </c>
      <c r="J632" s="19">
        <f>VLOOKUP(C:C,TooliD!B:H,7,FALSE)</f>
        <v>14</v>
      </c>
      <c r="K632" s="19">
        <f>VLOOKUP(C:C,TooliD!B:G,6,FALSE)</f>
        <v>18</v>
      </c>
      <c r="L632" s="19">
        <f>K632-J632</f>
        <v>4</v>
      </c>
      <c r="M632" s="19" t="str">
        <f>IF(L632=0,"OK", IF(L632&gt;0,"Surplus","Shortfall"))</f>
        <v>Surplus</v>
      </c>
      <c r="N632" s="18"/>
    </row>
    <row r="633" spans="1:14" x14ac:dyDescent="0.25">
      <c r="A633" s="18" t="s">
        <v>158</v>
      </c>
      <c r="B633" s="18" t="s">
        <v>132</v>
      </c>
      <c r="C633" s="18" t="s">
        <v>132</v>
      </c>
      <c r="D633" s="18" t="s">
        <v>237</v>
      </c>
      <c r="E633" s="19">
        <f>VLOOKUP(C:C,Courts!B:C,2,FALSE)</f>
        <v>13</v>
      </c>
      <c r="F633" s="19">
        <f>VLOOKUP(C:C,Courts!B:E,4,FALSE)</f>
        <v>0</v>
      </c>
      <c r="G633" s="19">
        <f>VLOOKUP(C:C,Courts!B:D,3,FALSE)</f>
        <v>1</v>
      </c>
      <c r="H633" s="19">
        <f>VLOOKUP(C:C,Courts!B:F,5,FALSE)</f>
        <v>14</v>
      </c>
      <c r="I633" s="18" t="s">
        <v>241</v>
      </c>
      <c r="J633" s="19">
        <f>VLOOKUP(C:C,TooliD!B:K,7,FALSE)</f>
        <v>14</v>
      </c>
      <c r="K633" s="19">
        <f>VLOOKUP(C:C,TooliD!B:J,9,FALSE)</f>
        <v>10</v>
      </c>
      <c r="L633" s="19">
        <f t="shared" ref="L633:L637" si="123">K633-J633</f>
        <v>-4</v>
      </c>
      <c r="M633" s="19" t="str">
        <f t="shared" si="118"/>
        <v>Shortfall</v>
      </c>
      <c r="N633" s="18"/>
    </row>
    <row r="634" spans="1:14" x14ac:dyDescent="0.25">
      <c r="A634" s="18" t="s">
        <v>158</v>
      </c>
      <c r="B634" s="18" t="s">
        <v>132</v>
      </c>
      <c r="C634" s="18" t="s">
        <v>132</v>
      </c>
      <c r="D634" s="18" t="s">
        <v>237</v>
      </c>
      <c r="E634" s="19">
        <f>VLOOKUP(C:C,Courts!B:C,2,FALSE)</f>
        <v>13</v>
      </c>
      <c r="F634" s="19">
        <f>VLOOKUP(C:C,Courts!B:E,4,FALSE)</f>
        <v>0</v>
      </c>
      <c r="G634" s="19">
        <f>VLOOKUP(C:C,Courts!B:D,3,FALSE)</f>
        <v>1</v>
      </c>
      <c r="H634" s="19">
        <f>VLOOKUP(C:C,Courts!B:F,5,FALSE)</f>
        <v>14</v>
      </c>
      <c r="I634" s="18" t="s">
        <v>9</v>
      </c>
      <c r="J634" s="19">
        <f>VLOOKUP(C:C,TooliD!B:N,13,FALSE)</f>
        <v>14</v>
      </c>
      <c r="K634" s="18">
        <f>VLOOKUP(C:C,TooliD!B:M,12,FALSE)</f>
        <v>14</v>
      </c>
      <c r="L634" s="19">
        <f t="shared" si="123"/>
        <v>0</v>
      </c>
      <c r="M634" s="19" t="str">
        <f t="shared" si="118"/>
        <v>OK</v>
      </c>
      <c r="N634" s="18"/>
    </row>
    <row r="635" spans="1:14" x14ac:dyDescent="0.25">
      <c r="A635" s="18" t="s">
        <v>158</v>
      </c>
      <c r="B635" s="18" t="s">
        <v>132</v>
      </c>
      <c r="C635" s="18" t="s">
        <v>132</v>
      </c>
      <c r="D635" s="18" t="s">
        <v>237</v>
      </c>
      <c r="E635" s="19">
        <f>VLOOKUP(C:C,Courts!B:C,2,FALSE)</f>
        <v>13</v>
      </c>
      <c r="F635" s="19">
        <f>VLOOKUP(C:C,Courts!B:E,4,FALSE)</f>
        <v>0</v>
      </c>
      <c r="G635" s="19">
        <f>VLOOKUP(C:C,Courts!B:D,3,FALSE)</f>
        <v>1</v>
      </c>
      <c r="H635" s="19">
        <f>VLOOKUP(C:C,Courts!B:F,5,FALSE)</f>
        <v>14</v>
      </c>
      <c r="I635" s="18" t="s">
        <v>239</v>
      </c>
      <c r="J635" s="19">
        <f>VLOOKUP(C:C,TooliD!B:Q,16,FALSE)</f>
        <v>28</v>
      </c>
      <c r="K635" s="18">
        <f>VLOOKUP(C:C,TooliD!B:P,15,FALSE)</f>
        <v>28</v>
      </c>
      <c r="L635" s="19">
        <f t="shared" si="123"/>
        <v>0</v>
      </c>
      <c r="M635" s="19" t="str">
        <f t="shared" si="118"/>
        <v>OK</v>
      </c>
      <c r="N635" s="18"/>
    </row>
    <row r="636" spans="1:14" x14ac:dyDescent="0.25">
      <c r="A636" s="18" t="s">
        <v>158</v>
      </c>
      <c r="B636" s="18" t="s">
        <v>132</v>
      </c>
      <c r="C636" s="18" t="s">
        <v>132</v>
      </c>
      <c r="D636" s="18" t="s">
        <v>237</v>
      </c>
      <c r="E636" s="19">
        <f>VLOOKUP(C:C,Courts!B:C,2,FALSE)</f>
        <v>13</v>
      </c>
      <c r="F636" s="19">
        <f>VLOOKUP(C:C,Courts!B:E,4,FALSE)</f>
        <v>0</v>
      </c>
      <c r="G636" s="19">
        <f>VLOOKUP(C:C,Courts!B:D,3,FALSE)</f>
        <v>1</v>
      </c>
      <c r="H636" s="19">
        <f>VLOOKUP(C:C,Courts!B:F,5,FALSE)</f>
        <v>14</v>
      </c>
      <c r="I636" s="18" t="s">
        <v>11</v>
      </c>
      <c r="J636" s="19">
        <f>VLOOKUP(C:C,TooliD!B:T,19,FALSE)</f>
        <v>112</v>
      </c>
      <c r="K636" s="18">
        <f>VLOOKUP(C:C,TooliD!B:S,18,FALSE)</f>
        <v>112</v>
      </c>
      <c r="L636" s="19">
        <f t="shared" si="123"/>
        <v>0</v>
      </c>
      <c r="M636" s="19" t="str">
        <f t="shared" si="118"/>
        <v>OK</v>
      </c>
      <c r="N636" s="18"/>
    </row>
    <row r="637" spans="1:14" x14ac:dyDescent="0.25">
      <c r="A637" s="18" t="s">
        <v>158</v>
      </c>
      <c r="B637" s="18" t="s">
        <v>132</v>
      </c>
      <c r="C637" s="18" t="s">
        <v>132</v>
      </c>
      <c r="D637" s="18" t="s">
        <v>237</v>
      </c>
      <c r="E637" s="19">
        <f>VLOOKUP(C:C,Courts!B:C,2,FALSE)</f>
        <v>13</v>
      </c>
      <c r="F637" s="19">
        <f>VLOOKUP(C:C,Courts!B:E,4,FALSE)</f>
        <v>0</v>
      </c>
      <c r="G637" s="19">
        <f>VLOOKUP(C:C,Courts!B:D,3,FALSE)</f>
        <v>1</v>
      </c>
      <c r="H637" s="19">
        <f>VLOOKUP(C:C,Courts!B:F,5,FALSE)</f>
        <v>14</v>
      </c>
      <c r="I637" s="18" t="s">
        <v>212</v>
      </c>
      <c r="J637" s="19">
        <f>VLOOKUP(C:C,TooliD!B:W,22,FALSE)</f>
        <v>14</v>
      </c>
      <c r="K637" s="18">
        <f>VLOOKUP(C:C,TooliD!B:V,21,FALSE)</f>
        <v>15</v>
      </c>
      <c r="L637" s="19">
        <f t="shared" si="123"/>
        <v>1</v>
      </c>
      <c r="M637" s="19" t="str">
        <f t="shared" si="118"/>
        <v>Surplus</v>
      </c>
      <c r="N637" s="18"/>
    </row>
    <row r="638" spans="1:14" x14ac:dyDescent="0.25">
      <c r="A638" s="18" t="s">
        <v>158</v>
      </c>
      <c r="B638" s="18" t="s">
        <v>132</v>
      </c>
      <c r="C638" s="18" t="s">
        <v>133</v>
      </c>
      <c r="D638" s="18" t="s">
        <v>238</v>
      </c>
      <c r="E638" s="19">
        <f>VLOOKUP(C:C,Courts!B:C,2,FALSE)</f>
        <v>2</v>
      </c>
      <c r="F638" s="19">
        <f>VLOOKUP(C:C,Courts!B:E,4,FALSE)</f>
        <v>1</v>
      </c>
      <c r="G638" s="19">
        <f>VLOOKUP(C:C,Courts!B:D,3,FALSE)</f>
        <v>0</v>
      </c>
      <c r="H638" s="19">
        <f>VLOOKUP(C:C,Courts!B:F,5,FALSE)</f>
        <v>3</v>
      </c>
      <c r="I638" s="18" t="s">
        <v>7</v>
      </c>
      <c r="J638" s="19">
        <f>VLOOKUP(C:C,TooliD!B:H,7,FALSE)</f>
        <v>3</v>
      </c>
      <c r="K638" s="19">
        <f>VLOOKUP(C:C,TooliD!B:G,6,FALSE)</f>
        <v>4</v>
      </c>
      <c r="L638" s="19">
        <f>K638-J638</f>
        <v>1</v>
      </c>
      <c r="M638" s="19" t="str">
        <f>IF(L638=0,"OK", IF(L638&gt;0,"Surplus","Shortfall"))</f>
        <v>Surplus</v>
      </c>
      <c r="N638" s="18"/>
    </row>
    <row r="639" spans="1:14" x14ac:dyDescent="0.25">
      <c r="A639" s="18" t="s">
        <v>158</v>
      </c>
      <c r="B639" s="18" t="s">
        <v>132</v>
      </c>
      <c r="C639" s="18" t="s">
        <v>133</v>
      </c>
      <c r="D639" s="18" t="s">
        <v>238</v>
      </c>
      <c r="E639" s="19">
        <f>VLOOKUP(C:C,Courts!B:C,2,FALSE)</f>
        <v>2</v>
      </c>
      <c r="F639" s="19">
        <f>VLOOKUP(C:C,Courts!B:E,4,FALSE)</f>
        <v>1</v>
      </c>
      <c r="G639" s="19">
        <f>VLOOKUP(C:C,Courts!B:D,3,FALSE)</f>
        <v>0</v>
      </c>
      <c r="H639" s="19">
        <f>VLOOKUP(C:C,Courts!B:F,5,FALSE)</f>
        <v>3</v>
      </c>
      <c r="I639" s="18" t="s">
        <v>241</v>
      </c>
      <c r="J639" s="19">
        <f>VLOOKUP(C:C,TooliD!B:K,7,FALSE)</f>
        <v>3</v>
      </c>
      <c r="K639" s="19">
        <f>VLOOKUP(C:C,TooliD!B:J,9,FALSE)</f>
        <v>4</v>
      </c>
      <c r="L639" s="19">
        <f t="shared" ref="L639:L643" si="124">K639-J639</f>
        <v>1</v>
      </c>
      <c r="M639" s="19" t="str">
        <f t="shared" si="118"/>
        <v>Surplus</v>
      </c>
      <c r="N639" s="18"/>
    </row>
    <row r="640" spans="1:14" x14ac:dyDescent="0.25">
      <c r="A640" s="18" t="s">
        <v>158</v>
      </c>
      <c r="B640" s="18" t="s">
        <v>132</v>
      </c>
      <c r="C640" s="18" t="s">
        <v>133</v>
      </c>
      <c r="D640" s="18" t="s">
        <v>238</v>
      </c>
      <c r="E640" s="19">
        <f>VLOOKUP(C:C,Courts!B:C,2,FALSE)</f>
        <v>2</v>
      </c>
      <c r="F640" s="19">
        <f>VLOOKUP(C:C,Courts!B:E,4,FALSE)</f>
        <v>1</v>
      </c>
      <c r="G640" s="19">
        <f>VLOOKUP(C:C,Courts!B:D,3,FALSE)</f>
        <v>0</v>
      </c>
      <c r="H640" s="19">
        <f>VLOOKUP(C:C,Courts!B:F,5,FALSE)</f>
        <v>3</v>
      </c>
      <c r="I640" s="18" t="s">
        <v>9</v>
      </c>
      <c r="J640" s="19">
        <f>VLOOKUP(C:C,TooliD!B:N,13,FALSE)</f>
        <v>3</v>
      </c>
      <c r="K640" s="18">
        <f>VLOOKUP(C:C,TooliD!B:M,12,FALSE)</f>
        <v>5</v>
      </c>
      <c r="L640" s="19">
        <f t="shared" si="124"/>
        <v>2</v>
      </c>
      <c r="M640" s="19" t="str">
        <f t="shared" si="118"/>
        <v>Surplus</v>
      </c>
      <c r="N640" s="18"/>
    </row>
    <row r="641" spans="1:14" x14ac:dyDescent="0.25">
      <c r="A641" s="18" t="s">
        <v>158</v>
      </c>
      <c r="B641" s="18" t="s">
        <v>132</v>
      </c>
      <c r="C641" s="18" t="s">
        <v>133</v>
      </c>
      <c r="D641" s="18" t="s">
        <v>238</v>
      </c>
      <c r="E641" s="19">
        <f>VLOOKUP(C:C,Courts!B:C,2,FALSE)</f>
        <v>2</v>
      </c>
      <c r="F641" s="19">
        <f>VLOOKUP(C:C,Courts!B:E,4,FALSE)</f>
        <v>1</v>
      </c>
      <c r="G641" s="19">
        <f>VLOOKUP(C:C,Courts!B:D,3,FALSE)</f>
        <v>0</v>
      </c>
      <c r="H641" s="19">
        <f>VLOOKUP(C:C,Courts!B:F,5,FALSE)</f>
        <v>3</v>
      </c>
      <c r="I641" s="18" t="s">
        <v>239</v>
      </c>
      <c r="J641" s="19">
        <f>VLOOKUP(C:C,TooliD!B:Q,16,FALSE)</f>
        <v>4</v>
      </c>
      <c r="K641" s="18">
        <f>VLOOKUP(C:C,TooliD!B:P,15,FALSE)</f>
        <v>8</v>
      </c>
      <c r="L641" s="19">
        <f t="shared" si="124"/>
        <v>4</v>
      </c>
      <c r="M641" s="19" t="str">
        <f t="shared" si="118"/>
        <v>Surplus</v>
      </c>
      <c r="N641" s="18"/>
    </row>
    <row r="642" spans="1:14" x14ac:dyDescent="0.25">
      <c r="A642" s="18" t="s">
        <v>158</v>
      </c>
      <c r="B642" s="18" t="s">
        <v>132</v>
      </c>
      <c r="C642" s="18" t="s">
        <v>133</v>
      </c>
      <c r="D642" s="18" t="s">
        <v>238</v>
      </c>
      <c r="E642" s="19">
        <f>VLOOKUP(C:C,Courts!B:C,2,FALSE)</f>
        <v>2</v>
      </c>
      <c r="F642" s="19">
        <f>VLOOKUP(C:C,Courts!B:E,4,FALSE)</f>
        <v>1</v>
      </c>
      <c r="G642" s="19">
        <f>VLOOKUP(C:C,Courts!B:D,3,FALSE)</f>
        <v>0</v>
      </c>
      <c r="H642" s="19">
        <f>VLOOKUP(C:C,Courts!B:F,5,FALSE)</f>
        <v>3</v>
      </c>
      <c r="I642" s="18" t="s">
        <v>11</v>
      </c>
      <c r="J642" s="19">
        <f>VLOOKUP(C:C,TooliD!B:T,19,FALSE)</f>
        <v>20</v>
      </c>
      <c r="K642" s="18">
        <f>VLOOKUP(C:C,TooliD!B:S,18,FALSE)</f>
        <v>35</v>
      </c>
      <c r="L642" s="19">
        <f t="shared" si="124"/>
        <v>15</v>
      </c>
      <c r="M642" s="19" t="str">
        <f t="shared" si="118"/>
        <v>Surplus</v>
      </c>
      <c r="N642" s="18"/>
    </row>
    <row r="643" spans="1:14" x14ac:dyDescent="0.25">
      <c r="A643" s="18" t="s">
        <v>158</v>
      </c>
      <c r="B643" s="18" t="s">
        <v>132</v>
      </c>
      <c r="C643" s="18" t="s">
        <v>133</v>
      </c>
      <c r="D643" s="18" t="s">
        <v>238</v>
      </c>
      <c r="E643" s="19">
        <f>VLOOKUP(C:C,Courts!B:C,2,FALSE)</f>
        <v>2</v>
      </c>
      <c r="F643" s="19">
        <f>VLOOKUP(C:C,Courts!B:E,4,FALSE)</f>
        <v>1</v>
      </c>
      <c r="G643" s="19">
        <f>VLOOKUP(C:C,Courts!B:D,3,FALSE)</f>
        <v>0</v>
      </c>
      <c r="H643" s="19">
        <f>VLOOKUP(C:C,Courts!B:F,5,FALSE)</f>
        <v>3</v>
      </c>
      <c r="I643" s="18" t="s">
        <v>212</v>
      </c>
      <c r="J643" s="19">
        <f>VLOOKUP(C:C,TooliD!B:W,22,FALSE)</f>
        <v>3</v>
      </c>
      <c r="K643" s="18">
        <f>VLOOKUP(C:C,TooliD!B:V,21,FALSE)</f>
        <v>5</v>
      </c>
      <c r="L643" s="19">
        <f t="shared" si="124"/>
        <v>2</v>
      </c>
      <c r="M643" s="19" t="str">
        <f t="shared" si="118"/>
        <v>Surplus</v>
      </c>
      <c r="N643" s="18"/>
    </row>
    <row r="644" spans="1:14" x14ac:dyDescent="0.25">
      <c r="A644" s="18" t="s">
        <v>158</v>
      </c>
      <c r="B644" s="18" t="s">
        <v>132</v>
      </c>
      <c r="C644" s="18" t="s">
        <v>134</v>
      </c>
      <c r="D644" s="18" t="s">
        <v>238</v>
      </c>
      <c r="E644" s="19">
        <f>VLOOKUP(C:C,Courts!B:C,2,FALSE)</f>
        <v>3</v>
      </c>
      <c r="F644" s="19">
        <f>VLOOKUP(C:C,Courts!B:E,4,FALSE)</f>
        <v>0</v>
      </c>
      <c r="G644" s="19">
        <f>VLOOKUP(C:C,Courts!B:D,3,FALSE)</f>
        <v>2</v>
      </c>
      <c r="H644" s="19">
        <f>VLOOKUP(C:C,Courts!B:F,5,FALSE)</f>
        <v>5</v>
      </c>
      <c r="I644" s="18" t="s">
        <v>7</v>
      </c>
      <c r="J644" s="19">
        <f>VLOOKUP(C:C,TooliD!B:H,7,FALSE)</f>
        <v>5</v>
      </c>
      <c r="K644" s="19">
        <f>VLOOKUP(C:C,TooliD!B:G,6,FALSE)</f>
        <v>2</v>
      </c>
      <c r="L644" s="19">
        <f>K644-J644</f>
        <v>-3</v>
      </c>
      <c r="M644" s="19" t="str">
        <f>IF(L644=0,"OK", IF(L644&gt;0,"Surplus","Shortfall"))</f>
        <v>Shortfall</v>
      </c>
      <c r="N644" s="18"/>
    </row>
    <row r="645" spans="1:14" x14ac:dyDescent="0.25">
      <c r="A645" s="18" t="s">
        <v>158</v>
      </c>
      <c r="B645" s="18" t="s">
        <v>132</v>
      </c>
      <c r="C645" s="18" t="s">
        <v>134</v>
      </c>
      <c r="D645" s="18" t="s">
        <v>238</v>
      </c>
      <c r="E645" s="19">
        <f>VLOOKUP(C:C,Courts!B:C,2,FALSE)</f>
        <v>3</v>
      </c>
      <c r="F645" s="19">
        <f>VLOOKUP(C:C,Courts!B:E,4,FALSE)</f>
        <v>0</v>
      </c>
      <c r="G645" s="19">
        <f>VLOOKUP(C:C,Courts!B:D,3,FALSE)</f>
        <v>2</v>
      </c>
      <c r="H645" s="19">
        <f>VLOOKUP(C:C,Courts!B:F,5,FALSE)</f>
        <v>5</v>
      </c>
      <c r="I645" s="18" t="s">
        <v>241</v>
      </c>
      <c r="J645" s="19">
        <f>VLOOKUP(C:C,TooliD!B:K,7,FALSE)</f>
        <v>5</v>
      </c>
      <c r="K645" s="19">
        <f>VLOOKUP(C:C,TooliD!B:J,9,FALSE)</f>
        <v>1</v>
      </c>
      <c r="L645" s="19">
        <f t="shared" ref="L645:L649" si="125">K645-J645</f>
        <v>-4</v>
      </c>
      <c r="M645" s="19" t="str">
        <f t="shared" si="118"/>
        <v>Shortfall</v>
      </c>
      <c r="N645" s="18"/>
    </row>
    <row r="646" spans="1:14" x14ac:dyDescent="0.25">
      <c r="A646" s="18" t="s">
        <v>158</v>
      </c>
      <c r="B646" s="18" t="s">
        <v>132</v>
      </c>
      <c r="C646" s="18" t="s">
        <v>134</v>
      </c>
      <c r="D646" s="18" t="s">
        <v>238</v>
      </c>
      <c r="E646" s="19">
        <f>VLOOKUP(C:C,Courts!B:C,2,FALSE)</f>
        <v>3</v>
      </c>
      <c r="F646" s="19">
        <f>VLOOKUP(C:C,Courts!B:E,4,FALSE)</f>
        <v>0</v>
      </c>
      <c r="G646" s="19">
        <f>VLOOKUP(C:C,Courts!B:D,3,FALSE)</f>
        <v>2</v>
      </c>
      <c r="H646" s="19">
        <f>VLOOKUP(C:C,Courts!B:F,5,FALSE)</f>
        <v>5</v>
      </c>
      <c r="I646" s="18" t="s">
        <v>9</v>
      </c>
      <c r="J646" s="19">
        <f>VLOOKUP(C:C,TooliD!B:N,13,FALSE)</f>
        <v>5</v>
      </c>
      <c r="K646" s="18">
        <f>VLOOKUP(C:C,TooliD!B:M,12,FALSE)</f>
        <v>2</v>
      </c>
      <c r="L646" s="19">
        <f t="shared" si="125"/>
        <v>-3</v>
      </c>
      <c r="M646" s="19" t="str">
        <f t="shared" si="118"/>
        <v>Shortfall</v>
      </c>
      <c r="N646" s="18"/>
    </row>
    <row r="647" spans="1:14" x14ac:dyDescent="0.25">
      <c r="A647" s="18" t="s">
        <v>158</v>
      </c>
      <c r="B647" s="18" t="s">
        <v>132</v>
      </c>
      <c r="C647" s="18" t="s">
        <v>134</v>
      </c>
      <c r="D647" s="18" t="s">
        <v>238</v>
      </c>
      <c r="E647" s="19">
        <f>VLOOKUP(C:C,Courts!B:C,2,FALSE)</f>
        <v>3</v>
      </c>
      <c r="F647" s="19">
        <f>VLOOKUP(C:C,Courts!B:E,4,FALSE)</f>
        <v>0</v>
      </c>
      <c r="G647" s="19">
        <f>VLOOKUP(C:C,Courts!B:D,3,FALSE)</f>
        <v>2</v>
      </c>
      <c r="H647" s="19">
        <f>VLOOKUP(C:C,Courts!B:F,5,FALSE)</f>
        <v>5</v>
      </c>
      <c r="I647" s="18" t="s">
        <v>239</v>
      </c>
      <c r="J647" s="19">
        <f>VLOOKUP(C:C,TooliD!B:Q,16,FALSE)</f>
        <v>10</v>
      </c>
      <c r="K647" s="18">
        <f>VLOOKUP(C:C,TooliD!B:P,15,FALSE)</f>
        <v>4</v>
      </c>
      <c r="L647" s="19">
        <f t="shared" si="125"/>
        <v>-6</v>
      </c>
      <c r="M647" s="19" t="str">
        <f t="shared" si="118"/>
        <v>Shortfall</v>
      </c>
      <c r="N647" s="18"/>
    </row>
    <row r="648" spans="1:14" x14ac:dyDescent="0.25">
      <c r="A648" s="18" t="s">
        <v>158</v>
      </c>
      <c r="B648" s="18" t="s">
        <v>132</v>
      </c>
      <c r="C648" s="18" t="s">
        <v>134</v>
      </c>
      <c r="D648" s="18" t="s">
        <v>238</v>
      </c>
      <c r="E648" s="19">
        <f>VLOOKUP(C:C,Courts!B:C,2,FALSE)</f>
        <v>3</v>
      </c>
      <c r="F648" s="19">
        <f>VLOOKUP(C:C,Courts!B:E,4,FALSE)</f>
        <v>0</v>
      </c>
      <c r="G648" s="19">
        <f>VLOOKUP(C:C,Courts!B:D,3,FALSE)</f>
        <v>2</v>
      </c>
      <c r="H648" s="19">
        <f>VLOOKUP(C:C,Courts!B:F,5,FALSE)</f>
        <v>5</v>
      </c>
      <c r="I648" s="18" t="s">
        <v>11</v>
      </c>
      <c r="J648" s="19">
        <f>VLOOKUP(C:C,TooliD!B:T,19,FALSE)</f>
        <v>40</v>
      </c>
      <c r="K648" s="18">
        <f>VLOOKUP(C:C,TooliD!B:S,18,FALSE)</f>
        <v>8</v>
      </c>
      <c r="L648" s="19">
        <f t="shared" si="125"/>
        <v>-32</v>
      </c>
      <c r="M648" s="19" t="str">
        <f t="shared" si="118"/>
        <v>Shortfall</v>
      </c>
      <c r="N648" s="18"/>
    </row>
    <row r="649" spans="1:14" x14ac:dyDescent="0.25">
      <c r="A649" s="18" t="s">
        <v>158</v>
      </c>
      <c r="B649" s="18" t="s">
        <v>132</v>
      </c>
      <c r="C649" s="18" t="s">
        <v>134</v>
      </c>
      <c r="D649" s="18" t="s">
        <v>238</v>
      </c>
      <c r="E649" s="19">
        <f>VLOOKUP(C:C,Courts!B:C,2,FALSE)</f>
        <v>3</v>
      </c>
      <c r="F649" s="19">
        <f>VLOOKUP(C:C,Courts!B:E,4,FALSE)</f>
        <v>0</v>
      </c>
      <c r="G649" s="19">
        <f>VLOOKUP(C:C,Courts!B:D,3,FALSE)</f>
        <v>2</v>
      </c>
      <c r="H649" s="19">
        <f>VLOOKUP(C:C,Courts!B:F,5,FALSE)</f>
        <v>5</v>
      </c>
      <c r="I649" s="18" t="s">
        <v>212</v>
      </c>
      <c r="J649" s="19">
        <f>VLOOKUP(C:C,TooliD!B:W,22,FALSE)</f>
        <v>5</v>
      </c>
      <c r="K649" s="18">
        <f>VLOOKUP(C:C,TooliD!B:V,21,FALSE)</f>
        <v>1</v>
      </c>
      <c r="L649" s="19">
        <f t="shared" si="125"/>
        <v>-4</v>
      </c>
      <c r="M649" s="19" t="str">
        <f t="shared" si="118"/>
        <v>Shortfall</v>
      </c>
      <c r="N649" s="18"/>
    </row>
    <row r="650" spans="1:14" x14ac:dyDescent="0.25">
      <c r="A650" s="18" t="s">
        <v>158</v>
      </c>
      <c r="B650" s="18" t="s">
        <v>135</v>
      </c>
      <c r="C650" s="18" t="s">
        <v>135</v>
      </c>
      <c r="D650" s="18" t="s">
        <v>237</v>
      </c>
      <c r="E650" s="19">
        <f>VLOOKUP(C:C,Courts!B:C,2,FALSE)</f>
        <v>13</v>
      </c>
      <c r="F650" s="19">
        <f>VLOOKUP(C:C,Courts!B:E,4,FALSE)</f>
        <v>0</v>
      </c>
      <c r="G650" s="19">
        <f>VLOOKUP(C:C,Courts!B:D,3,FALSE)</f>
        <v>4</v>
      </c>
      <c r="H650" s="19">
        <f>VLOOKUP(C:C,Courts!B:F,5,FALSE)</f>
        <v>17</v>
      </c>
      <c r="I650" s="18" t="s">
        <v>7</v>
      </c>
      <c r="J650" s="19">
        <f>VLOOKUP(C:C,TooliD!B:H,7,FALSE)</f>
        <v>17</v>
      </c>
      <c r="K650" s="19">
        <f>VLOOKUP(C:C,TooliD!B:G,6,FALSE)</f>
        <v>18</v>
      </c>
      <c r="L650" s="19">
        <f>K650-J650</f>
        <v>1</v>
      </c>
      <c r="M650" s="19" t="str">
        <f>IF(L650=0,"OK", IF(L650&gt;0,"Surplus","Shortfall"))</f>
        <v>Surplus</v>
      </c>
      <c r="N650" s="18"/>
    </row>
    <row r="651" spans="1:14" x14ac:dyDescent="0.25">
      <c r="A651" s="18" t="s">
        <v>158</v>
      </c>
      <c r="B651" s="18" t="s">
        <v>135</v>
      </c>
      <c r="C651" s="18" t="s">
        <v>135</v>
      </c>
      <c r="D651" s="18" t="s">
        <v>237</v>
      </c>
      <c r="E651" s="19">
        <f>VLOOKUP(C:C,Courts!B:C,2,FALSE)</f>
        <v>13</v>
      </c>
      <c r="F651" s="19">
        <f>VLOOKUP(C:C,Courts!B:E,4,FALSE)</f>
        <v>0</v>
      </c>
      <c r="G651" s="19">
        <f>VLOOKUP(C:C,Courts!B:D,3,FALSE)</f>
        <v>4</v>
      </c>
      <c r="H651" s="19">
        <f>VLOOKUP(C:C,Courts!B:F,5,FALSE)</f>
        <v>17</v>
      </c>
      <c r="I651" s="18" t="s">
        <v>241</v>
      </c>
      <c r="J651" s="19">
        <f>VLOOKUP(C:C,TooliD!B:K,7,FALSE)</f>
        <v>17</v>
      </c>
      <c r="K651" s="19">
        <f>VLOOKUP(C:C,TooliD!B:J,9,FALSE)</f>
        <v>15</v>
      </c>
      <c r="L651" s="19">
        <f t="shared" ref="L651:L655" si="126">K651-J651</f>
        <v>-2</v>
      </c>
      <c r="M651" s="19" t="str">
        <f t="shared" si="118"/>
        <v>Shortfall</v>
      </c>
      <c r="N651" s="18"/>
    </row>
    <row r="652" spans="1:14" x14ac:dyDescent="0.25">
      <c r="A652" s="18" t="s">
        <v>158</v>
      </c>
      <c r="B652" s="18" t="s">
        <v>135</v>
      </c>
      <c r="C652" s="18" t="s">
        <v>135</v>
      </c>
      <c r="D652" s="18" t="s">
        <v>237</v>
      </c>
      <c r="E652" s="19">
        <f>VLOOKUP(C:C,Courts!B:C,2,FALSE)</f>
        <v>13</v>
      </c>
      <c r="F652" s="19">
        <f>VLOOKUP(C:C,Courts!B:E,4,FALSE)</f>
        <v>0</v>
      </c>
      <c r="G652" s="19">
        <f>VLOOKUP(C:C,Courts!B:D,3,FALSE)</f>
        <v>4</v>
      </c>
      <c r="H652" s="19">
        <f>VLOOKUP(C:C,Courts!B:F,5,FALSE)</f>
        <v>17</v>
      </c>
      <c r="I652" s="18" t="s">
        <v>9</v>
      </c>
      <c r="J652" s="19">
        <f>VLOOKUP(C:C,TooliD!B:N,13,FALSE)</f>
        <v>17</v>
      </c>
      <c r="K652" s="18">
        <f>VLOOKUP(C:C,TooliD!B:M,12,FALSE)</f>
        <v>13</v>
      </c>
      <c r="L652" s="19">
        <f t="shared" si="126"/>
        <v>-4</v>
      </c>
      <c r="M652" s="19" t="str">
        <f t="shared" si="118"/>
        <v>Shortfall</v>
      </c>
      <c r="N652" s="18"/>
    </row>
    <row r="653" spans="1:14" x14ac:dyDescent="0.25">
      <c r="A653" s="18" t="s">
        <v>158</v>
      </c>
      <c r="B653" s="18" t="s">
        <v>135</v>
      </c>
      <c r="C653" s="18" t="s">
        <v>135</v>
      </c>
      <c r="D653" s="18" t="s">
        <v>237</v>
      </c>
      <c r="E653" s="19">
        <f>VLOOKUP(C:C,Courts!B:C,2,FALSE)</f>
        <v>13</v>
      </c>
      <c r="F653" s="19">
        <f>VLOOKUP(C:C,Courts!B:E,4,FALSE)</f>
        <v>0</v>
      </c>
      <c r="G653" s="19">
        <f>VLOOKUP(C:C,Courts!B:D,3,FALSE)</f>
        <v>4</v>
      </c>
      <c r="H653" s="19">
        <f>VLOOKUP(C:C,Courts!B:F,5,FALSE)</f>
        <v>17</v>
      </c>
      <c r="I653" s="18" t="s">
        <v>239</v>
      </c>
      <c r="J653" s="19">
        <f>VLOOKUP(C:C,TooliD!B:Q,16,FALSE)</f>
        <v>34</v>
      </c>
      <c r="K653" s="18">
        <f>VLOOKUP(C:C,TooliD!B:P,15,FALSE)</f>
        <v>31</v>
      </c>
      <c r="L653" s="19">
        <f t="shared" si="126"/>
        <v>-3</v>
      </c>
      <c r="M653" s="19" t="str">
        <f t="shared" si="118"/>
        <v>Shortfall</v>
      </c>
      <c r="N653" s="18"/>
    </row>
    <row r="654" spans="1:14" x14ac:dyDescent="0.25">
      <c r="A654" s="18" t="s">
        <v>158</v>
      </c>
      <c r="B654" s="18" t="s">
        <v>135</v>
      </c>
      <c r="C654" s="18" t="s">
        <v>135</v>
      </c>
      <c r="D654" s="18" t="s">
        <v>237</v>
      </c>
      <c r="E654" s="19">
        <f>VLOOKUP(C:C,Courts!B:C,2,FALSE)</f>
        <v>13</v>
      </c>
      <c r="F654" s="19">
        <f>VLOOKUP(C:C,Courts!B:E,4,FALSE)</f>
        <v>0</v>
      </c>
      <c r="G654" s="19">
        <f>VLOOKUP(C:C,Courts!B:D,3,FALSE)</f>
        <v>4</v>
      </c>
      <c r="H654" s="19">
        <f>VLOOKUP(C:C,Courts!B:F,5,FALSE)</f>
        <v>17</v>
      </c>
      <c r="I654" s="18" t="s">
        <v>11</v>
      </c>
      <c r="J654" s="19">
        <f>VLOOKUP(C:C,TooliD!B:T,19,FALSE)</f>
        <v>136</v>
      </c>
      <c r="K654" s="18">
        <f>VLOOKUP(C:C,TooliD!B:S,18,FALSE)</f>
        <v>132</v>
      </c>
      <c r="L654" s="19">
        <f t="shared" si="126"/>
        <v>-4</v>
      </c>
      <c r="M654" s="19" t="str">
        <f t="shared" si="118"/>
        <v>Shortfall</v>
      </c>
      <c r="N654" s="18"/>
    </row>
    <row r="655" spans="1:14" x14ac:dyDescent="0.25">
      <c r="A655" s="18" t="s">
        <v>158</v>
      </c>
      <c r="B655" s="18" t="s">
        <v>135</v>
      </c>
      <c r="C655" s="18" t="s">
        <v>135</v>
      </c>
      <c r="D655" s="18" t="s">
        <v>237</v>
      </c>
      <c r="E655" s="19">
        <f>VLOOKUP(C:C,Courts!B:C,2,FALSE)</f>
        <v>13</v>
      </c>
      <c r="F655" s="19">
        <f>VLOOKUP(C:C,Courts!B:E,4,FALSE)</f>
        <v>0</v>
      </c>
      <c r="G655" s="19">
        <f>VLOOKUP(C:C,Courts!B:D,3,FALSE)</f>
        <v>4</v>
      </c>
      <c r="H655" s="19">
        <f>VLOOKUP(C:C,Courts!B:F,5,FALSE)</f>
        <v>17</v>
      </c>
      <c r="I655" s="18" t="s">
        <v>212</v>
      </c>
      <c r="J655" s="19">
        <f>VLOOKUP(C:C,TooliD!B:W,22,FALSE)</f>
        <v>17</v>
      </c>
      <c r="K655" s="18">
        <f>VLOOKUP(C:C,TooliD!B:V,21,FALSE)</f>
        <v>14</v>
      </c>
      <c r="L655" s="19">
        <f t="shared" si="126"/>
        <v>-3</v>
      </c>
      <c r="M655" s="19" t="str">
        <f t="shared" si="118"/>
        <v>Shortfall</v>
      </c>
      <c r="N655" s="18"/>
    </row>
    <row r="656" spans="1:14" x14ac:dyDescent="0.25">
      <c r="A656" s="18" t="s">
        <v>158</v>
      </c>
      <c r="B656" s="18" t="s">
        <v>135</v>
      </c>
      <c r="C656" s="18" t="s">
        <v>136</v>
      </c>
      <c r="D656" s="18" t="s">
        <v>238</v>
      </c>
      <c r="E656" s="19">
        <f>VLOOKUP(C:C,Courts!B:C,2,FALSE)</f>
        <v>2</v>
      </c>
      <c r="F656" s="19">
        <f>VLOOKUP(C:C,Courts!B:E,4,FALSE)</f>
        <v>1</v>
      </c>
      <c r="G656" s="19">
        <f>VLOOKUP(C:C,Courts!B:D,3,FALSE)</f>
        <v>1</v>
      </c>
      <c r="H656" s="19">
        <f>VLOOKUP(C:C,Courts!B:F,5,FALSE)</f>
        <v>4</v>
      </c>
      <c r="I656" s="18" t="s">
        <v>7</v>
      </c>
      <c r="J656" s="19">
        <f>VLOOKUP(C:C,TooliD!B:H,7,FALSE)</f>
        <v>4</v>
      </c>
      <c r="K656" s="19">
        <f>VLOOKUP(C:C,TooliD!B:G,6,FALSE)</f>
        <v>5</v>
      </c>
      <c r="L656" s="19">
        <f>K656-J656</f>
        <v>1</v>
      </c>
      <c r="M656" s="19" t="str">
        <f>IF(L656=0,"OK", IF(L656&gt;0,"Surplus","Shortfall"))</f>
        <v>Surplus</v>
      </c>
      <c r="N656" s="18"/>
    </row>
    <row r="657" spans="1:14" x14ac:dyDescent="0.25">
      <c r="A657" s="18" t="s">
        <v>158</v>
      </c>
      <c r="B657" s="18" t="s">
        <v>135</v>
      </c>
      <c r="C657" s="18" t="s">
        <v>136</v>
      </c>
      <c r="D657" s="18" t="s">
        <v>238</v>
      </c>
      <c r="E657" s="19">
        <f>VLOOKUP(C:C,Courts!B:C,2,FALSE)</f>
        <v>2</v>
      </c>
      <c r="F657" s="19">
        <f>VLOOKUP(C:C,Courts!B:E,4,FALSE)</f>
        <v>1</v>
      </c>
      <c r="G657" s="19">
        <f>VLOOKUP(C:C,Courts!B:D,3,FALSE)</f>
        <v>1</v>
      </c>
      <c r="H657" s="19">
        <f>VLOOKUP(C:C,Courts!B:F,5,FALSE)</f>
        <v>4</v>
      </c>
      <c r="I657" s="18" t="s">
        <v>241</v>
      </c>
      <c r="J657" s="19">
        <f>VLOOKUP(C:C,TooliD!B:K,7,FALSE)</f>
        <v>4</v>
      </c>
      <c r="K657" s="19">
        <f>VLOOKUP(C:C,TooliD!B:J,9,FALSE)</f>
        <v>4</v>
      </c>
      <c r="L657" s="19">
        <f t="shared" ref="L657:L661" si="127">K657-J657</f>
        <v>0</v>
      </c>
      <c r="M657" s="19" t="str">
        <f t="shared" si="118"/>
        <v>OK</v>
      </c>
      <c r="N657" s="18"/>
    </row>
    <row r="658" spans="1:14" x14ac:dyDescent="0.25">
      <c r="A658" s="18" t="s">
        <v>158</v>
      </c>
      <c r="B658" s="18" t="s">
        <v>135</v>
      </c>
      <c r="C658" s="18" t="s">
        <v>136</v>
      </c>
      <c r="D658" s="18" t="s">
        <v>238</v>
      </c>
      <c r="E658" s="19">
        <f>VLOOKUP(C:C,Courts!B:C,2,FALSE)</f>
        <v>2</v>
      </c>
      <c r="F658" s="19">
        <f>VLOOKUP(C:C,Courts!B:E,4,FALSE)</f>
        <v>1</v>
      </c>
      <c r="G658" s="19">
        <f>VLOOKUP(C:C,Courts!B:D,3,FALSE)</f>
        <v>1</v>
      </c>
      <c r="H658" s="19">
        <f>VLOOKUP(C:C,Courts!B:F,5,FALSE)</f>
        <v>4</v>
      </c>
      <c r="I658" s="18" t="s">
        <v>9</v>
      </c>
      <c r="J658" s="19">
        <f>VLOOKUP(C:C,TooliD!B:N,13,FALSE)</f>
        <v>4</v>
      </c>
      <c r="K658" s="18">
        <f>VLOOKUP(C:C,TooliD!B:M,12,FALSE)</f>
        <v>4</v>
      </c>
      <c r="L658" s="19">
        <f t="shared" si="127"/>
        <v>0</v>
      </c>
      <c r="M658" s="19" t="str">
        <f t="shared" si="118"/>
        <v>OK</v>
      </c>
      <c r="N658" s="18"/>
    </row>
    <row r="659" spans="1:14" x14ac:dyDescent="0.25">
      <c r="A659" s="18" t="s">
        <v>158</v>
      </c>
      <c r="B659" s="18" t="s">
        <v>135</v>
      </c>
      <c r="C659" s="18" t="s">
        <v>136</v>
      </c>
      <c r="D659" s="18" t="s">
        <v>238</v>
      </c>
      <c r="E659" s="19">
        <f>VLOOKUP(C:C,Courts!B:C,2,FALSE)</f>
        <v>2</v>
      </c>
      <c r="F659" s="19">
        <f>VLOOKUP(C:C,Courts!B:E,4,FALSE)</f>
        <v>1</v>
      </c>
      <c r="G659" s="19">
        <f>VLOOKUP(C:C,Courts!B:D,3,FALSE)</f>
        <v>1</v>
      </c>
      <c r="H659" s="19">
        <f>VLOOKUP(C:C,Courts!B:F,5,FALSE)</f>
        <v>4</v>
      </c>
      <c r="I659" s="18" t="s">
        <v>239</v>
      </c>
      <c r="J659" s="19">
        <f>VLOOKUP(C:C,TooliD!B:Q,16,FALSE)</f>
        <v>6</v>
      </c>
      <c r="K659" s="18">
        <f>VLOOKUP(C:C,TooliD!B:P,15,FALSE)</f>
        <v>9</v>
      </c>
      <c r="L659" s="19">
        <f t="shared" si="127"/>
        <v>3</v>
      </c>
      <c r="M659" s="19" t="str">
        <f t="shared" si="118"/>
        <v>Surplus</v>
      </c>
      <c r="N659" s="18"/>
    </row>
    <row r="660" spans="1:14" x14ac:dyDescent="0.25">
      <c r="A660" s="18" t="s">
        <v>158</v>
      </c>
      <c r="B660" s="18" t="s">
        <v>135</v>
      </c>
      <c r="C660" s="18" t="s">
        <v>136</v>
      </c>
      <c r="D660" s="18" t="s">
        <v>238</v>
      </c>
      <c r="E660" s="19">
        <f>VLOOKUP(C:C,Courts!B:C,2,FALSE)</f>
        <v>2</v>
      </c>
      <c r="F660" s="19">
        <f>VLOOKUP(C:C,Courts!B:E,4,FALSE)</f>
        <v>1</v>
      </c>
      <c r="G660" s="19">
        <f>VLOOKUP(C:C,Courts!B:D,3,FALSE)</f>
        <v>1</v>
      </c>
      <c r="H660" s="19">
        <f>VLOOKUP(C:C,Courts!B:F,5,FALSE)</f>
        <v>4</v>
      </c>
      <c r="I660" s="18" t="s">
        <v>11</v>
      </c>
      <c r="J660" s="19">
        <f>VLOOKUP(C:C,TooliD!B:T,19,FALSE)</f>
        <v>28</v>
      </c>
      <c r="K660" s="18">
        <f>VLOOKUP(C:C,TooliD!B:S,18,FALSE)</f>
        <v>36</v>
      </c>
      <c r="L660" s="19">
        <f t="shared" si="127"/>
        <v>8</v>
      </c>
      <c r="M660" s="19" t="str">
        <f t="shared" si="118"/>
        <v>Surplus</v>
      </c>
      <c r="N660" s="18"/>
    </row>
    <row r="661" spans="1:14" x14ac:dyDescent="0.25">
      <c r="A661" s="18" t="s">
        <v>158</v>
      </c>
      <c r="B661" s="18" t="s">
        <v>135</v>
      </c>
      <c r="C661" s="18" t="s">
        <v>136</v>
      </c>
      <c r="D661" s="18" t="s">
        <v>238</v>
      </c>
      <c r="E661" s="19">
        <f>VLOOKUP(C:C,Courts!B:C,2,FALSE)</f>
        <v>2</v>
      </c>
      <c r="F661" s="19">
        <f>VLOOKUP(C:C,Courts!B:E,4,FALSE)</f>
        <v>1</v>
      </c>
      <c r="G661" s="19">
        <f>VLOOKUP(C:C,Courts!B:D,3,FALSE)</f>
        <v>1</v>
      </c>
      <c r="H661" s="19">
        <f>VLOOKUP(C:C,Courts!B:F,5,FALSE)</f>
        <v>4</v>
      </c>
      <c r="I661" s="18" t="s">
        <v>212</v>
      </c>
      <c r="J661" s="19">
        <f>VLOOKUP(C:C,TooliD!B:W,22,FALSE)</f>
        <v>4</v>
      </c>
      <c r="K661" s="18">
        <f>VLOOKUP(C:C,TooliD!B:V,21,FALSE)</f>
        <v>4</v>
      </c>
      <c r="L661" s="19">
        <f t="shared" si="127"/>
        <v>0</v>
      </c>
      <c r="M661" s="19" t="str">
        <f t="shared" si="118"/>
        <v>OK</v>
      </c>
      <c r="N661" s="18"/>
    </row>
    <row r="662" spans="1:14" x14ac:dyDescent="0.25">
      <c r="A662" s="18" t="s">
        <v>158</v>
      </c>
      <c r="B662" s="18" t="s">
        <v>135</v>
      </c>
      <c r="C662" s="18" t="s">
        <v>137</v>
      </c>
      <c r="D662" s="18" t="s">
        <v>238</v>
      </c>
      <c r="E662" s="19">
        <f>VLOOKUP(C:C,Courts!B:C,2,FALSE)</f>
        <v>2</v>
      </c>
      <c r="F662" s="19">
        <f>VLOOKUP(C:C,Courts!B:E,4,FALSE)</f>
        <v>1</v>
      </c>
      <c r="G662" s="19">
        <f>VLOOKUP(C:C,Courts!B:D,3,FALSE)</f>
        <v>0</v>
      </c>
      <c r="H662" s="19">
        <f>VLOOKUP(C:C,Courts!B:F,5,FALSE)</f>
        <v>3</v>
      </c>
      <c r="I662" s="18" t="s">
        <v>7</v>
      </c>
      <c r="J662" s="19">
        <f>VLOOKUP(C:C,TooliD!B:H,7,FALSE)</f>
        <v>3</v>
      </c>
      <c r="K662" s="19">
        <f>VLOOKUP(C:C,TooliD!B:G,6,FALSE)</f>
        <v>4</v>
      </c>
      <c r="L662" s="19">
        <f>K662-J662</f>
        <v>1</v>
      </c>
      <c r="M662" s="19" t="str">
        <f>IF(L662=0,"OK", IF(L662&gt;0,"Surplus","Shortfall"))</f>
        <v>Surplus</v>
      </c>
      <c r="N662" s="18"/>
    </row>
    <row r="663" spans="1:14" x14ac:dyDescent="0.25">
      <c r="A663" s="18" t="s">
        <v>158</v>
      </c>
      <c r="B663" s="18" t="s">
        <v>135</v>
      </c>
      <c r="C663" s="18" t="s">
        <v>137</v>
      </c>
      <c r="D663" s="18" t="s">
        <v>238</v>
      </c>
      <c r="E663" s="19">
        <f>VLOOKUP(C:C,Courts!B:C,2,FALSE)</f>
        <v>2</v>
      </c>
      <c r="F663" s="19">
        <f>VLOOKUP(C:C,Courts!B:E,4,FALSE)</f>
        <v>1</v>
      </c>
      <c r="G663" s="19">
        <f>VLOOKUP(C:C,Courts!B:D,3,FALSE)</f>
        <v>0</v>
      </c>
      <c r="H663" s="19">
        <f>VLOOKUP(C:C,Courts!B:F,5,FALSE)</f>
        <v>3</v>
      </c>
      <c r="I663" s="18" t="s">
        <v>241</v>
      </c>
      <c r="J663" s="19">
        <f>VLOOKUP(C:C,TooliD!B:K,7,FALSE)</f>
        <v>3</v>
      </c>
      <c r="K663" s="19">
        <f>VLOOKUP(C:C,TooliD!B:J,9,FALSE)</f>
        <v>3</v>
      </c>
      <c r="L663" s="19">
        <f t="shared" ref="L663:L667" si="128">K663-J663</f>
        <v>0</v>
      </c>
      <c r="M663" s="19" t="str">
        <f t="shared" si="118"/>
        <v>OK</v>
      </c>
      <c r="N663" s="18"/>
    </row>
    <row r="664" spans="1:14" x14ac:dyDescent="0.25">
      <c r="A664" s="18" t="s">
        <v>158</v>
      </c>
      <c r="B664" s="18" t="s">
        <v>135</v>
      </c>
      <c r="C664" s="18" t="s">
        <v>137</v>
      </c>
      <c r="D664" s="18" t="s">
        <v>238</v>
      </c>
      <c r="E664" s="19">
        <f>VLOOKUP(C:C,Courts!B:C,2,FALSE)</f>
        <v>2</v>
      </c>
      <c r="F664" s="19">
        <f>VLOOKUP(C:C,Courts!B:E,4,FALSE)</f>
        <v>1</v>
      </c>
      <c r="G664" s="19">
        <f>VLOOKUP(C:C,Courts!B:D,3,FALSE)</f>
        <v>0</v>
      </c>
      <c r="H664" s="19">
        <f>VLOOKUP(C:C,Courts!B:F,5,FALSE)</f>
        <v>3</v>
      </c>
      <c r="I664" s="18" t="s">
        <v>9</v>
      </c>
      <c r="J664" s="19">
        <f>VLOOKUP(C:C,TooliD!B:N,13,FALSE)</f>
        <v>3</v>
      </c>
      <c r="K664" s="18">
        <f>VLOOKUP(C:C,TooliD!B:M,12,FALSE)</f>
        <v>4</v>
      </c>
      <c r="L664" s="19">
        <f t="shared" si="128"/>
        <v>1</v>
      </c>
      <c r="M664" s="19" t="str">
        <f t="shared" si="118"/>
        <v>Surplus</v>
      </c>
      <c r="N664" s="18"/>
    </row>
    <row r="665" spans="1:14" x14ac:dyDescent="0.25">
      <c r="A665" s="18" t="s">
        <v>158</v>
      </c>
      <c r="B665" s="18" t="s">
        <v>135</v>
      </c>
      <c r="C665" s="18" t="s">
        <v>137</v>
      </c>
      <c r="D665" s="18" t="s">
        <v>238</v>
      </c>
      <c r="E665" s="19">
        <f>VLOOKUP(C:C,Courts!B:C,2,FALSE)</f>
        <v>2</v>
      </c>
      <c r="F665" s="19">
        <f>VLOOKUP(C:C,Courts!B:E,4,FALSE)</f>
        <v>1</v>
      </c>
      <c r="G665" s="19">
        <f>VLOOKUP(C:C,Courts!B:D,3,FALSE)</f>
        <v>0</v>
      </c>
      <c r="H665" s="19">
        <f>VLOOKUP(C:C,Courts!B:F,5,FALSE)</f>
        <v>3</v>
      </c>
      <c r="I665" s="18" t="s">
        <v>239</v>
      </c>
      <c r="J665" s="19">
        <f>VLOOKUP(C:C,TooliD!B:Q,16,FALSE)</f>
        <v>4</v>
      </c>
      <c r="K665" s="18">
        <f>VLOOKUP(C:C,TooliD!B:P,15,FALSE)</f>
        <v>7</v>
      </c>
      <c r="L665" s="19">
        <f t="shared" si="128"/>
        <v>3</v>
      </c>
      <c r="M665" s="19" t="str">
        <f t="shared" si="118"/>
        <v>Surplus</v>
      </c>
      <c r="N665" s="18"/>
    </row>
    <row r="666" spans="1:14" x14ac:dyDescent="0.25">
      <c r="A666" s="18" t="s">
        <v>158</v>
      </c>
      <c r="B666" s="18" t="s">
        <v>135</v>
      </c>
      <c r="C666" s="18" t="s">
        <v>137</v>
      </c>
      <c r="D666" s="18" t="s">
        <v>238</v>
      </c>
      <c r="E666" s="19">
        <f>VLOOKUP(C:C,Courts!B:C,2,FALSE)</f>
        <v>2</v>
      </c>
      <c r="F666" s="19">
        <f>VLOOKUP(C:C,Courts!B:E,4,FALSE)</f>
        <v>1</v>
      </c>
      <c r="G666" s="19">
        <f>VLOOKUP(C:C,Courts!B:D,3,FALSE)</f>
        <v>0</v>
      </c>
      <c r="H666" s="19">
        <f>VLOOKUP(C:C,Courts!B:F,5,FALSE)</f>
        <v>3</v>
      </c>
      <c r="I666" s="18" t="s">
        <v>11</v>
      </c>
      <c r="J666" s="19">
        <f>VLOOKUP(C:C,TooliD!B:T,19,FALSE)</f>
        <v>20</v>
      </c>
      <c r="K666" s="18">
        <f>VLOOKUP(C:C,TooliD!B:S,18,FALSE)</f>
        <v>28</v>
      </c>
      <c r="L666" s="19">
        <f t="shared" si="128"/>
        <v>8</v>
      </c>
      <c r="M666" s="19" t="str">
        <f t="shared" si="118"/>
        <v>Surplus</v>
      </c>
      <c r="N666" s="18"/>
    </row>
    <row r="667" spans="1:14" x14ac:dyDescent="0.25">
      <c r="A667" s="18" t="s">
        <v>158</v>
      </c>
      <c r="B667" s="18" t="s">
        <v>135</v>
      </c>
      <c r="C667" s="18" t="s">
        <v>137</v>
      </c>
      <c r="D667" s="18" t="s">
        <v>238</v>
      </c>
      <c r="E667" s="19">
        <f>VLOOKUP(C:C,Courts!B:C,2,FALSE)</f>
        <v>2</v>
      </c>
      <c r="F667" s="19">
        <f>VLOOKUP(C:C,Courts!B:E,4,FALSE)</f>
        <v>1</v>
      </c>
      <c r="G667" s="19">
        <f>VLOOKUP(C:C,Courts!B:D,3,FALSE)</f>
        <v>0</v>
      </c>
      <c r="H667" s="19">
        <f>VLOOKUP(C:C,Courts!B:F,5,FALSE)</f>
        <v>3</v>
      </c>
      <c r="I667" s="18" t="s">
        <v>212</v>
      </c>
      <c r="J667" s="19">
        <f>VLOOKUP(C:C,TooliD!B:W,22,FALSE)</f>
        <v>3</v>
      </c>
      <c r="K667" s="18">
        <f>VLOOKUP(C:C,TooliD!B:V,21,FALSE)</f>
        <v>4</v>
      </c>
      <c r="L667" s="19">
        <f t="shared" si="128"/>
        <v>1</v>
      </c>
      <c r="M667" s="19" t="str">
        <f t="shared" ref="M667" si="129">IF(L667=0,"OK", IF(L667&gt;0,"Surplus","Shortfall"))</f>
        <v>Surplus</v>
      </c>
      <c r="N667" s="18"/>
    </row>
    <row r="668" spans="1:14" x14ac:dyDescent="0.25">
      <c r="A668" s="18" t="s">
        <v>158</v>
      </c>
      <c r="B668" s="18" t="s">
        <v>138</v>
      </c>
      <c r="C668" s="18" t="s">
        <v>138</v>
      </c>
      <c r="D668" s="18" t="s">
        <v>237</v>
      </c>
      <c r="E668" s="19">
        <f>VLOOKUP(C:C,Courts!B:C,2,FALSE)</f>
        <v>19</v>
      </c>
      <c r="F668" s="19">
        <f>VLOOKUP(C:C,Courts!B:E,4,FALSE)</f>
        <v>0</v>
      </c>
      <c r="G668" s="19">
        <f>VLOOKUP(C:C,Courts!B:D,3,FALSE)</f>
        <v>3</v>
      </c>
      <c r="H668" s="19">
        <f>VLOOKUP(C:C,Courts!B:F,5,FALSE)</f>
        <v>22</v>
      </c>
      <c r="I668" s="18" t="s">
        <v>7</v>
      </c>
      <c r="J668" s="19">
        <f>VLOOKUP(C:C,TooliD!B:H,7,FALSE)</f>
        <v>22</v>
      </c>
      <c r="K668" s="19">
        <f>VLOOKUP(C:C,TooliD!B:G,6,FALSE)</f>
        <v>20</v>
      </c>
      <c r="L668" s="19">
        <f>K668-J668</f>
        <v>-2</v>
      </c>
      <c r="M668" s="19" t="str">
        <f>IF(L668=0,"OK", IF(L668&gt;0,"Surplus","Shortfall"))</f>
        <v>Shortfall</v>
      </c>
      <c r="N668" s="18"/>
    </row>
    <row r="669" spans="1:14" x14ac:dyDescent="0.25">
      <c r="A669" s="18" t="s">
        <v>158</v>
      </c>
      <c r="B669" s="18" t="s">
        <v>138</v>
      </c>
      <c r="C669" s="18" t="s">
        <v>138</v>
      </c>
      <c r="D669" s="18" t="s">
        <v>237</v>
      </c>
      <c r="E669" s="19">
        <f>VLOOKUP(C:C,Courts!B:C,2,FALSE)</f>
        <v>19</v>
      </c>
      <c r="F669" s="19">
        <f>VLOOKUP(C:C,Courts!B:E,4,FALSE)</f>
        <v>0</v>
      </c>
      <c r="G669" s="19">
        <f>VLOOKUP(C:C,Courts!B:D,3,FALSE)</f>
        <v>3</v>
      </c>
      <c r="H669" s="19">
        <f>VLOOKUP(C:C,Courts!B:F,5,FALSE)</f>
        <v>22</v>
      </c>
      <c r="I669" s="18" t="s">
        <v>241</v>
      </c>
      <c r="J669" s="19">
        <f>VLOOKUP(C:C,TooliD!B:K,7,FALSE)</f>
        <v>22</v>
      </c>
      <c r="K669" s="19">
        <f>VLOOKUP(C:C,TooliD!B:J,9,FALSE)</f>
        <v>17</v>
      </c>
      <c r="L669" s="19">
        <f t="shared" ref="L669:L673" si="130">K669-J669</f>
        <v>-5</v>
      </c>
      <c r="M669" s="19" t="str">
        <f t="shared" ref="M669:M732" si="131">IF(L669=0,"OK", IF(L669&gt;0,"Surplus","Shortfall"))</f>
        <v>Shortfall</v>
      </c>
      <c r="N669" s="18"/>
    </row>
    <row r="670" spans="1:14" x14ac:dyDescent="0.25">
      <c r="A670" s="18" t="s">
        <v>158</v>
      </c>
      <c r="B670" s="18" t="s">
        <v>138</v>
      </c>
      <c r="C670" s="18" t="s">
        <v>138</v>
      </c>
      <c r="D670" s="18" t="s">
        <v>237</v>
      </c>
      <c r="E670" s="19">
        <f>VLOOKUP(C:C,Courts!B:C,2,FALSE)</f>
        <v>19</v>
      </c>
      <c r="F670" s="19">
        <f>VLOOKUP(C:C,Courts!B:E,4,FALSE)</f>
        <v>0</v>
      </c>
      <c r="G670" s="19">
        <f>VLOOKUP(C:C,Courts!B:D,3,FALSE)</f>
        <v>3</v>
      </c>
      <c r="H670" s="19">
        <f>VLOOKUP(C:C,Courts!B:F,5,FALSE)</f>
        <v>22</v>
      </c>
      <c r="I670" s="18" t="s">
        <v>9</v>
      </c>
      <c r="J670" s="19">
        <f>VLOOKUP(C:C,TooliD!B:N,13,FALSE)</f>
        <v>22</v>
      </c>
      <c r="K670" s="18">
        <f>VLOOKUP(C:C,TooliD!B:M,12,FALSE)</f>
        <v>19</v>
      </c>
      <c r="L670" s="19">
        <f t="shared" si="130"/>
        <v>-3</v>
      </c>
      <c r="M670" s="19" t="str">
        <f t="shared" si="131"/>
        <v>Shortfall</v>
      </c>
      <c r="N670" s="18"/>
    </row>
    <row r="671" spans="1:14" x14ac:dyDescent="0.25">
      <c r="A671" s="18" t="s">
        <v>158</v>
      </c>
      <c r="B671" s="18" t="s">
        <v>138</v>
      </c>
      <c r="C671" s="18" t="s">
        <v>138</v>
      </c>
      <c r="D671" s="18" t="s">
        <v>237</v>
      </c>
      <c r="E671" s="19">
        <f>VLOOKUP(C:C,Courts!B:C,2,FALSE)</f>
        <v>19</v>
      </c>
      <c r="F671" s="19">
        <f>VLOOKUP(C:C,Courts!B:E,4,FALSE)</f>
        <v>0</v>
      </c>
      <c r="G671" s="19">
        <f>VLOOKUP(C:C,Courts!B:D,3,FALSE)</f>
        <v>3</v>
      </c>
      <c r="H671" s="19">
        <f>VLOOKUP(C:C,Courts!B:F,5,FALSE)</f>
        <v>22</v>
      </c>
      <c r="I671" s="18" t="s">
        <v>239</v>
      </c>
      <c r="J671" s="19">
        <f>VLOOKUP(C:C,TooliD!B:Q,16,FALSE)</f>
        <v>44</v>
      </c>
      <c r="K671" s="18">
        <f>VLOOKUP(C:C,TooliD!B:P,15,FALSE)</f>
        <v>42</v>
      </c>
      <c r="L671" s="19">
        <f t="shared" si="130"/>
        <v>-2</v>
      </c>
      <c r="M671" s="19" t="str">
        <f t="shared" si="131"/>
        <v>Shortfall</v>
      </c>
      <c r="N671" s="18"/>
    </row>
    <row r="672" spans="1:14" x14ac:dyDescent="0.25">
      <c r="A672" s="18" t="s">
        <v>158</v>
      </c>
      <c r="B672" s="18" t="s">
        <v>138</v>
      </c>
      <c r="C672" s="18" t="s">
        <v>138</v>
      </c>
      <c r="D672" s="18" t="s">
        <v>237</v>
      </c>
      <c r="E672" s="19">
        <f>VLOOKUP(C:C,Courts!B:C,2,FALSE)</f>
        <v>19</v>
      </c>
      <c r="F672" s="19">
        <f>VLOOKUP(C:C,Courts!B:E,4,FALSE)</f>
        <v>0</v>
      </c>
      <c r="G672" s="19">
        <f>VLOOKUP(C:C,Courts!B:D,3,FALSE)</f>
        <v>3</v>
      </c>
      <c r="H672" s="19">
        <f>VLOOKUP(C:C,Courts!B:F,5,FALSE)</f>
        <v>22</v>
      </c>
      <c r="I672" s="18" t="s">
        <v>11</v>
      </c>
      <c r="J672" s="19">
        <f>VLOOKUP(C:C,TooliD!B:T,19,FALSE)</f>
        <v>176</v>
      </c>
      <c r="K672" s="18">
        <f>VLOOKUP(C:C,TooliD!B:S,18,FALSE)</f>
        <v>144</v>
      </c>
      <c r="L672" s="19">
        <f t="shared" si="130"/>
        <v>-32</v>
      </c>
      <c r="M672" s="19" t="str">
        <f t="shared" si="131"/>
        <v>Shortfall</v>
      </c>
      <c r="N672" s="18"/>
    </row>
    <row r="673" spans="1:14" x14ac:dyDescent="0.25">
      <c r="A673" s="18" t="s">
        <v>158</v>
      </c>
      <c r="B673" s="18" t="s">
        <v>138</v>
      </c>
      <c r="C673" s="18" t="s">
        <v>138</v>
      </c>
      <c r="D673" s="18" t="s">
        <v>237</v>
      </c>
      <c r="E673" s="19">
        <f>VLOOKUP(C:C,Courts!B:C,2,FALSE)</f>
        <v>19</v>
      </c>
      <c r="F673" s="19">
        <f>VLOOKUP(C:C,Courts!B:E,4,FALSE)</f>
        <v>0</v>
      </c>
      <c r="G673" s="19">
        <f>VLOOKUP(C:C,Courts!B:D,3,FALSE)</f>
        <v>3</v>
      </c>
      <c r="H673" s="19">
        <f>VLOOKUP(C:C,Courts!B:F,5,FALSE)</f>
        <v>22</v>
      </c>
      <c r="I673" s="18" t="s">
        <v>212</v>
      </c>
      <c r="J673" s="19">
        <f>VLOOKUP(C:C,TooliD!B:W,22,FALSE)</f>
        <v>22</v>
      </c>
      <c r="K673" s="18">
        <f>VLOOKUP(C:C,TooliD!B:V,21,FALSE)</f>
        <v>20</v>
      </c>
      <c r="L673" s="19">
        <f t="shared" si="130"/>
        <v>-2</v>
      </c>
      <c r="M673" s="19" t="str">
        <f t="shared" si="131"/>
        <v>Shortfall</v>
      </c>
      <c r="N673" s="18"/>
    </row>
    <row r="674" spans="1:14" x14ac:dyDescent="0.25">
      <c r="A674" s="18" t="s">
        <v>158</v>
      </c>
      <c r="B674" s="18" t="s">
        <v>138</v>
      </c>
      <c r="C674" s="18" t="s">
        <v>139</v>
      </c>
      <c r="D674" s="18" t="s">
        <v>238</v>
      </c>
      <c r="E674" s="19">
        <f>VLOOKUP(C:C,Courts!B:C,2,FALSE)</f>
        <v>3</v>
      </c>
      <c r="F674" s="19">
        <f>VLOOKUP(C:C,Courts!B:E,4,FALSE)</f>
        <v>1</v>
      </c>
      <c r="G674" s="19">
        <f>VLOOKUP(C:C,Courts!B:D,3,FALSE)</f>
        <v>1</v>
      </c>
      <c r="H674" s="19">
        <f>VLOOKUP(C:C,Courts!B:F,5,FALSE)</f>
        <v>5</v>
      </c>
      <c r="I674" s="18" t="s">
        <v>7</v>
      </c>
      <c r="J674" s="19">
        <f>VLOOKUP(C:C,TooliD!B:H,7,FALSE)</f>
        <v>5</v>
      </c>
      <c r="K674" s="19">
        <f>VLOOKUP(C:C,TooliD!B:G,6,FALSE)</f>
        <v>4</v>
      </c>
      <c r="L674" s="19">
        <f>K674-J674</f>
        <v>-1</v>
      </c>
      <c r="M674" s="19" t="str">
        <f>IF(L674=0,"OK", IF(L674&gt;0,"Surplus","Shortfall"))</f>
        <v>Shortfall</v>
      </c>
      <c r="N674" s="18"/>
    </row>
    <row r="675" spans="1:14" x14ac:dyDescent="0.25">
      <c r="A675" s="18" t="s">
        <v>158</v>
      </c>
      <c r="B675" s="18" t="s">
        <v>138</v>
      </c>
      <c r="C675" s="18" t="s">
        <v>139</v>
      </c>
      <c r="D675" s="18" t="s">
        <v>238</v>
      </c>
      <c r="E675" s="19">
        <f>VLOOKUP(C:C,Courts!B:C,2,FALSE)</f>
        <v>3</v>
      </c>
      <c r="F675" s="19">
        <f>VLOOKUP(C:C,Courts!B:E,4,FALSE)</f>
        <v>1</v>
      </c>
      <c r="G675" s="19">
        <f>VLOOKUP(C:C,Courts!B:D,3,FALSE)</f>
        <v>1</v>
      </c>
      <c r="H675" s="19">
        <f>VLOOKUP(C:C,Courts!B:F,5,FALSE)</f>
        <v>5</v>
      </c>
      <c r="I675" s="18" t="s">
        <v>241</v>
      </c>
      <c r="J675" s="19">
        <f>VLOOKUP(C:C,TooliD!B:K,7,FALSE)</f>
        <v>5</v>
      </c>
      <c r="K675" s="19">
        <f>VLOOKUP(C:C,TooliD!B:J,9,FALSE)</f>
        <v>2</v>
      </c>
      <c r="L675" s="19">
        <f t="shared" ref="L675:L679" si="132">K675-J675</f>
        <v>-3</v>
      </c>
      <c r="M675" s="19" t="str">
        <f t="shared" si="131"/>
        <v>Shortfall</v>
      </c>
      <c r="N675" s="18"/>
    </row>
    <row r="676" spans="1:14" x14ac:dyDescent="0.25">
      <c r="A676" s="18" t="s">
        <v>158</v>
      </c>
      <c r="B676" s="18" t="s">
        <v>138</v>
      </c>
      <c r="C676" s="18" t="s">
        <v>139</v>
      </c>
      <c r="D676" s="18" t="s">
        <v>238</v>
      </c>
      <c r="E676" s="19">
        <f>VLOOKUP(C:C,Courts!B:C,2,FALSE)</f>
        <v>3</v>
      </c>
      <c r="F676" s="19">
        <f>VLOOKUP(C:C,Courts!B:E,4,FALSE)</f>
        <v>1</v>
      </c>
      <c r="G676" s="19">
        <f>VLOOKUP(C:C,Courts!B:D,3,FALSE)</f>
        <v>1</v>
      </c>
      <c r="H676" s="19">
        <f>VLOOKUP(C:C,Courts!B:F,5,FALSE)</f>
        <v>5</v>
      </c>
      <c r="I676" s="18" t="s">
        <v>9</v>
      </c>
      <c r="J676" s="19">
        <f>VLOOKUP(C:C,TooliD!B:N,13,FALSE)</f>
        <v>5</v>
      </c>
      <c r="K676" s="18">
        <f>VLOOKUP(C:C,TooliD!B:M,12,FALSE)</f>
        <v>4</v>
      </c>
      <c r="L676" s="19">
        <f t="shared" si="132"/>
        <v>-1</v>
      </c>
      <c r="M676" s="19" t="str">
        <f t="shared" si="131"/>
        <v>Shortfall</v>
      </c>
      <c r="N676" s="18"/>
    </row>
    <row r="677" spans="1:14" x14ac:dyDescent="0.25">
      <c r="A677" s="18" t="s">
        <v>158</v>
      </c>
      <c r="B677" s="18" t="s">
        <v>138</v>
      </c>
      <c r="C677" s="18" t="s">
        <v>139</v>
      </c>
      <c r="D677" s="18" t="s">
        <v>238</v>
      </c>
      <c r="E677" s="19">
        <f>VLOOKUP(C:C,Courts!B:C,2,FALSE)</f>
        <v>3</v>
      </c>
      <c r="F677" s="19">
        <f>VLOOKUP(C:C,Courts!B:E,4,FALSE)</f>
        <v>1</v>
      </c>
      <c r="G677" s="19">
        <f>VLOOKUP(C:C,Courts!B:D,3,FALSE)</f>
        <v>1</v>
      </c>
      <c r="H677" s="19">
        <f>VLOOKUP(C:C,Courts!B:F,5,FALSE)</f>
        <v>5</v>
      </c>
      <c r="I677" s="18" t="s">
        <v>239</v>
      </c>
      <c r="J677" s="19">
        <f>VLOOKUP(C:C,TooliD!B:Q,16,FALSE)</f>
        <v>8</v>
      </c>
      <c r="K677" s="18">
        <f>VLOOKUP(C:C,TooliD!B:P,15,FALSE)</f>
        <v>7</v>
      </c>
      <c r="L677" s="19">
        <f t="shared" si="132"/>
        <v>-1</v>
      </c>
      <c r="M677" s="19" t="str">
        <f t="shared" si="131"/>
        <v>Shortfall</v>
      </c>
      <c r="N677" s="18"/>
    </row>
    <row r="678" spans="1:14" x14ac:dyDescent="0.25">
      <c r="A678" s="18" t="s">
        <v>158</v>
      </c>
      <c r="B678" s="18" t="s">
        <v>138</v>
      </c>
      <c r="C678" s="18" t="s">
        <v>139</v>
      </c>
      <c r="D678" s="18" t="s">
        <v>238</v>
      </c>
      <c r="E678" s="19">
        <f>VLOOKUP(C:C,Courts!B:C,2,FALSE)</f>
        <v>3</v>
      </c>
      <c r="F678" s="19">
        <f>VLOOKUP(C:C,Courts!B:E,4,FALSE)</f>
        <v>1</v>
      </c>
      <c r="G678" s="19">
        <f>VLOOKUP(C:C,Courts!B:D,3,FALSE)</f>
        <v>1</v>
      </c>
      <c r="H678" s="19">
        <f>VLOOKUP(C:C,Courts!B:F,5,FALSE)</f>
        <v>5</v>
      </c>
      <c r="I678" s="18" t="s">
        <v>11</v>
      </c>
      <c r="J678" s="19">
        <f>VLOOKUP(C:C,TooliD!B:T,19,FALSE)</f>
        <v>36</v>
      </c>
      <c r="K678" s="18">
        <f>VLOOKUP(C:C,TooliD!B:S,18,FALSE)</f>
        <v>30</v>
      </c>
      <c r="L678" s="19">
        <f t="shared" si="132"/>
        <v>-6</v>
      </c>
      <c r="M678" s="19" t="str">
        <f t="shared" si="131"/>
        <v>Shortfall</v>
      </c>
      <c r="N678" s="18"/>
    </row>
    <row r="679" spans="1:14" x14ac:dyDescent="0.25">
      <c r="A679" s="18" t="s">
        <v>158</v>
      </c>
      <c r="B679" s="18" t="s">
        <v>138</v>
      </c>
      <c r="C679" s="18" t="s">
        <v>139</v>
      </c>
      <c r="D679" s="18" t="s">
        <v>238</v>
      </c>
      <c r="E679" s="19">
        <f>VLOOKUP(C:C,Courts!B:C,2,FALSE)</f>
        <v>3</v>
      </c>
      <c r="F679" s="19">
        <f>VLOOKUP(C:C,Courts!B:E,4,FALSE)</f>
        <v>1</v>
      </c>
      <c r="G679" s="19">
        <f>VLOOKUP(C:C,Courts!B:D,3,FALSE)</f>
        <v>1</v>
      </c>
      <c r="H679" s="19">
        <f>VLOOKUP(C:C,Courts!B:F,5,FALSE)</f>
        <v>5</v>
      </c>
      <c r="I679" s="18" t="s">
        <v>212</v>
      </c>
      <c r="J679" s="19">
        <f>VLOOKUP(C:C,TooliD!B:W,22,FALSE)</f>
        <v>5</v>
      </c>
      <c r="K679" s="18">
        <f>VLOOKUP(C:C,TooliD!B:V,21,FALSE)</f>
        <v>5</v>
      </c>
      <c r="L679" s="19">
        <f t="shared" si="132"/>
        <v>0</v>
      </c>
      <c r="M679" s="19" t="str">
        <f t="shared" si="131"/>
        <v>OK</v>
      </c>
      <c r="N679" s="18"/>
    </row>
    <row r="680" spans="1:14" x14ac:dyDescent="0.25">
      <c r="A680" s="18" t="s">
        <v>158</v>
      </c>
      <c r="B680" s="18" t="s">
        <v>140</v>
      </c>
      <c r="C680" s="18" t="s">
        <v>140</v>
      </c>
      <c r="D680" s="18" t="s">
        <v>237</v>
      </c>
      <c r="E680" s="19">
        <f>VLOOKUP(C:C,Courts!B:C,2,FALSE)</f>
        <v>11</v>
      </c>
      <c r="F680" s="19">
        <f>VLOOKUP(C:C,Courts!B:E,4,FALSE)</f>
        <v>0</v>
      </c>
      <c r="G680" s="19">
        <f>VLOOKUP(C:C,Courts!B:D,3,FALSE)</f>
        <v>1</v>
      </c>
      <c r="H680" s="19">
        <f>VLOOKUP(C:C,Courts!B:F,5,FALSE)</f>
        <v>12</v>
      </c>
      <c r="I680" s="18" t="s">
        <v>7</v>
      </c>
      <c r="J680" s="19">
        <f>VLOOKUP(C:C,TooliD!B:H,7,FALSE)</f>
        <v>12</v>
      </c>
      <c r="K680" s="19">
        <f>VLOOKUP(C:C,TooliD!B:G,6,FALSE)</f>
        <v>11</v>
      </c>
      <c r="L680" s="19">
        <f>K680-J680</f>
        <v>-1</v>
      </c>
      <c r="M680" s="19" t="str">
        <f>IF(L680=0,"OK", IF(L680&gt;0,"Surplus","Shortfall"))</f>
        <v>Shortfall</v>
      </c>
      <c r="N680" s="18"/>
    </row>
    <row r="681" spans="1:14" x14ac:dyDescent="0.25">
      <c r="A681" s="18" t="s">
        <v>158</v>
      </c>
      <c r="B681" s="18" t="s">
        <v>140</v>
      </c>
      <c r="C681" s="18" t="s">
        <v>140</v>
      </c>
      <c r="D681" s="18" t="s">
        <v>237</v>
      </c>
      <c r="E681" s="19">
        <f>VLOOKUP(C:C,Courts!B:C,2,FALSE)</f>
        <v>11</v>
      </c>
      <c r="F681" s="19">
        <f>VLOOKUP(C:C,Courts!B:E,4,FALSE)</f>
        <v>0</v>
      </c>
      <c r="G681" s="19">
        <f>VLOOKUP(C:C,Courts!B:D,3,FALSE)</f>
        <v>1</v>
      </c>
      <c r="H681" s="19">
        <f>VLOOKUP(C:C,Courts!B:F,5,FALSE)</f>
        <v>12</v>
      </c>
      <c r="I681" s="18" t="s">
        <v>241</v>
      </c>
      <c r="J681" s="19">
        <f>VLOOKUP(C:C,TooliD!B:K,7,FALSE)</f>
        <v>12</v>
      </c>
      <c r="K681" s="19">
        <f>VLOOKUP(C:C,TooliD!B:J,9,FALSE)</f>
        <v>13</v>
      </c>
      <c r="L681" s="19">
        <f t="shared" ref="L681:L685" si="133">K681-J681</f>
        <v>1</v>
      </c>
      <c r="M681" s="19" t="str">
        <f t="shared" si="131"/>
        <v>Surplus</v>
      </c>
      <c r="N681" s="18"/>
    </row>
    <row r="682" spans="1:14" x14ac:dyDescent="0.25">
      <c r="A682" s="18" t="s">
        <v>158</v>
      </c>
      <c r="B682" s="18" t="s">
        <v>140</v>
      </c>
      <c r="C682" s="18" t="s">
        <v>140</v>
      </c>
      <c r="D682" s="18" t="s">
        <v>237</v>
      </c>
      <c r="E682" s="19">
        <f>VLOOKUP(C:C,Courts!B:C,2,FALSE)</f>
        <v>11</v>
      </c>
      <c r="F682" s="19">
        <f>VLOOKUP(C:C,Courts!B:E,4,FALSE)</f>
        <v>0</v>
      </c>
      <c r="G682" s="19">
        <f>VLOOKUP(C:C,Courts!B:D,3,FALSE)</f>
        <v>1</v>
      </c>
      <c r="H682" s="19">
        <f>VLOOKUP(C:C,Courts!B:F,5,FALSE)</f>
        <v>12</v>
      </c>
      <c r="I682" s="18" t="s">
        <v>9</v>
      </c>
      <c r="J682" s="19">
        <f>VLOOKUP(C:C,TooliD!B:N,13,FALSE)</f>
        <v>12</v>
      </c>
      <c r="K682" s="18">
        <f>VLOOKUP(C:C,TooliD!B:M,12,FALSE)</f>
        <v>10</v>
      </c>
      <c r="L682" s="19">
        <f t="shared" si="133"/>
        <v>-2</v>
      </c>
      <c r="M682" s="19" t="str">
        <f t="shared" si="131"/>
        <v>Shortfall</v>
      </c>
      <c r="N682" s="18"/>
    </row>
    <row r="683" spans="1:14" x14ac:dyDescent="0.25">
      <c r="A683" s="18" t="s">
        <v>158</v>
      </c>
      <c r="B683" s="18" t="s">
        <v>140</v>
      </c>
      <c r="C683" s="18" t="s">
        <v>140</v>
      </c>
      <c r="D683" s="18" t="s">
        <v>237</v>
      </c>
      <c r="E683" s="19">
        <f>VLOOKUP(C:C,Courts!B:C,2,FALSE)</f>
        <v>11</v>
      </c>
      <c r="F683" s="19">
        <f>VLOOKUP(C:C,Courts!B:E,4,FALSE)</f>
        <v>0</v>
      </c>
      <c r="G683" s="19">
        <f>VLOOKUP(C:C,Courts!B:D,3,FALSE)</f>
        <v>1</v>
      </c>
      <c r="H683" s="19">
        <f>VLOOKUP(C:C,Courts!B:F,5,FALSE)</f>
        <v>12</v>
      </c>
      <c r="I683" s="18" t="s">
        <v>239</v>
      </c>
      <c r="J683" s="19">
        <f>VLOOKUP(C:C,TooliD!B:Q,16,FALSE)</f>
        <v>24</v>
      </c>
      <c r="K683" s="18">
        <f>VLOOKUP(C:C,TooliD!B:P,15,FALSE)</f>
        <v>25</v>
      </c>
      <c r="L683" s="19">
        <f t="shared" si="133"/>
        <v>1</v>
      </c>
      <c r="M683" s="19" t="str">
        <f t="shared" si="131"/>
        <v>Surplus</v>
      </c>
      <c r="N683" s="18"/>
    </row>
    <row r="684" spans="1:14" x14ac:dyDescent="0.25">
      <c r="A684" s="18" t="s">
        <v>158</v>
      </c>
      <c r="B684" s="18" t="s">
        <v>140</v>
      </c>
      <c r="C684" s="18" t="s">
        <v>140</v>
      </c>
      <c r="D684" s="18" t="s">
        <v>237</v>
      </c>
      <c r="E684" s="19">
        <f>VLOOKUP(C:C,Courts!B:C,2,FALSE)</f>
        <v>11</v>
      </c>
      <c r="F684" s="19">
        <f>VLOOKUP(C:C,Courts!B:E,4,FALSE)</f>
        <v>0</v>
      </c>
      <c r="G684" s="19">
        <f>VLOOKUP(C:C,Courts!B:D,3,FALSE)</f>
        <v>1</v>
      </c>
      <c r="H684" s="19">
        <f>VLOOKUP(C:C,Courts!B:F,5,FALSE)</f>
        <v>12</v>
      </c>
      <c r="I684" s="18" t="s">
        <v>11</v>
      </c>
      <c r="J684" s="19">
        <f>VLOOKUP(C:C,TooliD!B:T,19,FALSE)</f>
        <v>96</v>
      </c>
      <c r="K684" s="18">
        <f>VLOOKUP(C:C,TooliD!B:S,18,FALSE)</f>
        <v>72</v>
      </c>
      <c r="L684" s="19">
        <f t="shared" si="133"/>
        <v>-24</v>
      </c>
      <c r="M684" s="19" t="str">
        <f t="shared" si="131"/>
        <v>Shortfall</v>
      </c>
      <c r="N684" s="18"/>
    </row>
    <row r="685" spans="1:14" x14ac:dyDescent="0.25">
      <c r="A685" s="18" t="s">
        <v>158</v>
      </c>
      <c r="B685" s="18" t="s">
        <v>140</v>
      </c>
      <c r="C685" s="18" t="s">
        <v>140</v>
      </c>
      <c r="D685" s="18" t="s">
        <v>237</v>
      </c>
      <c r="E685" s="19">
        <f>VLOOKUP(C:C,Courts!B:C,2,FALSE)</f>
        <v>11</v>
      </c>
      <c r="F685" s="19">
        <f>VLOOKUP(C:C,Courts!B:E,4,FALSE)</f>
        <v>0</v>
      </c>
      <c r="G685" s="19">
        <f>VLOOKUP(C:C,Courts!B:D,3,FALSE)</f>
        <v>1</v>
      </c>
      <c r="H685" s="19">
        <f>VLOOKUP(C:C,Courts!B:F,5,FALSE)</f>
        <v>12</v>
      </c>
      <c r="I685" s="18" t="s">
        <v>212</v>
      </c>
      <c r="J685" s="19">
        <f>VLOOKUP(C:C,TooliD!B:W,22,FALSE)</f>
        <v>12</v>
      </c>
      <c r="K685" s="18">
        <f>VLOOKUP(C:C,TooliD!B:V,21,FALSE)</f>
        <v>11</v>
      </c>
      <c r="L685" s="19">
        <f t="shared" si="133"/>
        <v>-1</v>
      </c>
      <c r="M685" s="19" t="str">
        <f t="shared" si="131"/>
        <v>Shortfall</v>
      </c>
      <c r="N685" s="18"/>
    </row>
    <row r="686" spans="1:14" x14ac:dyDescent="0.25">
      <c r="A686" s="18" t="s">
        <v>158</v>
      </c>
      <c r="B686" s="18" t="s">
        <v>140</v>
      </c>
      <c r="C686" s="18" t="s">
        <v>141</v>
      </c>
      <c r="D686" s="18" t="s">
        <v>238</v>
      </c>
      <c r="E686" s="19">
        <f>VLOOKUP(C:C,Courts!B:C,2,FALSE)</f>
        <v>2</v>
      </c>
      <c r="F686" s="19">
        <f>VLOOKUP(C:C,Courts!B:E,4,FALSE)</f>
        <v>0</v>
      </c>
      <c r="G686" s="19">
        <f>VLOOKUP(C:C,Courts!B:D,3,FALSE)</f>
        <v>0</v>
      </c>
      <c r="H686" s="19">
        <f>VLOOKUP(C:C,Courts!B:F,5,FALSE)</f>
        <v>2</v>
      </c>
      <c r="I686" s="18" t="s">
        <v>7</v>
      </c>
      <c r="J686" s="19">
        <f>VLOOKUP(C:C,TooliD!B:H,7,FALSE)</f>
        <v>2</v>
      </c>
      <c r="K686" s="19">
        <f>VLOOKUP(C:C,TooliD!B:G,6,FALSE)</f>
        <v>3</v>
      </c>
      <c r="L686" s="19">
        <f>K686-J686</f>
        <v>1</v>
      </c>
      <c r="M686" s="19" t="str">
        <f>IF(L686=0,"OK", IF(L686&gt;0,"Surplus","Shortfall"))</f>
        <v>Surplus</v>
      </c>
      <c r="N686" s="18"/>
    </row>
    <row r="687" spans="1:14" x14ac:dyDescent="0.25">
      <c r="A687" s="18" t="s">
        <v>158</v>
      </c>
      <c r="B687" s="18" t="s">
        <v>140</v>
      </c>
      <c r="C687" s="18" t="s">
        <v>141</v>
      </c>
      <c r="D687" s="18" t="s">
        <v>238</v>
      </c>
      <c r="E687" s="19">
        <f>VLOOKUP(C:C,Courts!B:C,2,FALSE)</f>
        <v>2</v>
      </c>
      <c r="F687" s="19">
        <f>VLOOKUP(C:C,Courts!B:E,4,FALSE)</f>
        <v>0</v>
      </c>
      <c r="G687" s="19">
        <f>VLOOKUP(C:C,Courts!B:D,3,FALSE)</f>
        <v>0</v>
      </c>
      <c r="H687" s="19">
        <f>VLOOKUP(C:C,Courts!B:F,5,FALSE)</f>
        <v>2</v>
      </c>
      <c r="I687" s="18" t="s">
        <v>241</v>
      </c>
      <c r="J687" s="19">
        <f>VLOOKUP(C:C,TooliD!B:K,7,FALSE)</f>
        <v>2</v>
      </c>
      <c r="K687" s="19">
        <f>VLOOKUP(C:C,TooliD!B:J,9,FALSE)</f>
        <v>2</v>
      </c>
      <c r="L687" s="19">
        <f t="shared" ref="L687:L691" si="134">K687-J687</f>
        <v>0</v>
      </c>
      <c r="M687" s="19" t="str">
        <f t="shared" si="131"/>
        <v>OK</v>
      </c>
      <c r="N687" s="18"/>
    </row>
    <row r="688" spans="1:14" x14ac:dyDescent="0.25">
      <c r="A688" s="18" t="s">
        <v>158</v>
      </c>
      <c r="B688" s="18" t="s">
        <v>140</v>
      </c>
      <c r="C688" s="18" t="s">
        <v>141</v>
      </c>
      <c r="D688" s="18" t="s">
        <v>238</v>
      </c>
      <c r="E688" s="19">
        <f>VLOOKUP(C:C,Courts!B:C,2,FALSE)</f>
        <v>2</v>
      </c>
      <c r="F688" s="19">
        <f>VLOOKUP(C:C,Courts!B:E,4,FALSE)</f>
        <v>0</v>
      </c>
      <c r="G688" s="19">
        <f>VLOOKUP(C:C,Courts!B:D,3,FALSE)</f>
        <v>0</v>
      </c>
      <c r="H688" s="19">
        <f>VLOOKUP(C:C,Courts!B:F,5,FALSE)</f>
        <v>2</v>
      </c>
      <c r="I688" s="18" t="s">
        <v>9</v>
      </c>
      <c r="J688" s="19">
        <f>VLOOKUP(C:C,TooliD!B:N,13,FALSE)</f>
        <v>2</v>
      </c>
      <c r="K688" s="18">
        <f>VLOOKUP(C:C,TooliD!B:M,12,FALSE)</f>
        <v>3</v>
      </c>
      <c r="L688" s="19">
        <f t="shared" si="134"/>
        <v>1</v>
      </c>
      <c r="M688" s="19" t="str">
        <f t="shared" si="131"/>
        <v>Surplus</v>
      </c>
      <c r="N688" s="18"/>
    </row>
    <row r="689" spans="1:14" x14ac:dyDescent="0.25">
      <c r="A689" s="18" t="s">
        <v>158</v>
      </c>
      <c r="B689" s="18" t="s">
        <v>140</v>
      </c>
      <c r="C689" s="18" t="s">
        <v>141</v>
      </c>
      <c r="D689" s="18" t="s">
        <v>238</v>
      </c>
      <c r="E689" s="19">
        <f>VLOOKUP(C:C,Courts!B:C,2,FALSE)</f>
        <v>2</v>
      </c>
      <c r="F689" s="19">
        <f>VLOOKUP(C:C,Courts!B:E,4,FALSE)</f>
        <v>0</v>
      </c>
      <c r="G689" s="19">
        <f>VLOOKUP(C:C,Courts!B:D,3,FALSE)</f>
        <v>0</v>
      </c>
      <c r="H689" s="19">
        <f>VLOOKUP(C:C,Courts!B:F,5,FALSE)</f>
        <v>2</v>
      </c>
      <c r="I689" s="18" t="s">
        <v>239</v>
      </c>
      <c r="J689" s="19">
        <f>VLOOKUP(C:C,TooliD!B:Q,16,FALSE)</f>
        <v>4</v>
      </c>
      <c r="K689" s="18">
        <f>VLOOKUP(C:C,TooliD!B:P,15,FALSE)</f>
        <v>7</v>
      </c>
      <c r="L689" s="19">
        <f t="shared" si="134"/>
        <v>3</v>
      </c>
      <c r="M689" s="19" t="str">
        <f t="shared" si="131"/>
        <v>Surplus</v>
      </c>
      <c r="N689" s="18"/>
    </row>
    <row r="690" spans="1:14" x14ac:dyDescent="0.25">
      <c r="A690" s="18" t="s">
        <v>158</v>
      </c>
      <c r="B690" s="18" t="s">
        <v>140</v>
      </c>
      <c r="C690" s="18" t="s">
        <v>141</v>
      </c>
      <c r="D690" s="18" t="s">
        <v>238</v>
      </c>
      <c r="E690" s="19">
        <f>VLOOKUP(C:C,Courts!B:C,2,FALSE)</f>
        <v>2</v>
      </c>
      <c r="F690" s="19">
        <f>VLOOKUP(C:C,Courts!B:E,4,FALSE)</f>
        <v>0</v>
      </c>
      <c r="G690" s="19">
        <f>VLOOKUP(C:C,Courts!B:D,3,FALSE)</f>
        <v>0</v>
      </c>
      <c r="H690" s="19">
        <f>VLOOKUP(C:C,Courts!B:F,5,FALSE)</f>
        <v>2</v>
      </c>
      <c r="I690" s="18" t="s">
        <v>11</v>
      </c>
      <c r="J690" s="19">
        <f>VLOOKUP(C:C,TooliD!B:T,19,FALSE)</f>
        <v>16</v>
      </c>
      <c r="K690" s="18">
        <f>VLOOKUP(C:C,TooliD!B:S,18,FALSE)</f>
        <v>20</v>
      </c>
      <c r="L690" s="19">
        <f t="shared" si="134"/>
        <v>4</v>
      </c>
      <c r="M690" s="19" t="str">
        <f t="shared" si="131"/>
        <v>Surplus</v>
      </c>
      <c r="N690" s="18"/>
    </row>
    <row r="691" spans="1:14" x14ac:dyDescent="0.25">
      <c r="A691" s="18" t="s">
        <v>158</v>
      </c>
      <c r="B691" s="18" t="s">
        <v>140</v>
      </c>
      <c r="C691" s="18" t="s">
        <v>141</v>
      </c>
      <c r="D691" s="18" t="s">
        <v>238</v>
      </c>
      <c r="E691" s="19">
        <f>VLOOKUP(C:C,Courts!B:C,2,FALSE)</f>
        <v>2</v>
      </c>
      <c r="F691" s="19">
        <f>VLOOKUP(C:C,Courts!B:E,4,FALSE)</f>
        <v>0</v>
      </c>
      <c r="G691" s="19">
        <f>VLOOKUP(C:C,Courts!B:D,3,FALSE)</f>
        <v>0</v>
      </c>
      <c r="H691" s="19">
        <f>VLOOKUP(C:C,Courts!B:F,5,FALSE)</f>
        <v>2</v>
      </c>
      <c r="I691" s="18" t="s">
        <v>212</v>
      </c>
      <c r="J691" s="19">
        <f>VLOOKUP(C:C,TooliD!B:W,22,FALSE)</f>
        <v>2</v>
      </c>
      <c r="K691" s="18">
        <f>VLOOKUP(C:C,TooliD!B:V,21,FALSE)</f>
        <v>2</v>
      </c>
      <c r="L691" s="19">
        <f t="shared" si="134"/>
        <v>0</v>
      </c>
      <c r="M691" s="19" t="str">
        <f t="shared" si="131"/>
        <v>OK</v>
      </c>
      <c r="N691" s="18"/>
    </row>
    <row r="692" spans="1:14" x14ac:dyDescent="0.25">
      <c r="A692" s="18" t="s">
        <v>158</v>
      </c>
      <c r="B692" s="18" t="s">
        <v>1</v>
      </c>
      <c r="C692" s="18" t="s">
        <v>1</v>
      </c>
      <c r="D692" s="18" t="s">
        <v>237</v>
      </c>
      <c r="E692" s="19">
        <f>VLOOKUP(C:C,Courts!B:C,2,FALSE)</f>
        <v>18</v>
      </c>
      <c r="F692" s="19">
        <f>VLOOKUP(C:C,Courts!B:E,4,FALSE)</f>
        <v>0</v>
      </c>
      <c r="G692" s="19">
        <f>VLOOKUP(C:C,Courts!B:D,3,FALSE)</f>
        <v>3</v>
      </c>
      <c r="H692" s="19">
        <f>VLOOKUP(C:C,Courts!B:F,5,FALSE)</f>
        <v>21</v>
      </c>
      <c r="I692" s="18" t="s">
        <v>7</v>
      </c>
      <c r="J692" s="19">
        <f>VLOOKUP(C:C,TooliD!B:H,7,FALSE)</f>
        <v>21</v>
      </c>
      <c r="K692" s="19">
        <f>VLOOKUP(C:C,TooliD!B:G,6,FALSE)</f>
        <v>19</v>
      </c>
      <c r="L692" s="19">
        <f>K692-J692</f>
        <v>-2</v>
      </c>
      <c r="M692" s="19" t="str">
        <f>IF(L692=0,"OK", IF(L692&gt;0,"Surplus","Shortfall"))</f>
        <v>Shortfall</v>
      </c>
      <c r="N692" s="18"/>
    </row>
    <row r="693" spans="1:14" x14ac:dyDescent="0.25">
      <c r="A693" s="18" t="s">
        <v>158</v>
      </c>
      <c r="B693" s="18" t="s">
        <v>1</v>
      </c>
      <c r="C693" s="18" t="s">
        <v>1</v>
      </c>
      <c r="D693" s="18" t="s">
        <v>237</v>
      </c>
      <c r="E693" s="19">
        <f>VLOOKUP(C:C,Courts!B:C,2,FALSE)</f>
        <v>18</v>
      </c>
      <c r="F693" s="19">
        <f>VLOOKUP(C:C,Courts!B:E,4,FALSE)</f>
        <v>0</v>
      </c>
      <c r="G693" s="19">
        <f>VLOOKUP(C:C,Courts!B:D,3,FALSE)</f>
        <v>3</v>
      </c>
      <c r="H693" s="19">
        <f>VLOOKUP(C:C,Courts!B:F,5,FALSE)</f>
        <v>21</v>
      </c>
      <c r="I693" s="18" t="s">
        <v>241</v>
      </c>
      <c r="J693" s="19">
        <f>VLOOKUP(C:C,TooliD!B:K,7,FALSE)</f>
        <v>21</v>
      </c>
      <c r="K693" s="19">
        <f>VLOOKUP(C:C,TooliD!B:J,9,FALSE)</f>
        <v>15</v>
      </c>
      <c r="L693" s="19">
        <f t="shared" ref="L693:L697" si="135">K693-J693</f>
        <v>-6</v>
      </c>
      <c r="M693" s="19" t="str">
        <f t="shared" si="131"/>
        <v>Shortfall</v>
      </c>
      <c r="N693" s="18"/>
    </row>
    <row r="694" spans="1:14" x14ac:dyDescent="0.25">
      <c r="A694" s="18" t="s">
        <v>158</v>
      </c>
      <c r="B694" s="18" t="s">
        <v>1</v>
      </c>
      <c r="C694" s="18" t="s">
        <v>1</v>
      </c>
      <c r="D694" s="18" t="s">
        <v>237</v>
      </c>
      <c r="E694" s="19">
        <f>VLOOKUP(C:C,Courts!B:C,2,FALSE)</f>
        <v>18</v>
      </c>
      <c r="F694" s="19">
        <f>VLOOKUP(C:C,Courts!B:E,4,FALSE)</f>
        <v>0</v>
      </c>
      <c r="G694" s="19">
        <f>VLOOKUP(C:C,Courts!B:D,3,FALSE)</f>
        <v>3</v>
      </c>
      <c r="H694" s="19">
        <f>VLOOKUP(C:C,Courts!B:F,5,FALSE)</f>
        <v>21</v>
      </c>
      <c r="I694" s="18" t="s">
        <v>9</v>
      </c>
      <c r="J694" s="19">
        <f>VLOOKUP(C:C,TooliD!B:N,13,FALSE)</f>
        <v>21</v>
      </c>
      <c r="K694" s="18">
        <f>VLOOKUP(C:C,TooliD!B:M,12,FALSE)</f>
        <v>18</v>
      </c>
      <c r="L694" s="19">
        <f t="shared" si="135"/>
        <v>-3</v>
      </c>
      <c r="M694" s="19" t="str">
        <f t="shared" si="131"/>
        <v>Shortfall</v>
      </c>
      <c r="N694" s="18"/>
    </row>
    <row r="695" spans="1:14" x14ac:dyDescent="0.25">
      <c r="A695" s="18" t="s">
        <v>158</v>
      </c>
      <c r="B695" s="18" t="s">
        <v>1</v>
      </c>
      <c r="C695" s="18" t="s">
        <v>1</v>
      </c>
      <c r="D695" s="18" t="s">
        <v>237</v>
      </c>
      <c r="E695" s="19">
        <f>VLOOKUP(C:C,Courts!B:C,2,FALSE)</f>
        <v>18</v>
      </c>
      <c r="F695" s="19">
        <f>VLOOKUP(C:C,Courts!B:E,4,FALSE)</f>
        <v>0</v>
      </c>
      <c r="G695" s="19">
        <f>VLOOKUP(C:C,Courts!B:D,3,FALSE)</f>
        <v>3</v>
      </c>
      <c r="H695" s="19">
        <f>VLOOKUP(C:C,Courts!B:F,5,FALSE)</f>
        <v>21</v>
      </c>
      <c r="I695" s="18" t="s">
        <v>239</v>
      </c>
      <c r="J695" s="19">
        <f>VLOOKUP(C:C,TooliD!B:Q,16,FALSE)</f>
        <v>42</v>
      </c>
      <c r="K695" s="18">
        <f>VLOOKUP(C:C,TooliD!B:P,15,FALSE)</f>
        <v>40</v>
      </c>
      <c r="L695" s="19">
        <f t="shared" si="135"/>
        <v>-2</v>
      </c>
      <c r="M695" s="19" t="str">
        <f t="shared" si="131"/>
        <v>Shortfall</v>
      </c>
      <c r="N695" s="18"/>
    </row>
    <row r="696" spans="1:14" x14ac:dyDescent="0.25">
      <c r="A696" s="18" t="s">
        <v>158</v>
      </c>
      <c r="B696" s="18" t="s">
        <v>1</v>
      </c>
      <c r="C696" s="18" t="s">
        <v>1</v>
      </c>
      <c r="D696" s="18" t="s">
        <v>237</v>
      </c>
      <c r="E696" s="19">
        <f>VLOOKUP(C:C,Courts!B:C,2,FALSE)</f>
        <v>18</v>
      </c>
      <c r="F696" s="19">
        <f>VLOOKUP(C:C,Courts!B:E,4,FALSE)</f>
        <v>0</v>
      </c>
      <c r="G696" s="19">
        <f>VLOOKUP(C:C,Courts!B:D,3,FALSE)</f>
        <v>3</v>
      </c>
      <c r="H696" s="19">
        <f>VLOOKUP(C:C,Courts!B:F,5,FALSE)</f>
        <v>21</v>
      </c>
      <c r="I696" s="18" t="s">
        <v>11</v>
      </c>
      <c r="J696" s="19">
        <f>VLOOKUP(C:C,TooliD!B:T,19,FALSE)</f>
        <v>168</v>
      </c>
      <c r="K696" s="18">
        <f>VLOOKUP(C:C,TooliD!B:S,18,FALSE)</f>
        <v>144</v>
      </c>
      <c r="L696" s="19">
        <f t="shared" si="135"/>
        <v>-24</v>
      </c>
      <c r="M696" s="19" t="str">
        <f t="shared" si="131"/>
        <v>Shortfall</v>
      </c>
      <c r="N696" s="18"/>
    </row>
    <row r="697" spans="1:14" x14ac:dyDescent="0.25">
      <c r="A697" s="18" t="s">
        <v>158</v>
      </c>
      <c r="B697" s="18" t="s">
        <v>1</v>
      </c>
      <c r="C697" s="18" t="s">
        <v>1</v>
      </c>
      <c r="D697" s="18" t="s">
        <v>237</v>
      </c>
      <c r="E697" s="19">
        <f>VLOOKUP(C:C,Courts!B:C,2,FALSE)</f>
        <v>18</v>
      </c>
      <c r="F697" s="19">
        <f>VLOOKUP(C:C,Courts!B:E,4,FALSE)</f>
        <v>0</v>
      </c>
      <c r="G697" s="19">
        <f>VLOOKUP(C:C,Courts!B:D,3,FALSE)</f>
        <v>3</v>
      </c>
      <c r="H697" s="19">
        <f>VLOOKUP(C:C,Courts!B:F,5,FALSE)</f>
        <v>21</v>
      </c>
      <c r="I697" s="18" t="s">
        <v>212</v>
      </c>
      <c r="J697" s="19">
        <f>VLOOKUP(C:C,TooliD!B:W,22,FALSE)</f>
        <v>21</v>
      </c>
      <c r="K697" s="18">
        <f>VLOOKUP(C:C,TooliD!B:V,21,FALSE)</f>
        <v>21</v>
      </c>
      <c r="L697" s="19">
        <f t="shared" si="135"/>
        <v>0</v>
      </c>
      <c r="M697" s="19" t="str">
        <f t="shared" si="131"/>
        <v>OK</v>
      </c>
      <c r="N697" s="18"/>
    </row>
    <row r="698" spans="1:14" x14ac:dyDescent="0.25">
      <c r="A698" s="18" t="s">
        <v>158</v>
      </c>
      <c r="B698" s="18" t="s">
        <v>1</v>
      </c>
      <c r="C698" s="18" t="s">
        <v>142</v>
      </c>
      <c r="D698" s="18" t="s">
        <v>238</v>
      </c>
      <c r="E698" s="19">
        <f>VLOOKUP(C:C,Courts!B:C,2,FALSE)</f>
        <v>2</v>
      </c>
      <c r="F698" s="19">
        <f>VLOOKUP(C:C,Courts!B:E,4,FALSE)</f>
        <v>1</v>
      </c>
      <c r="G698" s="19">
        <f>VLOOKUP(C:C,Courts!B:D,3,FALSE)</f>
        <v>0</v>
      </c>
      <c r="H698" s="19">
        <f>VLOOKUP(C:C,Courts!B:F,5,FALSE)</f>
        <v>3</v>
      </c>
      <c r="I698" s="18" t="s">
        <v>7</v>
      </c>
      <c r="J698" s="19">
        <f>VLOOKUP(C:C,TooliD!B:H,7,FALSE)</f>
        <v>3</v>
      </c>
      <c r="K698" s="19">
        <f>VLOOKUP(C:C,TooliD!B:G,6,FALSE)</f>
        <v>3</v>
      </c>
      <c r="L698" s="19">
        <f>K698-J698</f>
        <v>0</v>
      </c>
      <c r="M698" s="19" t="str">
        <f>IF(L698=0,"OK", IF(L698&gt;0,"Surplus","Shortfall"))</f>
        <v>OK</v>
      </c>
      <c r="N698" s="18"/>
    </row>
    <row r="699" spans="1:14" x14ac:dyDescent="0.25">
      <c r="A699" s="18" t="s">
        <v>158</v>
      </c>
      <c r="B699" s="18" t="s">
        <v>1</v>
      </c>
      <c r="C699" s="18" t="s">
        <v>142</v>
      </c>
      <c r="D699" s="18" t="s">
        <v>238</v>
      </c>
      <c r="E699" s="19">
        <f>VLOOKUP(C:C,Courts!B:C,2,FALSE)</f>
        <v>2</v>
      </c>
      <c r="F699" s="19">
        <f>VLOOKUP(C:C,Courts!B:E,4,FALSE)</f>
        <v>1</v>
      </c>
      <c r="G699" s="19">
        <f>VLOOKUP(C:C,Courts!B:D,3,FALSE)</f>
        <v>0</v>
      </c>
      <c r="H699" s="19">
        <f>VLOOKUP(C:C,Courts!B:F,5,FALSE)</f>
        <v>3</v>
      </c>
      <c r="I699" s="18" t="s">
        <v>241</v>
      </c>
      <c r="J699" s="19">
        <f>VLOOKUP(C:C,TooliD!B:K,7,FALSE)</f>
        <v>3</v>
      </c>
      <c r="K699" s="19">
        <f>VLOOKUP(C:C,TooliD!B:J,9,FALSE)</f>
        <v>2</v>
      </c>
      <c r="L699" s="19">
        <f t="shared" ref="L699:L703" si="136">K699-J699</f>
        <v>-1</v>
      </c>
      <c r="M699" s="19" t="str">
        <f t="shared" si="131"/>
        <v>Shortfall</v>
      </c>
      <c r="N699" s="18"/>
    </row>
    <row r="700" spans="1:14" x14ac:dyDescent="0.25">
      <c r="A700" s="18" t="s">
        <v>158</v>
      </c>
      <c r="B700" s="18" t="s">
        <v>1</v>
      </c>
      <c r="C700" s="18" t="s">
        <v>142</v>
      </c>
      <c r="D700" s="18" t="s">
        <v>238</v>
      </c>
      <c r="E700" s="19">
        <f>VLOOKUP(C:C,Courts!B:C,2,FALSE)</f>
        <v>2</v>
      </c>
      <c r="F700" s="19">
        <f>VLOOKUP(C:C,Courts!B:E,4,FALSE)</f>
        <v>1</v>
      </c>
      <c r="G700" s="19">
        <f>VLOOKUP(C:C,Courts!B:D,3,FALSE)</f>
        <v>0</v>
      </c>
      <c r="H700" s="19">
        <f>VLOOKUP(C:C,Courts!B:F,5,FALSE)</f>
        <v>3</v>
      </c>
      <c r="I700" s="18" t="s">
        <v>9</v>
      </c>
      <c r="J700" s="19">
        <f>VLOOKUP(C:C,TooliD!B:N,13,FALSE)</f>
        <v>3</v>
      </c>
      <c r="K700" s="18">
        <f>VLOOKUP(C:C,TooliD!B:M,12,FALSE)</f>
        <v>3</v>
      </c>
      <c r="L700" s="19">
        <f t="shared" si="136"/>
        <v>0</v>
      </c>
      <c r="M700" s="19" t="str">
        <f t="shared" si="131"/>
        <v>OK</v>
      </c>
      <c r="N700" s="18"/>
    </row>
    <row r="701" spans="1:14" x14ac:dyDescent="0.25">
      <c r="A701" s="18" t="s">
        <v>158</v>
      </c>
      <c r="B701" s="18" t="s">
        <v>1</v>
      </c>
      <c r="C701" s="18" t="s">
        <v>142</v>
      </c>
      <c r="D701" s="18" t="s">
        <v>238</v>
      </c>
      <c r="E701" s="19">
        <f>VLOOKUP(C:C,Courts!B:C,2,FALSE)</f>
        <v>2</v>
      </c>
      <c r="F701" s="19">
        <f>VLOOKUP(C:C,Courts!B:E,4,FALSE)</f>
        <v>1</v>
      </c>
      <c r="G701" s="19">
        <f>VLOOKUP(C:C,Courts!B:D,3,FALSE)</f>
        <v>0</v>
      </c>
      <c r="H701" s="19">
        <f>VLOOKUP(C:C,Courts!B:F,5,FALSE)</f>
        <v>3</v>
      </c>
      <c r="I701" s="18" t="s">
        <v>239</v>
      </c>
      <c r="J701" s="19">
        <f>VLOOKUP(C:C,TooliD!B:Q,16,FALSE)</f>
        <v>4</v>
      </c>
      <c r="K701" s="18">
        <f>VLOOKUP(C:C,TooliD!B:P,15,FALSE)</f>
        <v>6</v>
      </c>
      <c r="L701" s="19">
        <f t="shared" si="136"/>
        <v>2</v>
      </c>
      <c r="M701" s="19" t="str">
        <f t="shared" si="131"/>
        <v>Surplus</v>
      </c>
      <c r="N701" s="18"/>
    </row>
    <row r="702" spans="1:14" x14ac:dyDescent="0.25">
      <c r="A702" s="18" t="s">
        <v>158</v>
      </c>
      <c r="B702" s="18" t="s">
        <v>1</v>
      </c>
      <c r="C702" s="18" t="s">
        <v>142</v>
      </c>
      <c r="D702" s="18" t="s">
        <v>238</v>
      </c>
      <c r="E702" s="19">
        <f>VLOOKUP(C:C,Courts!B:C,2,FALSE)</f>
        <v>2</v>
      </c>
      <c r="F702" s="19">
        <f>VLOOKUP(C:C,Courts!B:E,4,FALSE)</f>
        <v>1</v>
      </c>
      <c r="G702" s="19">
        <f>VLOOKUP(C:C,Courts!B:D,3,FALSE)</f>
        <v>0</v>
      </c>
      <c r="H702" s="19">
        <f>VLOOKUP(C:C,Courts!B:F,5,FALSE)</f>
        <v>3</v>
      </c>
      <c r="I702" s="18" t="s">
        <v>11</v>
      </c>
      <c r="J702" s="19">
        <f>VLOOKUP(C:C,TooliD!B:T,19,FALSE)</f>
        <v>20</v>
      </c>
      <c r="K702" s="18">
        <f>VLOOKUP(C:C,TooliD!B:S,18,FALSE)</f>
        <v>27</v>
      </c>
      <c r="L702" s="19">
        <f t="shared" si="136"/>
        <v>7</v>
      </c>
      <c r="M702" s="19" t="str">
        <f t="shared" si="131"/>
        <v>Surplus</v>
      </c>
      <c r="N702" s="18"/>
    </row>
    <row r="703" spans="1:14" x14ac:dyDescent="0.25">
      <c r="A703" s="18" t="s">
        <v>158</v>
      </c>
      <c r="B703" s="18" t="s">
        <v>1</v>
      </c>
      <c r="C703" s="18" t="s">
        <v>142</v>
      </c>
      <c r="D703" s="18" t="s">
        <v>238</v>
      </c>
      <c r="E703" s="19">
        <f>VLOOKUP(C:C,Courts!B:C,2,FALSE)</f>
        <v>2</v>
      </c>
      <c r="F703" s="19">
        <f>VLOOKUP(C:C,Courts!B:E,4,FALSE)</f>
        <v>1</v>
      </c>
      <c r="G703" s="19">
        <f>VLOOKUP(C:C,Courts!B:D,3,FALSE)</f>
        <v>0</v>
      </c>
      <c r="H703" s="19">
        <f>VLOOKUP(C:C,Courts!B:F,5,FALSE)</f>
        <v>3</v>
      </c>
      <c r="I703" s="18" t="s">
        <v>212</v>
      </c>
      <c r="J703" s="19">
        <f>VLOOKUP(C:C,TooliD!B:W,22,FALSE)</f>
        <v>3</v>
      </c>
      <c r="K703" s="18">
        <f>VLOOKUP(C:C,TooliD!B:V,21,FALSE)</f>
        <v>2</v>
      </c>
      <c r="L703" s="19">
        <f t="shared" si="136"/>
        <v>-1</v>
      </c>
      <c r="M703" s="19" t="str">
        <f t="shared" si="131"/>
        <v>Shortfall</v>
      </c>
      <c r="N703" s="18"/>
    </row>
    <row r="704" spans="1:14" x14ac:dyDescent="0.25">
      <c r="A704" s="18" t="s">
        <v>158</v>
      </c>
      <c r="B704" s="18" t="s">
        <v>1</v>
      </c>
      <c r="C704" s="18" t="s">
        <v>143</v>
      </c>
      <c r="D704" s="18" t="s">
        <v>238</v>
      </c>
      <c r="E704" s="19">
        <f>VLOOKUP(C:C,Courts!B:C,2,FALSE)</f>
        <v>2</v>
      </c>
      <c r="F704" s="19">
        <f>VLOOKUP(C:C,Courts!B:E,4,FALSE)</f>
        <v>1</v>
      </c>
      <c r="G704" s="19">
        <f>VLOOKUP(C:C,Courts!B:D,3,FALSE)</f>
        <v>0</v>
      </c>
      <c r="H704" s="19">
        <f>VLOOKUP(C:C,Courts!B:F,5,FALSE)</f>
        <v>3</v>
      </c>
      <c r="I704" s="18" t="s">
        <v>7</v>
      </c>
      <c r="J704" s="19">
        <f>VLOOKUP(C:C,TooliD!B:H,7,FALSE)</f>
        <v>3</v>
      </c>
      <c r="K704" s="19">
        <f>VLOOKUP(C:C,TooliD!B:G,6,FALSE)</f>
        <v>3</v>
      </c>
      <c r="L704" s="19">
        <f>K704-J704</f>
        <v>0</v>
      </c>
      <c r="M704" s="19" t="str">
        <f>IF(L704=0,"OK", IF(L704&gt;0,"Surplus","Shortfall"))</f>
        <v>OK</v>
      </c>
      <c r="N704" s="18"/>
    </row>
    <row r="705" spans="1:14" x14ac:dyDescent="0.25">
      <c r="A705" s="18" t="s">
        <v>158</v>
      </c>
      <c r="B705" s="18" t="s">
        <v>1</v>
      </c>
      <c r="C705" s="18" t="s">
        <v>143</v>
      </c>
      <c r="D705" s="18" t="s">
        <v>238</v>
      </c>
      <c r="E705" s="19">
        <f>VLOOKUP(C:C,Courts!B:C,2,FALSE)</f>
        <v>2</v>
      </c>
      <c r="F705" s="19">
        <f>VLOOKUP(C:C,Courts!B:E,4,FALSE)</f>
        <v>1</v>
      </c>
      <c r="G705" s="19">
        <f>VLOOKUP(C:C,Courts!B:D,3,FALSE)</f>
        <v>0</v>
      </c>
      <c r="H705" s="19">
        <f>VLOOKUP(C:C,Courts!B:F,5,FALSE)</f>
        <v>3</v>
      </c>
      <c r="I705" s="18" t="s">
        <v>241</v>
      </c>
      <c r="J705" s="19">
        <f>VLOOKUP(C:C,TooliD!B:K,7,FALSE)</f>
        <v>3</v>
      </c>
      <c r="K705" s="19">
        <f>VLOOKUP(C:C,TooliD!B:J,9,FALSE)</f>
        <v>2</v>
      </c>
      <c r="L705" s="19">
        <f t="shared" ref="L705:L709" si="137">K705-J705</f>
        <v>-1</v>
      </c>
      <c r="M705" s="19" t="str">
        <f t="shared" si="131"/>
        <v>Shortfall</v>
      </c>
      <c r="N705" s="18"/>
    </row>
    <row r="706" spans="1:14" x14ac:dyDescent="0.25">
      <c r="A706" s="18" t="s">
        <v>158</v>
      </c>
      <c r="B706" s="18" t="s">
        <v>1</v>
      </c>
      <c r="C706" s="18" t="s">
        <v>143</v>
      </c>
      <c r="D706" s="18" t="s">
        <v>238</v>
      </c>
      <c r="E706" s="19">
        <f>VLOOKUP(C:C,Courts!B:C,2,FALSE)</f>
        <v>2</v>
      </c>
      <c r="F706" s="19">
        <f>VLOOKUP(C:C,Courts!B:E,4,FALSE)</f>
        <v>1</v>
      </c>
      <c r="G706" s="19">
        <f>VLOOKUP(C:C,Courts!B:D,3,FALSE)</f>
        <v>0</v>
      </c>
      <c r="H706" s="19">
        <f>VLOOKUP(C:C,Courts!B:F,5,FALSE)</f>
        <v>3</v>
      </c>
      <c r="I706" s="18" t="s">
        <v>9</v>
      </c>
      <c r="J706" s="19">
        <f>VLOOKUP(C:C,TooliD!B:N,13,FALSE)</f>
        <v>3</v>
      </c>
      <c r="K706" s="18">
        <f>VLOOKUP(C:C,TooliD!B:M,12,FALSE)</f>
        <v>3</v>
      </c>
      <c r="L706" s="19">
        <f t="shared" si="137"/>
        <v>0</v>
      </c>
      <c r="M706" s="19" t="str">
        <f t="shared" si="131"/>
        <v>OK</v>
      </c>
      <c r="N706" s="18"/>
    </row>
    <row r="707" spans="1:14" x14ac:dyDescent="0.25">
      <c r="A707" s="18" t="s">
        <v>158</v>
      </c>
      <c r="B707" s="18" t="s">
        <v>1</v>
      </c>
      <c r="C707" s="18" t="s">
        <v>143</v>
      </c>
      <c r="D707" s="18" t="s">
        <v>238</v>
      </c>
      <c r="E707" s="19">
        <f>VLOOKUP(C:C,Courts!B:C,2,FALSE)</f>
        <v>2</v>
      </c>
      <c r="F707" s="19">
        <f>VLOOKUP(C:C,Courts!B:E,4,FALSE)</f>
        <v>1</v>
      </c>
      <c r="G707" s="19">
        <f>VLOOKUP(C:C,Courts!B:D,3,FALSE)</f>
        <v>0</v>
      </c>
      <c r="H707" s="19">
        <f>VLOOKUP(C:C,Courts!B:F,5,FALSE)</f>
        <v>3</v>
      </c>
      <c r="I707" s="18" t="s">
        <v>239</v>
      </c>
      <c r="J707" s="19">
        <f>VLOOKUP(C:C,TooliD!B:Q,16,FALSE)</f>
        <v>4</v>
      </c>
      <c r="K707" s="18">
        <f>VLOOKUP(C:C,TooliD!B:P,15,FALSE)</f>
        <v>5</v>
      </c>
      <c r="L707" s="19">
        <f t="shared" si="137"/>
        <v>1</v>
      </c>
      <c r="M707" s="19" t="str">
        <f t="shared" si="131"/>
        <v>Surplus</v>
      </c>
      <c r="N707" s="18"/>
    </row>
    <row r="708" spans="1:14" x14ac:dyDescent="0.25">
      <c r="A708" s="18" t="s">
        <v>158</v>
      </c>
      <c r="B708" s="18" t="s">
        <v>1</v>
      </c>
      <c r="C708" s="18" t="s">
        <v>143</v>
      </c>
      <c r="D708" s="18" t="s">
        <v>238</v>
      </c>
      <c r="E708" s="19">
        <f>VLOOKUP(C:C,Courts!B:C,2,FALSE)</f>
        <v>2</v>
      </c>
      <c r="F708" s="19">
        <f>VLOOKUP(C:C,Courts!B:E,4,FALSE)</f>
        <v>1</v>
      </c>
      <c r="G708" s="19">
        <f>VLOOKUP(C:C,Courts!B:D,3,FALSE)</f>
        <v>0</v>
      </c>
      <c r="H708" s="19">
        <f>VLOOKUP(C:C,Courts!B:F,5,FALSE)</f>
        <v>3</v>
      </c>
      <c r="I708" s="18" t="s">
        <v>11</v>
      </c>
      <c r="J708" s="19">
        <f>VLOOKUP(C:C,TooliD!B:T,19,FALSE)</f>
        <v>20</v>
      </c>
      <c r="K708" s="18">
        <f>VLOOKUP(C:C,TooliD!B:S,18,FALSE)</f>
        <v>20</v>
      </c>
      <c r="L708" s="19">
        <f t="shared" si="137"/>
        <v>0</v>
      </c>
      <c r="M708" s="19" t="str">
        <f t="shared" si="131"/>
        <v>OK</v>
      </c>
      <c r="N708" s="18"/>
    </row>
    <row r="709" spans="1:14" x14ac:dyDescent="0.25">
      <c r="A709" s="18" t="s">
        <v>158</v>
      </c>
      <c r="B709" s="18" t="s">
        <v>1</v>
      </c>
      <c r="C709" s="18" t="s">
        <v>143</v>
      </c>
      <c r="D709" s="18" t="s">
        <v>238</v>
      </c>
      <c r="E709" s="19">
        <f>VLOOKUP(C:C,Courts!B:C,2,FALSE)</f>
        <v>2</v>
      </c>
      <c r="F709" s="19">
        <f>VLOOKUP(C:C,Courts!B:E,4,FALSE)</f>
        <v>1</v>
      </c>
      <c r="G709" s="19">
        <f>VLOOKUP(C:C,Courts!B:D,3,FALSE)</f>
        <v>0</v>
      </c>
      <c r="H709" s="19">
        <f>VLOOKUP(C:C,Courts!B:F,5,FALSE)</f>
        <v>3</v>
      </c>
      <c r="I709" s="18" t="s">
        <v>212</v>
      </c>
      <c r="J709" s="19">
        <f>VLOOKUP(C:C,TooliD!B:W,22,FALSE)</f>
        <v>3</v>
      </c>
      <c r="K709" s="18">
        <f>VLOOKUP(C:C,TooliD!B:V,21,FALSE)</f>
        <v>3</v>
      </c>
      <c r="L709" s="19">
        <f t="shared" si="137"/>
        <v>0</v>
      </c>
      <c r="M709" s="19" t="str">
        <f t="shared" si="131"/>
        <v>OK</v>
      </c>
      <c r="N709" s="18"/>
    </row>
    <row r="710" spans="1:14" x14ac:dyDescent="0.25">
      <c r="A710" s="18" t="s">
        <v>158</v>
      </c>
      <c r="B710" s="18" t="s">
        <v>144</v>
      </c>
      <c r="C710" s="18" t="s">
        <v>144</v>
      </c>
      <c r="D710" s="18" t="s">
        <v>237</v>
      </c>
      <c r="E710" s="19">
        <f>VLOOKUP(C:C,Courts!B:C,2,FALSE)</f>
        <v>19</v>
      </c>
      <c r="F710" s="19">
        <f>VLOOKUP(C:C,Courts!B:E,4,FALSE)</f>
        <v>0</v>
      </c>
      <c r="G710" s="19">
        <f>VLOOKUP(C:C,Courts!B:D,3,FALSE)</f>
        <v>5</v>
      </c>
      <c r="H710" s="19">
        <f>VLOOKUP(C:C,Courts!B:F,5,FALSE)</f>
        <v>24</v>
      </c>
      <c r="I710" s="18" t="s">
        <v>7</v>
      </c>
      <c r="J710" s="19">
        <f>VLOOKUP(C:C,TooliD!B:H,7,FALSE)</f>
        <v>24</v>
      </c>
      <c r="K710" s="19">
        <f>VLOOKUP(C:C,TooliD!B:G,6,FALSE)</f>
        <v>22</v>
      </c>
      <c r="L710" s="19">
        <f>K710-J710</f>
        <v>-2</v>
      </c>
      <c r="M710" s="19" t="str">
        <f>IF(L710=0,"OK", IF(L710&gt;0,"Surplus","Shortfall"))</f>
        <v>Shortfall</v>
      </c>
      <c r="N710" s="18"/>
    </row>
    <row r="711" spans="1:14" x14ac:dyDescent="0.25">
      <c r="A711" s="18" t="s">
        <v>158</v>
      </c>
      <c r="B711" s="18" t="s">
        <v>144</v>
      </c>
      <c r="C711" s="18" t="s">
        <v>144</v>
      </c>
      <c r="D711" s="18" t="s">
        <v>237</v>
      </c>
      <c r="E711" s="19">
        <f>VLOOKUP(C:C,Courts!B:C,2,FALSE)</f>
        <v>19</v>
      </c>
      <c r="F711" s="19">
        <f>VLOOKUP(C:C,Courts!B:E,4,FALSE)</f>
        <v>0</v>
      </c>
      <c r="G711" s="19">
        <f>VLOOKUP(C:C,Courts!B:D,3,FALSE)</f>
        <v>5</v>
      </c>
      <c r="H711" s="19">
        <f>VLOOKUP(C:C,Courts!B:F,5,FALSE)</f>
        <v>24</v>
      </c>
      <c r="I711" s="18" t="s">
        <v>241</v>
      </c>
      <c r="J711" s="19">
        <f>VLOOKUP(C:C,TooliD!B:K,7,FALSE)</f>
        <v>24</v>
      </c>
      <c r="K711" s="19">
        <f>VLOOKUP(C:C,TooliD!B:J,9,FALSE)</f>
        <v>17</v>
      </c>
      <c r="L711" s="19">
        <f t="shared" ref="L711:L715" si="138">K711-J711</f>
        <v>-7</v>
      </c>
      <c r="M711" s="19" t="str">
        <f t="shared" si="131"/>
        <v>Shortfall</v>
      </c>
      <c r="N711" s="18"/>
    </row>
    <row r="712" spans="1:14" x14ac:dyDescent="0.25">
      <c r="A712" s="18" t="s">
        <v>158</v>
      </c>
      <c r="B712" s="18" t="s">
        <v>144</v>
      </c>
      <c r="C712" s="18" t="s">
        <v>144</v>
      </c>
      <c r="D712" s="18" t="s">
        <v>237</v>
      </c>
      <c r="E712" s="19">
        <f>VLOOKUP(C:C,Courts!B:C,2,FALSE)</f>
        <v>19</v>
      </c>
      <c r="F712" s="19">
        <f>VLOOKUP(C:C,Courts!B:E,4,FALSE)</f>
        <v>0</v>
      </c>
      <c r="G712" s="19">
        <f>VLOOKUP(C:C,Courts!B:D,3,FALSE)</f>
        <v>5</v>
      </c>
      <c r="H712" s="19">
        <f>VLOOKUP(C:C,Courts!B:F,5,FALSE)</f>
        <v>24</v>
      </c>
      <c r="I712" s="18" t="s">
        <v>9</v>
      </c>
      <c r="J712" s="19">
        <f>VLOOKUP(C:C,TooliD!B:N,13,FALSE)</f>
        <v>24</v>
      </c>
      <c r="K712" s="18">
        <f>VLOOKUP(C:C,TooliD!B:M,12,FALSE)</f>
        <v>22</v>
      </c>
      <c r="L712" s="19">
        <f t="shared" si="138"/>
        <v>-2</v>
      </c>
      <c r="M712" s="19" t="str">
        <f t="shared" si="131"/>
        <v>Shortfall</v>
      </c>
      <c r="N712" s="18"/>
    </row>
    <row r="713" spans="1:14" x14ac:dyDescent="0.25">
      <c r="A713" s="18" t="s">
        <v>158</v>
      </c>
      <c r="B713" s="18" t="s">
        <v>144</v>
      </c>
      <c r="C713" s="18" t="s">
        <v>144</v>
      </c>
      <c r="D713" s="18" t="s">
        <v>237</v>
      </c>
      <c r="E713" s="19">
        <f>VLOOKUP(C:C,Courts!B:C,2,FALSE)</f>
        <v>19</v>
      </c>
      <c r="F713" s="19">
        <f>VLOOKUP(C:C,Courts!B:E,4,FALSE)</f>
        <v>0</v>
      </c>
      <c r="G713" s="19">
        <f>VLOOKUP(C:C,Courts!B:D,3,FALSE)</f>
        <v>5</v>
      </c>
      <c r="H713" s="19">
        <f>VLOOKUP(C:C,Courts!B:F,5,FALSE)</f>
        <v>24</v>
      </c>
      <c r="I713" s="18" t="s">
        <v>239</v>
      </c>
      <c r="J713" s="19">
        <f>VLOOKUP(C:C,TooliD!B:Q,16,FALSE)</f>
        <v>48</v>
      </c>
      <c r="K713" s="18">
        <f>VLOOKUP(C:C,TooliD!B:P,15,FALSE)</f>
        <v>42</v>
      </c>
      <c r="L713" s="19">
        <f t="shared" si="138"/>
        <v>-6</v>
      </c>
      <c r="M713" s="19" t="str">
        <f t="shared" si="131"/>
        <v>Shortfall</v>
      </c>
      <c r="N713" s="18"/>
    </row>
    <row r="714" spans="1:14" x14ac:dyDescent="0.25">
      <c r="A714" s="18" t="s">
        <v>158</v>
      </c>
      <c r="B714" s="18" t="s">
        <v>144</v>
      </c>
      <c r="C714" s="18" t="s">
        <v>144</v>
      </c>
      <c r="D714" s="18" t="s">
        <v>237</v>
      </c>
      <c r="E714" s="19">
        <f>VLOOKUP(C:C,Courts!B:C,2,FALSE)</f>
        <v>19</v>
      </c>
      <c r="F714" s="19">
        <f>VLOOKUP(C:C,Courts!B:E,4,FALSE)</f>
        <v>0</v>
      </c>
      <c r="G714" s="19">
        <f>VLOOKUP(C:C,Courts!B:D,3,FALSE)</f>
        <v>5</v>
      </c>
      <c r="H714" s="19">
        <f>VLOOKUP(C:C,Courts!B:F,5,FALSE)</f>
        <v>24</v>
      </c>
      <c r="I714" s="18" t="s">
        <v>11</v>
      </c>
      <c r="J714" s="19">
        <f>VLOOKUP(C:C,TooliD!B:T,19,FALSE)</f>
        <v>192</v>
      </c>
      <c r="K714" s="18">
        <f>VLOOKUP(C:C,TooliD!B:S,18,FALSE)</f>
        <v>160</v>
      </c>
      <c r="L714" s="19">
        <f t="shared" si="138"/>
        <v>-32</v>
      </c>
      <c r="M714" s="19" t="str">
        <f t="shared" si="131"/>
        <v>Shortfall</v>
      </c>
      <c r="N714" s="18"/>
    </row>
    <row r="715" spans="1:14" x14ac:dyDescent="0.25">
      <c r="A715" s="18" t="s">
        <v>158</v>
      </c>
      <c r="B715" s="18" t="s">
        <v>144</v>
      </c>
      <c r="C715" s="18" t="s">
        <v>144</v>
      </c>
      <c r="D715" s="18" t="s">
        <v>237</v>
      </c>
      <c r="E715" s="19">
        <f>VLOOKUP(C:C,Courts!B:C,2,FALSE)</f>
        <v>19</v>
      </c>
      <c r="F715" s="19">
        <f>VLOOKUP(C:C,Courts!B:E,4,FALSE)</f>
        <v>0</v>
      </c>
      <c r="G715" s="19">
        <f>VLOOKUP(C:C,Courts!B:D,3,FALSE)</f>
        <v>5</v>
      </c>
      <c r="H715" s="19">
        <f>VLOOKUP(C:C,Courts!B:F,5,FALSE)</f>
        <v>24</v>
      </c>
      <c r="I715" s="18" t="s">
        <v>212</v>
      </c>
      <c r="J715" s="19">
        <f>VLOOKUP(C:C,TooliD!B:W,22,FALSE)</f>
        <v>24</v>
      </c>
      <c r="K715" s="18">
        <f>VLOOKUP(C:C,TooliD!B:V,21,FALSE)</f>
        <v>24</v>
      </c>
      <c r="L715" s="19">
        <f t="shared" si="138"/>
        <v>0</v>
      </c>
      <c r="M715" s="19" t="str">
        <f t="shared" si="131"/>
        <v>OK</v>
      </c>
      <c r="N715" s="18"/>
    </row>
    <row r="716" spans="1:14" x14ac:dyDescent="0.25">
      <c r="A716" s="18" t="s">
        <v>158</v>
      </c>
      <c r="B716" s="18" t="s">
        <v>144</v>
      </c>
      <c r="C716" s="18" t="s">
        <v>145</v>
      </c>
      <c r="D716" s="18" t="s">
        <v>238</v>
      </c>
      <c r="E716" s="19">
        <f>VLOOKUP(C:C,Courts!B:C,2,FALSE)</f>
        <v>1</v>
      </c>
      <c r="F716" s="19">
        <f>VLOOKUP(C:C,Courts!B:E,4,FALSE)</f>
        <v>1</v>
      </c>
      <c r="G716" s="19">
        <f>VLOOKUP(C:C,Courts!B:D,3,FALSE)</f>
        <v>0</v>
      </c>
      <c r="H716" s="19">
        <f>VLOOKUP(C:C,Courts!B:F,5,FALSE)</f>
        <v>2</v>
      </c>
      <c r="I716" s="18" t="s">
        <v>7</v>
      </c>
      <c r="J716" s="19">
        <f>VLOOKUP(C:C,TooliD!B:H,7,FALSE)</f>
        <v>2</v>
      </c>
      <c r="K716" s="19">
        <f>VLOOKUP(C:C,TooliD!B:G,6,FALSE)</f>
        <v>3</v>
      </c>
      <c r="L716" s="19">
        <f>K716-J716</f>
        <v>1</v>
      </c>
      <c r="M716" s="19" t="str">
        <f>IF(L716=0,"OK", IF(L716&gt;0,"Surplus","Shortfall"))</f>
        <v>Surplus</v>
      </c>
      <c r="N716" s="18"/>
    </row>
    <row r="717" spans="1:14" x14ac:dyDescent="0.25">
      <c r="A717" s="18" t="s">
        <v>158</v>
      </c>
      <c r="B717" s="18" t="s">
        <v>144</v>
      </c>
      <c r="C717" s="18" t="s">
        <v>145</v>
      </c>
      <c r="D717" s="18" t="s">
        <v>238</v>
      </c>
      <c r="E717" s="19">
        <f>VLOOKUP(C:C,Courts!B:C,2,FALSE)</f>
        <v>1</v>
      </c>
      <c r="F717" s="19">
        <f>VLOOKUP(C:C,Courts!B:E,4,FALSE)</f>
        <v>1</v>
      </c>
      <c r="G717" s="19">
        <f>VLOOKUP(C:C,Courts!B:D,3,FALSE)</f>
        <v>0</v>
      </c>
      <c r="H717" s="19">
        <f>VLOOKUP(C:C,Courts!B:F,5,FALSE)</f>
        <v>2</v>
      </c>
      <c r="I717" s="18" t="s">
        <v>241</v>
      </c>
      <c r="J717" s="19">
        <f>VLOOKUP(C:C,TooliD!B:K,7,FALSE)</f>
        <v>2</v>
      </c>
      <c r="K717" s="19">
        <f>VLOOKUP(C:C,TooliD!B:J,9,FALSE)</f>
        <v>2</v>
      </c>
      <c r="L717" s="19">
        <f t="shared" ref="L717:L721" si="139">K717-J717</f>
        <v>0</v>
      </c>
      <c r="M717" s="19" t="str">
        <f t="shared" si="131"/>
        <v>OK</v>
      </c>
      <c r="N717" s="18"/>
    </row>
    <row r="718" spans="1:14" x14ac:dyDescent="0.25">
      <c r="A718" s="18" t="s">
        <v>158</v>
      </c>
      <c r="B718" s="18" t="s">
        <v>144</v>
      </c>
      <c r="C718" s="18" t="s">
        <v>145</v>
      </c>
      <c r="D718" s="18" t="s">
        <v>238</v>
      </c>
      <c r="E718" s="19">
        <f>VLOOKUP(C:C,Courts!B:C,2,FALSE)</f>
        <v>1</v>
      </c>
      <c r="F718" s="19">
        <f>VLOOKUP(C:C,Courts!B:E,4,FALSE)</f>
        <v>1</v>
      </c>
      <c r="G718" s="19">
        <f>VLOOKUP(C:C,Courts!B:D,3,FALSE)</f>
        <v>0</v>
      </c>
      <c r="H718" s="19">
        <f>VLOOKUP(C:C,Courts!B:F,5,FALSE)</f>
        <v>2</v>
      </c>
      <c r="I718" s="18" t="s">
        <v>9</v>
      </c>
      <c r="J718" s="19">
        <f>VLOOKUP(C:C,TooliD!B:N,13,FALSE)</f>
        <v>2</v>
      </c>
      <c r="K718" s="18">
        <f>VLOOKUP(C:C,TooliD!B:M,12,FALSE)</f>
        <v>3</v>
      </c>
      <c r="L718" s="19">
        <f t="shared" si="139"/>
        <v>1</v>
      </c>
      <c r="M718" s="19" t="str">
        <f t="shared" si="131"/>
        <v>Surplus</v>
      </c>
      <c r="N718" s="18"/>
    </row>
    <row r="719" spans="1:14" x14ac:dyDescent="0.25">
      <c r="A719" s="18" t="s">
        <v>158</v>
      </c>
      <c r="B719" s="18" t="s">
        <v>144</v>
      </c>
      <c r="C719" s="18" t="s">
        <v>145</v>
      </c>
      <c r="D719" s="18" t="s">
        <v>238</v>
      </c>
      <c r="E719" s="19">
        <f>VLOOKUP(C:C,Courts!B:C,2,FALSE)</f>
        <v>1</v>
      </c>
      <c r="F719" s="19">
        <f>VLOOKUP(C:C,Courts!B:E,4,FALSE)</f>
        <v>1</v>
      </c>
      <c r="G719" s="19">
        <f>VLOOKUP(C:C,Courts!B:D,3,FALSE)</f>
        <v>0</v>
      </c>
      <c r="H719" s="19">
        <f>VLOOKUP(C:C,Courts!B:F,5,FALSE)</f>
        <v>2</v>
      </c>
      <c r="I719" s="18" t="s">
        <v>239</v>
      </c>
      <c r="J719" s="19">
        <f>VLOOKUP(C:C,TooliD!B:Q,16,FALSE)</f>
        <v>2</v>
      </c>
      <c r="K719" s="18">
        <f>VLOOKUP(C:C,TooliD!B:P,15,FALSE)</f>
        <v>4</v>
      </c>
      <c r="L719" s="19">
        <f t="shared" si="139"/>
        <v>2</v>
      </c>
      <c r="M719" s="19" t="str">
        <f t="shared" si="131"/>
        <v>Surplus</v>
      </c>
      <c r="N719" s="18"/>
    </row>
    <row r="720" spans="1:14" x14ac:dyDescent="0.25">
      <c r="A720" s="18" t="s">
        <v>158</v>
      </c>
      <c r="B720" s="18" t="s">
        <v>144</v>
      </c>
      <c r="C720" s="18" t="s">
        <v>145</v>
      </c>
      <c r="D720" s="18" t="s">
        <v>238</v>
      </c>
      <c r="E720" s="19">
        <f>VLOOKUP(C:C,Courts!B:C,2,FALSE)</f>
        <v>1</v>
      </c>
      <c r="F720" s="19">
        <f>VLOOKUP(C:C,Courts!B:E,4,FALSE)</f>
        <v>1</v>
      </c>
      <c r="G720" s="19">
        <f>VLOOKUP(C:C,Courts!B:D,3,FALSE)</f>
        <v>0</v>
      </c>
      <c r="H720" s="19">
        <f>VLOOKUP(C:C,Courts!B:F,5,FALSE)</f>
        <v>2</v>
      </c>
      <c r="I720" s="18" t="s">
        <v>11</v>
      </c>
      <c r="J720" s="19">
        <f>VLOOKUP(C:C,TooliD!B:T,19,FALSE)</f>
        <v>12</v>
      </c>
      <c r="K720" s="18">
        <f>VLOOKUP(C:C,TooliD!B:S,18,FALSE)</f>
        <v>24</v>
      </c>
      <c r="L720" s="19">
        <f t="shared" si="139"/>
        <v>12</v>
      </c>
      <c r="M720" s="19" t="str">
        <f t="shared" si="131"/>
        <v>Surplus</v>
      </c>
      <c r="N720" s="18"/>
    </row>
    <row r="721" spans="1:14" x14ac:dyDescent="0.25">
      <c r="A721" s="18" t="s">
        <v>158</v>
      </c>
      <c r="B721" s="18" t="s">
        <v>144</v>
      </c>
      <c r="C721" s="18" t="s">
        <v>145</v>
      </c>
      <c r="D721" s="18" t="s">
        <v>238</v>
      </c>
      <c r="E721" s="19">
        <f>VLOOKUP(C:C,Courts!B:C,2,FALSE)</f>
        <v>1</v>
      </c>
      <c r="F721" s="19">
        <f>VLOOKUP(C:C,Courts!B:E,4,FALSE)</f>
        <v>1</v>
      </c>
      <c r="G721" s="19">
        <f>VLOOKUP(C:C,Courts!B:D,3,FALSE)</f>
        <v>0</v>
      </c>
      <c r="H721" s="19">
        <f>VLOOKUP(C:C,Courts!B:F,5,FALSE)</f>
        <v>2</v>
      </c>
      <c r="I721" s="18" t="s">
        <v>212</v>
      </c>
      <c r="J721" s="19">
        <f>VLOOKUP(C:C,TooliD!B:W,22,FALSE)</f>
        <v>2</v>
      </c>
      <c r="K721" s="18">
        <f>VLOOKUP(C:C,TooliD!B:V,21,FALSE)</f>
        <v>3</v>
      </c>
      <c r="L721" s="19">
        <f t="shared" si="139"/>
        <v>1</v>
      </c>
      <c r="M721" s="19" t="str">
        <f t="shared" si="131"/>
        <v>Surplus</v>
      </c>
      <c r="N721" s="18"/>
    </row>
    <row r="722" spans="1:14" x14ac:dyDescent="0.25">
      <c r="A722" s="18" t="s">
        <v>158</v>
      </c>
      <c r="B722" s="18" t="s">
        <v>146</v>
      </c>
      <c r="C722" s="18" t="s">
        <v>146</v>
      </c>
      <c r="D722" s="18" t="s">
        <v>237</v>
      </c>
      <c r="E722" s="19">
        <f>VLOOKUP(C:C,Courts!B:C,2,FALSE)</f>
        <v>15</v>
      </c>
      <c r="F722" s="19">
        <f>VLOOKUP(C:C,Courts!B:E,4,FALSE)</f>
        <v>0</v>
      </c>
      <c r="G722" s="19">
        <f>VLOOKUP(C:C,Courts!B:D,3,FALSE)</f>
        <v>2</v>
      </c>
      <c r="H722" s="19">
        <f>VLOOKUP(C:C,Courts!B:F,5,FALSE)</f>
        <v>17</v>
      </c>
      <c r="I722" s="18" t="s">
        <v>7</v>
      </c>
      <c r="J722" s="19">
        <f>VLOOKUP(C:C,TooliD!B:H,7,FALSE)</f>
        <v>17</v>
      </c>
      <c r="K722" s="19">
        <f>VLOOKUP(C:C,TooliD!B:G,6,FALSE)</f>
        <v>15</v>
      </c>
      <c r="L722" s="19">
        <f>K722-J722</f>
        <v>-2</v>
      </c>
      <c r="M722" s="19" t="str">
        <f>IF(L722=0,"OK", IF(L722&gt;0,"Surplus","Shortfall"))</f>
        <v>Shortfall</v>
      </c>
      <c r="N722" s="18"/>
    </row>
    <row r="723" spans="1:14" x14ac:dyDescent="0.25">
      <c r="A723" s="18" t="s">
        <v>158</v>
      </c>
      <c r="B723" s="18" t="s">
        <v>146</v>
      </c>
      <c r="C723" s="18" t="s">
        <v>146</v>
      </c>
      <c r="D723" s="18" t="s">
        <v>237</v>
      </c>
      <c r="E723" s="19">
        <f>VLOOKUP(C:C,Courts!B:C,2,FALSE)</f>
        <v>15</v>
      </c>
      <c r="F723" s="19">
        <f>VLOOKUP(C:C,Courts!B:E,4,FALSE)</f>
        <v>0</v>
      </c>
      <c r="G723" s="19">
        <f>VLOOKUP(C:C,Courts!B:D,3,FALSE)</f>
        <v>2</v>
      </c>
      <c r="H723" s="19">
        <f>VLOOKUP(C:C,Courts!B:F,5,FALSE)</f>
        <v>17</v>
      </c>
      <c r="I723" s="18" t="s">
        <v>241</v>
      </c>
      <c r="J723" s="19">
        <f>VLOOKUP(C:C,TooliD!B:K,7,FALSE)</f>
        <v>17</v>
      </c>
      <c r="K723" s="19">
        <f>VLOOKUP(C:C,TooliD!B:J,9,FALSE)</f>
        <v>12</v>
      </c>
      <c r="L723" s="19">
        <f t="shared" ref="L723:L727" si="140">K723-J723</f>
        <v>-5</v>
      </c>
      <c r="M723" s="19" t="str">
        <f t="shared" si="131"/>
        <v>Shortfall</v>
      </c>
      <c r="N723" s="18"/>
    </row>
    <row r="724" spans="1:14" x14ac:dyDescent="0.25">
      <c r="A724" s="18" t="s">
        <v>158</v>
      </c>
      <c r="B724" s="18" t="s">
        <v>146</v>
      </c>
      <c r="C724" s="18" t="s">
        <v>146</v>
      </c>
      <c r="D724" s="18" t="s">
        <v>237</v>
      </c>
      <c r="E724" s="19">
        <f>VLOOKUP(C:C,Courts!B:C,2,FALSE)</f>
        <v>15</v>
      </c>
      <c r="F724" s="19">
        <f>VLOOKUP(C:C,Courts!B:E,4,FALSE)</f>
        <v>0</v>
      </c>
      <c r="G724" s="19">
        <f>VLOOKUP(C:C,Courts!B:D,3,FALSE)</f>
        <v>2</v>
      </c>
      <c r="H724" s="19">
        <f>VLOOKUP(C:C,Courts!B:F,5,FALSE)</f>
        <v>17</v>
      </c>
      <c r="I724" s="18" t="s">
        <v>9</v>
      </c>
      <c r="J724" s="19">
        <f>VLOOKUP(C:C,TooliD!B:N,13,FALSE)</f>
        <v>17</v>
      </c>
      <c r="K724" s="18">
        <f>VLOOKUP(C:C,TooliD!B:M,12,FALSE)</f>
        <v>15</v>
      </c>
      <c r="L724" s="19">
        <f t="shared" si="140"/>
        <v>-2</v>
      </c>
      <c r="M724" s="19" t="str">
        <f t="shared" si="131"/>
        <v>Shortfall</v>
      </c>
      <c r="N724" s="18"/>
    </row>
    <row r="725" spans="1:14" x14ac:dyDescent="0.25">
      <c r="A725" s="18" t="s">
        <v>158</v>
      </c>
      <c r="B725" s="18" t="s">
        <v>146</v>
      </c>
      <c r="C725" s="18" t="s">
        <v>146</v>
      </c>
      <c r="D725" s="18" t="s">
        <v>237</v>
      </c>
      <c r="E725" s="19">
        <f>VLOOKUP(C:C,Courts!B:C,2,FALSE)</f>
        <v>15</v>
      </c>
      <c r="F725" s="19">
        <f>VLOOKUP(C:C,Courts!B:E,4,FALSE)</f>
        <v>0</v>
      </c>
      <c r="G725" s="19">
        <f>VLOOKUP(C:C,Courts!B:D,3,FALSE)</f>
        <v>2</v>
      </c>
      <c r="H725" s="19">
        <f>VLOOKUP(C:C,Courts!B:F,5,FALSE)</f>
        <v>17</v>
      </c>
      <c r="I725" s="18" t="s">
        <v>239</v>
      </c>
      <c r="J725" s="19">
        <f>VLOOKUP(C:C,TooliD!B:Q,16,FALSE)</f>
        <v>34</v>
      </c>
      <c r="K725" s="18">
        <f>VLOOKUP(C:C,TooliD!B:P,15,FALSE)</f>
        <v>28</v>
      </c>
      <c r="L725" s="19">
        <f t="shared" si="140"/>
        <v>-6</v>
      </c>
      <c r="M725" s="19" t="str">
        <f t="shared" si="131"/>
        <v>Shortfall</v>
      </c>
      <c r="N725" s="18"/>
    </row>
    <row r="726" spans="1:14" x14ac:dyDescent="0.25">
      <c r="A726" s="18" t="s">
        <v>158</v>
      </c>
      <c r="B726" s="18" t="s">
        <v>146</v>
      </c>
      <c r="C726" s="18" t="s">
        <v>146</v>
      </c>
      <c r="D726" s="18" t="s">
        <v>237</v>
      </c>
      <c r="E726" s="19">
        <f>VLOOKUP(C:C,Courts!B:C,2,FALSE)</f>
        <v>15</v>
      </c>
      <c r="F726" s="19">
        <f>VLOOKUP(C:C,Courts!B:E,4,FALSE)</f>
        <v>0</v>
      </c>
      <c r="G726" s="19">
        <f>VLOOKUP(C:C,Courts!B:D,3,FALSE)</f>
        <v>2</v>
      </c>
      <c r="H726" s="19">
        <f>VLOOKUP(C:C,Courts!B:F,5,FALSE)</f>
        <v>17</v>
      </c>
      <c r="I726" s="18" t="s">
        <v>11</v>
      </c>
      <c r="J726" s="19">
        <f>VLOOKUP(C:C,TooliD!B:T,19,FALSE)</f>
        <v>136</v>
      </c>
      <c r="K726" s="18">
        <f>VLOOKUP(C:C,TooliD!B:S,18,FALSE)</f>
        <v>96</v>
      </c>
      <c r="L726" s="19">
        <f t="shared" si="140"/>
        <v>-40</v>
      </c>
      <c r="M726" s="19" t="str">
        <f t="shared" si="131"/>
        <v>Shortfall</v>
      </c>
      <c r="N726" s="18"/>
    </row>
    <row r="727" spans="1:14" x14ac:dyDescent="0.25">
      <c r="A727" s="18" t="s">
        <v>158</v>
      </c>
      <c r="B727" s="18" t="s">
        <v>146</v>
      </c>
      <c r="C727" s="18" t="s">
        <v>146</v>
      </c>
      <c r="D727" s="18" t="s">
        <v>237</v>
      </c>
      <c r="E727" s="19">
        <f>VLOOKUP(C:C,Courts!B:C,2,FALSE)</f>
        <v>15</v>
      </c>
      <c r="F727" s="19">
        <f>VLOOKUP(C:C,Courts!B:E,4,FALSE)</f>
        <v>0</v>
      </c>
      <c r="G727" s="19">
        <f>VLOOKUP(C:C,Courts!B:D,3,FALSE)</f>
        <v>2</v>
      </c>
      <c r="H727" s="19">
        <f>VLOOKUP(C:C,Courts!B:F,5,FALSE)</f>
        <v>17</v>
      </c>
      <c r="I727" s="18" t="s">
        <v>212</v>
      </c>
      <c r="J727" s="19">
        <f>VLOOKUP(C:C,TooliD!B:W,22,FALSE)</f>
        <v>17</v>
      </c>
      <c r="K727" s="18">
        <f>VLOOKUP(C:C,TooliD!B:V,21,FALSE)</f>
        <v>14</v>
      </c>
      <c r="L727" s="19">
        <f t="shared" si="140"/>
        <v>-3</v>
      </c>
      <c r="M727" s="19" t="str">
        <f t="shared" si="131"/>
        <v>Shortfall</v>
      </c>
      <c r="N727" s="18"/>
    </row>
    <row r="728" spans="1:14" x14ac:dyDescent="0.25">
      <c r="A728" s="18" t="s">
        <v>158</v>
      </c>
      <c r="B728" s="18" t="s">
        <v>146</v>
      </c>
      <c r="C728" s="18" t="s">
        <v>147</v>
      </c>
      <c r="D728" s="18" t="s">
        <v>238</v>
      </c>
      <c r="E728" s="19">
        <f>VLOOKUP(C:C,Courts!B:C,2,FALSE)</f>
        <v>2</v>
      </c>
      <c r="F728" s="19">
        <f>VLOOKUP(C:C,Courts!B:E,4,FALSE)</f>
        <v>1</v>
      </c>
      <c r="G728" s="19">
        <f>VLOOKUP(C:C,Courts!B:D,3,FALSE)</f>
        <v>1</v>
      </c>
      <c r="H728" s="19">
        <f>VLOOKUP(C:C,Courts!B:F,5,FALSE)</f>
        <v>4</v>
      </c>
      <c r="I728" s="18" t="s">
        <v>7</v>
      </c>
      <c r="J728" s="19">
        <f>VLOOKUP(C:C,TooliD!B:H,7,FALSE)</f>
        <v>4</v>
      </c>
      <c r="K728" s="19">
        <f>VLOOKUP(C:C,TooliD!B:G,6,FALSE)</f>
        <v>4</v>
      </c>
      <c r="L728" s="19">
        <f>K728-J728</f>
        <v>0</v>
      </c>
      <c r="M728" s="19" t="str">
        <f>IF(L728=0,"OK", IF(L728&gt;0,"Surplus","Shortfall"))</f>
        <v>OK</v>
      </c>
      <c r="N728" s="18"/>
    </row>
    <row r="729" spans="1:14" x14ac:dyDescent="0.25">
      <c r="A729" s="18" t="s">
        <v>158</v>
      </c>
      <c r="B729" s="18" t="s">
        <v>146</v>
      </c>
      <c r="C729" s="18" t="s">
        <v>147</v>
      </c>
      <c r="D729" s="18" t="s">
        <v>238</v>
      </c>
      <c r="E729" s="19">
        <f>VLOOKUP(C:C,Courts!B:C,2,FALSE)</f>
        <v>2</v>
      </c>
      <c r="F729" s="19">
        <f>VLOOKUP(C:C,Courts!B:E,4,FALSE)</f>
        <v>1</v>
      </c>
      <c r="G729" s="19">
        <f>VLOOKUP(C:C,Courts!B:D,3,FALSE)</f>
        <v>1</v>
      </c>
      <c r="H729" s="19">
        <f>VLOOKUP(C:C,Courts!B:F,5,FALSE)</f>
        <v>4</v>
      </c>
      <c r="I729" s="18" t="s">
        <v>241</v>
      </c>
      <c r="J729" s="19">
        <f>VLOOKUP(C:C,TooliD!B:K,7,FALSE)</f>
        <v>4</v>
      </c>
      <c r="K729" s="19">
        <f>VLOOKUP(C:C,TooliD!B:J,9,FALSE)</f>
        <v>4</v>
      </c>
      <c r="L729" s="19">
        <f t="shared" ref="L729:L733" si="141">K729-J729</f>
        <v>0</v>
      </c>
      <c r="M729" s="19" t="str">
        <f t="shared" si="131"/>
        <v>OK</v>
      </c>
      <c r="N729" s="18"/>
    </row>
    <row r="730" spans="1:14" x14ac:dyDescent="0.25">
      <c r="A730" s="18" t="s">
        <v>158</v>
      </c>
      <c r="B730" s="18" t="s">
        <v>146</v>
      </c>
      <c r="C730" s="18" t="s">
        <v>147</v>
      </c>
      <c r="D730" s="18" t="s">
        <v>238</v>
      </c>
      <c r="E730" s="19">
        <f>VLOOKUP(C:C,Courts!B:C,2,FALSE)</f>
        <v>2</v>
      </c>
      <c r="F730" s="19">
        <f>VLOOKUP(C:C,Courts!B:E,4,FALSE)</f>
        <v>1</v>
      </c>
      <c r="G730" s="19">
        <f>VLOOKUP(C:C,Courts!B:D,3,FALSE)</f>
        <v>1</v>
      </c>
      <c r="H730" s="19">
        <f>VLOOKUP(C:C,Courts!B:F,5,FALSE)</f>
        <v>4</v>
      </c>
      <c r="I730" s="18" t="s">
        <v>9</v>
      </c>
      <c r="J730" s="19">
        <f>VLOOKUP(C:C,TooliD!B:N,13,FALSE)</f>
        <v>4</v>
      </c>
      <c r="K730" s="18">
        <f>VLOOKUP(C:C,TooliD!B:M,12,FALSE)</f>
        <v>3</v>
      </c>
      <c r="L730" s="19">
        <f t="shared" si="141"/>
        <v>-1</v>
      </c>
      <c r="M730" s="19" t="str">
        <f t="shared" si="131"/>
        <v>Shortfall</v>
      </c>
      <c r="N730" s="18"/>
    </row>
    <row r="731" spans="1:14" x14ac:dyDescent="0.25">
      <c r="A731" s="18" t="s">
        <v>158</v>
      </c>
      <c r="B731" s="18" t="s">
        <v>146</v>
      </c>
      <c r="C731" s="18" t="s">
        <v>147</v>
      </c>
      <c r="D731" s="18" t="s">
        <v>238</v>
      </c>
      <c r="E731" s="19">
        <f>VLOOKUP(C:C,Courts!B:C,2,FALSE)</f>
        <v>2</v>
      </c>
      <c r="F731" s="19">
        <f>VLOOKUP(C:C,Courts!B:E,4,FALSE)</f>
        <v>1</v>
      </c>
      <c r="G731" s="19">
        <f>VLOOKUP(C:C,Courts!B:D,3,FALSE)</f>
        <v>1</v>
      </c>
      <c r="H731" s="19">
        <f>VLOOKUP(C:C,Courts!B:F,5,FALSE)</f>
        <v>4</v>
      </c>
      <c r="I731" s="18" t="s">
        <v>239</v>
      </c>
      <c r="J731" s="19">
        <f>VLOOKUP(C:C,TooliD!B:Q,16,FALSE)</f>
        <v>6</v>
      </c>
      <c r="K731" s="18">
        <f>VLOOKUP(C:C,TooliD!B:P,15,FALSE)</f>
        <v>8</v>
      </c>
      <c r="L731" s="19">
        <f t="shared" si="141"/>
        <v>2</v>
      </c>
      <c r="M731" s="19" t="str">
        <f t="shared" si="131"/>
        <v>Surplus</v>
      </c>
      <c r="N731" s="18"/>
    </row>
    <row r="732" spans="1:14" x14ac:dyDescent="0.25">
      <c r="A732" s="18" t="s">
        <v>158</v>
      </c>
      <c r="B732" s="18" t="s">
        <v>146</v>
      </c>
      <c r="C732" s="18" t="s">
        <v>147</v>
      </c>
      <c r="D732" s="18" t="s">
        <v>238</v>
      </c>
      <c r="E732" s="19">
        <f>VLOOKUP(C:C,Courts!B:C,2,FALSE)</f>
        <v>2</v>
      </c>
      <c r="F732" s="19">
        <f>VLOOKUP(C:C,Courts!B:E,4,FALSE)</f>
        <v>1</v>
      </c>
      <c r="G732" s="19">
        <f>VLOOKUP(C:C,Courts!B:D,3,FALSE)</f>
        <v>1</v>
      </c>
      <c r="H732" s="19">
        <f>VLOOKUP(C:C,Courts!B:F,5,FALSE)</f>
        <v>4</v>
      </c>
      <c r="I732" s="18" t="s">
        <v>11</v>
      </c>
      <c r="J732" s="19">
        <f>VLOOKUP(C:C,TooliD!B:T,19,FALSE)</f>
        <v>28</v>
      </c>
      <c r="K732" s="18">
        <f>VLOOKUP(C:C,TooliD!B:S,18,FALSE)</f>
        <v>28</v>
      </c>
      <c r="L732" s="19">
        <f t="shared" si="141"/>
        <v>0</v>
      </c>
      <c r="M732" s="19" t="str">
        <f t="shared" si="131"/>
        <v>OK</v>
      </c>
      <c r="N732" s="18"/>
    </row>
    <row r="733" spans="1:14" x14ac:dyDescent="0.25">
      <c r="A733" s="18" t="s">
        <v>158</v>
      </c>
      <c r="B733" s="18" t="s">
        <v>146</v>
      </c>
      <c r="C733" s="18" t="s">
        <v>147</v>
      </c>
      <c r="D733" s="18" t="s">
        <v>238</v>
      </c>
      <c r="E733" s="19">
        <f>VLOOKUP(C:C,Courts!B:C,2,FALSE)</f>
        <v>2</v>
      </c>
      <c r="F733" s="19">
        <f>VLOOKUP(C:C,Courts!B:E,4,FALSE)</f>
        <v>1</v>
      </c>
      <c r="G733" s="19">
        <f>VLOOKUP(C:C,Courts!B:D,3,FALSE)</f>
        <v>1</v>
      </c>
      <c r="H733" s="19">
        <f>VLOOKUP(C:C,Courts!B:F,5,FALSE)</f>
        <v>4</v>
      </c>
      <c r="I733" s="18" t="s">
        <v>212</v>
      </c>
      <c r="J733" s="19">
        <f>VLOOKUP(C:C,TooliD!B:W,22,FALSE)</f>
        <v>4</v>
      </c>
      <c r="K733" s="18">
        <f>VLOOKUP(C:C,TooliD!B:V,21,FALSE)</f>
        <v>3</v>
      </c>
      <c r="L733" s="19">
        <f t="shared" si="141"/>
        <v>-1</v>
      </c>
      <c r="M733" s="19" t="str">
        <f t="shared" ref="M733" si="142">IF(L733=0,"OK", IF(L733&gt;0,"Surplus","Shortfall"))</f>
        <v>Shortfall</v>
      </c>
      <c r="N733" s="18"/>
    </row>
    <row r="734" spans="1:14" x14ac:dyDescent="0.25">
      <c r="A734" s="18" t="s">
        <v>158</v>
      </c>
      <c r="B734" s="18" t="s">
        <v>146</v>
      </c>
      <c r="C734" s="18" t="s">
        <v>148</v>
      </c>
      <c r="D734" s="18" t="s">
        <v>238</v>
      </c>
      <c r="E734" s="19">
        <f>VLOOKUP(C:C,Courts!B:C,2,FALSE)</f>
        <v>2</v>
      </c>
      <c r="F734" s="19">
        <f>VLOOKUP(C:C,Courts!B:E,4,FALSE)</f>
        <v>1</v>
      </c>
      <c r="G734" s="19">
        <f>VLOOKUP(C:C,Courts!B:D,3,FALSE)</f>
        <v>0</v>
      </c>
      <c r="H734" s="19">
        <f>VLOOKUP(C:C,Courts!B:F,5,FALSE)</f>
        <v>3</v>
      </c>
      <c r="I734" s="18" t="s">
        <v>7</v>
      </c>
      <c r="J734" s="19">
        <f>VLOOKUP(C:C,TooliD!B:H,7,FALSE)</f>
        <v>3</v>
      </c>
      <c r="K734" s="19">
        <f>VLOOKUP(C:C,TooliD!B:G,6,FALSE)</f>
        <v>3</v>
      </c>
      <c r="L734" s="19">
        <f>K734-J734</f>
        <v>0</v>
      </c>
      <c r="M734" s="19" t="str">
        <f>IF(L734=0,"OK", IF(L734&gt;0,"Surplus","Shortfall"))</f>
        <v>OK</v>
      </c>
      <c r="N734" s="18"/>
    </row>
    <row r="735" spans="1:14" x14ac:dyDescent="0.25">
      <c r="A735" s="18" t="s">
        <v>158</v>
      </c>
      <c r="B735" s="18" t="s">
        <v>146</v>
      </c>
      <c r="C735" s="18" t="s">
        <v>148</v>
      </c>
      <c r="D735" s="18" t="s">
        <v>238</v>
      </c>
      <c r="E735" s="19">
        <f>VLOOKUP(C:C,Courts!B:C,2,FALSE)</f>
        <v>2</v>
      </c>
      <c r="F735" s="19">
        <f>VLOOKUP(C:C,Courts!B:E,4,FALSE)</f>
        <v>1</v>
      </c>
      <c r="G735" s="19">
        <f>VLOOKUP(C:C,Courts!B:D,3,FALSE)</f>
        <v>0</v>
      </c>
      <c r="H735" s="19">
        <f>VLOOKUP(C:C,Courts!B:F,5,FALSE)</f>
        <v>3</v>
      </c>
      <c r="I735" s="18" t="s">
        <v>241</v>
      </c>
      <c r="J735" s="19">
        <f>VLOOKUP(C:C,TooliD!B:K,7,FALSE)</f>
        <v>3</v>
      </c>
      <c r="K735" s="19">
        <f>VLOOKUP(C:C,TooliD!B:J,9,FALSE)</f>
        <v>3</v>
      </c>
      <c r="L735" s="19">
        <f t="shared" ref="L735:L739" si="143">K735-J735</f>
        <v>0</v>
      </c>
      <c r="M735" s="19" t="str">
        <f t="shared" ref="M735:M781" si="144">IF(L735=0,"OK", IF(L735&gt;0,"Surplus","Shortfall"))</f>
        <v>OK</v>
      </c>
      <c r="N735" s="18"/>
    </row>
    <row r="736" spans="1:14" x14ac:dyDescent="0.25">
      <c r="A736" s="18" t="s">
        <v>158</v>
      </c>
      <c r="B736" s="18" t="s">
        <v>146</v>
      </c>
      <c r="C736" s="18" t="s">
        <v>148</v>
      </c>
      <c r="D736" s="18" t="s">
        <v>238</v>
      </c>
      <c r="E736" s="19">
        <f>VLOOKUP(C:C,Courts!B:C,2,FALSE)</f>
        <v>2</v>
      </c>
      <c r="F736" s="19">
        <f>VLOOKUP(C:C,Courts!B:E,4,FALSE)</f>
        <v>1</v>
      </c>
      <c r="G736" s="19">
        <f>VLOOKUP(C:C,Courts!B:D,3,FALSE)</f>
        <v>0</v>
      </c>
      <c r="H736" s="19">
        <f>VLOOKUP(C:C,Courts!B:F,5,FALSE)</f>
        <v>3</v>
      </c>
      <c r="I736" s="18" t="s">
        <v>9</v>
      </c>
      <c r="J736" s="19">
        <f>VLOOKUP(C:C,TooliD!B:N,13,FALSE)</f>
        <v>3</v>
      </c>
      <c r="K736" s="18">
        <f>VLOOKUP(C:C,TooliD!B:M,12,FALSE)</f>
        <v>3</v>
      </c>
      <c r="L736" s="19">
        <f t="shared" si="143"/>
        <v>0</v>
      </c>
      <c r="M736" s="19" t="str">
        <f t="shared" si="144"/>
        <v>OK</v>
      </c>
      <c r="N736" s="18"/>
    </row>
    <row r="737" spans="1:14" x14ac:dyDescent="0.25">
      <c r="A737" s="18" t="s">
        <v>158</v>
      </c>
      <c r="B737" s="18" t="s">
        <v>146</v>
      </c>
      <c r="C737" s="18" t="s">
        <v>148</v>
      </c>
      <c r="D737" s="18" t="s">
        <v>238</v>
      </c>
      <c r="E737" s="19">
        <f>VLOOKUP(C:C,Courts!B:C,2,FALSE)</f>
        <v>2</v>
      </c>
      <c r="F737" s="19">
        <f>VLOOKUP(C:C,Courts!B:E,4,FALSE)</f>
        <v>1</v>
      </c>
      <c r="G737" s="19">
        <f>VLOOKUP(C:C,Courts!B:D,3,FALSE)</f>
        <v>0</v>
      </c>
      <c r="H737" s="19">
        <f>VLOOKUP(C:C,Courts!B:F,5,FALSE)</f>
        <v>3</v>
      </c>
      <c r="I737" s="18" t="s">
        <v>239</v>
      </c>
      <c r="J737" s="19">
        <f>VLOOKUP(C:C,TooliD!B:Q,16,FALSE)</f>
        <v>4</v>
      </c>
      <c r="K737" s="18">
        <f>VLOOKUP(C:C,TooliD!B:P,15,FALSE)</f>
        <v>7</v>
      </c>
      <c r="L737" s="19">
        <f t="shared" si="143"/>
        <v>3</v>
      </c>
      <c r="M737" s="19" t="str">
        <f t="shared" si="144"/>
        <v>Surplus</v>
      </c>
      <c r="N737" s="18"/>
    </row>
    <row r="738" spans="1:14" x14ac:dyDescent="0.25">
      <c r="A738" s="18" t="s">
        <v>158</v>
      </c>
      <c r="B738" s="18" t="s">
        <v>146</v>
      </c>
      <c r="C738" s="18" t="s">
        <v>148</v>
      </c>
      <c r="D738" s="18" t="s">
        <v>238</v>
      </c>
      <c r="E738" s="19">
        <f>VLOOKUP(C:C,Courts!B:C,2,FALSE)</f>
        <v>2</v>
      </c>
      <c r="F738" s="19">
        <f>VLOOKUP(C:C,Courts!B:E,4,FALSE)</f>
        <v>1</v>
      </c>
      <c r="G738" s="19">
        <f>VLOOKUP(C:C,Courts!B:D,3,FALSE)</f>
        <v>0</v>
      </c>
      <c r="H738" s="19">
        <f>VLOOKUP(C:C,Courts!B:F,5,FALSE)</f>
        <v>3</v>
      </c>
      <c r="I738" s="18" t="s">
        <v>11</v>
      </c>
      <c r="J738" s="19">
        <f>VLOOKUP(C:C,TooliD!B:T,19,FALSE)</f>
        <v>20</v>
      </c>
      <c r="K738" s="18">
        <f>VLOOKUP(C:C,TooliD!B:S,18,FALSE)</f>
        <v>23</v>
      </c>
      <c r="L738" s="19">
        <f t="shared" si="143"/>
        <v>3</v>
      </c>
      <c r="M738" s="19" t="str">
        <f t="shared" si="144"/>
        <v>Surplus</v>
      </c>
      <c r="N738" s="18"/>
    </row>
    <row r="739" spans="1:14" x14ac:dyDescent="0.25">
      <c r="A739" s="18" t="s">
        <v>158</v>
      </c>
      <c r="B739" s="18" t="s">
        <v>146</v>
      </c>
      <c r="C739" s="18" t="s">
        <v>148</v>
      </c>
      <c r="D739" s="18" t="s">
        <v>238</v>
      </c>
      <c r="E739" s="19">
        <f>VLOOKUP(C:C,Courts!B:C,2,FALSE)</f>
        <v>2</v>
      </c>
      <c r="F739" s="19">
        <f>VLOOKUP(C:C,Courts!B:E,4,FALSE)</f>
        <v>1</v>
      </c>
      <c r="G739" s="19">
        <f>VLOOKUP(C:C,Courts!B:D,3,FALSE)</f>
        <v>0</v>
      </c>
      <c r="H739" s="19">
        <f>VLOOKUP(C:C,Courts!B:F,5,FALSE)</f>
        <v>3</v>
      </c>
      <c r="I739" s="18" t="s">
        <v>212</v>
      </c>
      <c r="J739" s="19">
        <f>VLOOKUP(C:C,TooliD!B:W,22,FALSE)</f>
        <v>3</v>
      </c>
      <c r="K739" s="18">
        <f>VLOOKUP(C:C,TooliD!B:V,21,FALSE)</f>
        <v>3</v>
      </c>
      <c r="L739" s="19">
        <f t="shared" si="143"/>
        <v>0</v>
      </c>
      <c r="M739" s="19" t="str">
        <f t="shared" si="144"/>
        <v>OK</v>
      </c>
      <c r="N739" s="18"/>
    </row>
    <row r="740" spans="1:14" x14ac:dyDescent="0.25">
      <c r="A740" s="18" t="s">
        <v>158</v>
      </c>
      <c r="B740" s="18" t="s">
        <v>146</v>
      </c>
      <c r="C740" s="18" t="s">
        <v>149</v>
      </c>
      <c r="D740" s="18" t="s">
        <v>242</v>
      </c>
      <c r="E740" s="19">
        <f>VLOOKUP(C:C,Courts!B:C,2,FALSE)</f>
        <v>0</v>
      </c>
      <c r="F740" s="19">
        <f>VLOOKUP(C:C,Courts!B:E,4,FALSE)</f>
        <v>1</v>
      </c>
      <c r="G740" s="19">
        <f>VLOOKUP(C:C,Courts!B:D,3,FALSE)</f>
        <v>0</v>
      </c>
      <c r="H740" s="19">
        <f>VLOOKUP(C:C,Courts!B:F,5,FALSE)</f>
        <v>1</v>
      </c>
      <c r="I740" s="18" t="s">
        <v>7</v>
      </c>
      <c r="J740" s="19">
        <f>VLOOKUP(C:C,TooliD!B:H,7,FALSE)</f>
        <v>1</v>
      </c>
      <c r="K740" s="19">
        <f>VLOOKUP(C:C,TooliD!B:G,6,FALSE)</f>
        <v>1</v>
      </c>
      <c r="L740" s="19">
        <f>K740-J740</f>
        <v>0</v>
      </c>
      <c r="M740" s="19" t="str">
        <f>IF(L740=0,"OK", IF(L740&gt;0,"Surplus","Shortfall"))</f>
        <v>OK</v>
      </c>
      <c r="N740" s="18"/>
    </row>
    <row r="741" spans="1:14" x14ac:dyDescent="0.25">
      <c r="A741" s="18" t="s">
        <v>158</v>
      </c>
      <c r="B741" s="18" t="s">
        <v>146</v>
      </c>
      <c r="C741" s="18" t="s">
        <v>149</v>
      </c>
      <c r="D741" s="18" t="s">
        <v>242</v>
      </c>
      <c r="E741" s="19">
        <f>VLOOKUP(C:C,Courts!B:C,2,FALSE)</f>
        <v>0</v>
      </c>
      <c r="F741" s="19">
        <f>VLOOKUP(C:C,Courts!B:E,4,FALSE)</f>
        <v>1</v>
      </c>
      <c r="G741" s="19">
        <f>VLOOKUP(C:C,Courts!B:D,3,FALSE)</f>
        <v>0</v>
      </c>
      <c r="H741" s="19">
        <f>VLOOKUP(C:C,Courts!B:F,5,FALSE)</f>
        <v>1</v>
      </c>
      <c r="I741" s="18" t="s">
        <v>241</v>
      </c>
      <c r="J741" s="19">
        <f>VLOOKUP(C:C,TooliD!B:K,7,FALSE)</f>
        <v>1</v>
      </c>
      <c r="K741" s="19">
        <f>VLOOKUP(C:C,TooliD!B:J,9,FALSE)</f>
        <v>1</v>
      </c>
      <c r="L741" s="19">
        <f t="shared" ref="L741:L745" si="145">K741-J741</f>
        <v>0</v>
      </c>
      <c r="M741" s="19" t="str">
        <f t="shared" si="144"/>
        <v>OK</v>
      </c>
      <c r="N741" s="18"/>
    </row>
    <row r="742" spans="1:14" x14ac:dyDescent="0.25">
      <c r="A742" s="18" t="s">
        <v>158</v>
      </c>
      <c r="B742" s="18" t="s">
        <v>146</v>
      </c>
      <c r="C742" s="18" t="s">
        <v>149</v>
      </c>
      <c r="D742" s="18" t="s">
        <v>242</v>
      </c>
      <c r="E742" s="19">
        <f>VLOOKUP(C:C,Courts!B:C,2,FALSE)</f>
        <v>0</v>
      </c>
      <c r="F742" s="19">
        <f>VLOOKUP(C:C,Courts!B:E,4,FALSE)</f>
        <v>1</v>
      </c>
      <c r="G742" s="19">
        <f>VLOOKUP(C:C,Courts!B:D,3,FALSE)</f>
        <v>0</v>
      </c>
      <c r="H742" s="19">
        <f>VLOOKUP(C:C,Courts!B:F,5,FALSE)</f>
        <v>1</v>
      </c>
      <c r="I742" s="18" t="s">
        <v>9</v>
      </c>
      <c r="J742" s="19">
        <f>VLOOKUP(C:C,TooliD!B:N,13,FALSE)</f>
        <v>1</v>
      </c>
      <c r="K742" s="18">
        <f>VLOOKUP(C:C,TooliD!B:M,12,FALSE)</f>
        <v>1</v>
      </c>
      <c r="L742" s="19">
        <f t="shared" si="145"/>
        <v>0</v>
      </c>
      <c r="M742" s="19" t="str">
        <f t="shared" si="144"/>
        <v>OK</v>
      </c>
      <c r="N742" s="18"/>
    </row>
    <row r="743" spans="1:14" x14ac:dyDescent="0.25">
      <c r="A743" s="18" t="s">
        <v>158</v>
      </c>
      <c r="B743" s="18" t="s">
        <v>146</v>
      </c>
      <c r="C743" s="18" t="s">
        <v>149</v>
      </c>
      <c r="D743" s="18" t="s">
        <v>242</v>
      </c>
      <c r="E743" s="19">
        <f>VLOOKUP(C:C,Courts!B:C,2,FALSE)</f>
        <v>0</v>
      </c>
      <c r="F743" s="19">
        <f>VLOOKUP(C:C,Courts!B:E,4,FALSE)</f>
        <v>1</v>
      </c>
      <c r="G743" s="19">
        <f>VLOOKUP(C:C,Courts!B:D,3,FALSE)</f>
        <v>0</v>
      </c>
      <c r="H743" s="19">
        <f>VLOOKUP(C:C,Courts!B:F,5,FALSE)</f>
        <v>1</v>
      </c>
      <c r="I743" s="18" t="s">
        <v>239</v>
      </c>
      <c r="J743" s="19">
        <f>VLOOKUP(C:C,TooliD!B:Q,16,FALSE)</f>
        <v>0</v>
      </c>
      <c r="K743" s="18">
        <f>VLOOKUP(C:C,TooliD!B:P,15,FALSE)</f>
        <v>0</v>
      </c>
      <c r="L743" s="19">
        <f t="shared" si="145"/>
        <v>0</v>
      </c>
      <c r="M743" s="19" t="str">
        <f t="shared" si="144"/>
        <v>OK</v>
      </c>
      <c r="N743" s="18"/>
    </row>
    <row r="744" spans="1:14" x14ac:dyDescent="0.25">
      <c r="A744" s="18" t="s">
        <v>158</v>
      </c>
      <c r="B744" s="18" t="s">
        <v>146</v>
      </c>
      <c r="C744" s="18" t="s">
        <v>149</v>
      </c>
      <c r="D744" s="18" t="s">
        <v>242</v>
      </c>
      <c r="E744" s="19">
        <f>VLOOKUP(C:C,Courts!B:C,2,FALSE)</f>
        <v>0</v>
      </c>
      <c r="F744" s="19">
        <f>VLOOKUP(C:C,Courts!B:E,4,FALSE)</f>
        <v>1</v>
      </c>
      <c r="G744" s="19">
        <f>VLOOKUP(C:C,Courts!B:D,3,FALSE)</f>
        <v>0</v>
      </c>
      <c r="H744" s="19">
        <f>VLOOKUP(C:C,Courts!B:F,5,FALSE)</f>
        <v>1</v>
      </c>
      <c r="I744" s="18" t="s">
        <v>11</v>
      </c>
      <c r="J744" s="19">
        <f>VLOOKUP(C:C,TooliD!B:T,19,FALSE)</f>
        <v>4</v>
      </c>
      <c r="K744" s="18">
        <f>VLOOKUP(C:C,TooliD!B:S,18,FALSE)</f>
        <v>4</v>
      </c>
      <c r="L744" s="19">
        <f t="shared" si="145"/>
        <v>0</v>
      </c>
      <c r="M744" s="19" t="str">
        <f t="shared" si="144"/>
        <v>OK</v>
      </c>
      <c r="N744" s="18"/>
    </row>
    <row r="745" spans="1:14" x14ac:dyDescent="0.25">
      <c r="A745" s="18" t="s">
        <v>158</v>
      </c>
      <c r="B745" s="18" t="s">
        <v>146</v>
      </c>
      <c r="C745" s="18" t="s">
        <v>149</v>
      </c>
      <c r="D745" s="18" t="s">
        <v>242</v>
      </c>
      <c r="E745" s="19">
        <f>VLOOKUP(C:C,Courts!B:C,2,FALSE)</f>
        <v>0</v>
      </c>
      <c r="F745" s="19">
        <f>VLOOKUP(C:C,Courts!B:E,4,FALSE)</f>
        <v>1</v>
      </c>
      <c r="G745" s="19">
        <f>VLOOKUP(C:C,Courts!B:D,3,FALSE)</f>
        <v>0</v>
      </c>
      <c r="H745" s="19">
        <f>VLOOKUP(C:C,Courts!B:F,5,FALSE)</f>
        <v>1</v>
      </c>
      <c r="I745" s="18" t="s">
        <v>212</v>
      </c>
      <c r="J745" s="19">
        <f>VLOOKUP(C:C,TooliD!B:W,22,FALSE)</f>
        <v>1</v>
      </c>
      <c r="K745" s="18">
        <f>VLOOKUP(C:C,TooliD!B:V,21,FALSE)</f>
        <v>1</v>
      </c>
      <c r="L745" s="19">
        <f t="shared" si="145"/>
        <v>0</v>
      </c>
      <c r="M745" s="19" t="str">
        <f t="shared" si="144"/>
        <v>OK</v>
      </c>
      <c r="N745" s="18"/>
    </row>
    <row r="746" spans="1:14" x14ac:dyDescent="0.25">
      <c r="A746" s="18" t="s">
        <v>158</v>
      </c>
      <c r="B746" s="18" t="s">
        <v>150</v>
      </c>
      <c r="C746" s="18" t="s">
        <v>150</v>
      </c>
      <c r="D746" s="18" t="s">
        <v>237</v>
      </c>
      <c r="E746" s="19">
        <f>VLOOKUP(C:C,Courts!B:C,2,FALSE)</f>
        <v>18</v>
      </c>
      <c r="F746" s="19">
        <f>VLOOKUP(C:C,Courts!B:E,4,FALSE)</f>
        <v>0</v>
      </c>
      <c r="G746" s="19">
        <f>VLOOKUP(C:C,Courts!B:D,3,FALSE)</f>
        <v>3</v>
      </c>
      <c r="H746" s="19">
        <f>VLOOKUP(C:C,Courts!B:F,5,FALSE)</f>
        <v>21</v>
      </c>
      <c r="I746" s="18" t="s">
        <v>7</v>
      </c>
      <c r="J746" s="19">
        <f>VLOOKUP(C:C,TooliD!B:H,7,FALSE)</f>
        <v>21</v>
      </c>
      <c r="K746" s="19">
        <f>VLOOKUP(C:C,TooliD!B:G,6,FALSE)</f>
        <v>23</v>
      </c>
      <c r="L746" s="19">
        <f>K746-J746</f>
        <v>2</v>
      </c>
      <c r="M746" s="19" t="str">
        <f>IF(L746=0,"OK", IF(L746&gt;0,"Surplus","Shortfall"))</f>
        <v>Surplus</v>
      </c>
      <c r="N746" s="18"/>
    </row>
    <row r="747" spans="1:14" x14ac:dyDescent="0.25">
      <c r="A747" s="18" t="s">
        <v>158</v>
      </c>
      <c r="B747" s="18" t="s">
        <v>150</v>
      </c>
      <c r="C747" s="18" t="s">
        <v>150</v>
      </c>
      <c r="D747" s="18" t="s">
        <v>237</v>
      </c>
      <c r="E747" s="19">
        <f>VLOOKUP(C:C,Courts!B:C,2,FALSE)</f>
        <v>18</v>
      </c>
      <c r="F747" s="19">
        <f>VLOOKUP(C:C,Courts!B:E,4,FALSE)</f>
        <v>0</v>
      </c>
      <c r="G747" s="19">
        <f>VLOOKUP(C:C,Courts!B:D,3,FALSE)</f>
        <v>3</v>
      </c>
      <c r="H747" s="19">
        <f>VLOOKUP(C:C,Courts!B:F,5,FALSE)</f>
        <v>21</v>
      </c>
      <c r="I747" s="18" t="s">
        <v>241</v>
      </c>
      <c r="J747" s="19">
        <f>VLOOKUP(C:C,TooliD!B:K,7,FALSE)</f>
        <v>21</v>
      </c>
      <c r="K747" s="19">
        <f>VLOOKUP(C:C,TooliD!B:J,9,FALSE)</f>
        <v>19</v>
      </c>
      <c r="L747" s="19">
        <f t="shared" ref="L747:L751" si="146">K747-J747</f>
        <v>-2</v>
      </c>
      <c r="M747" s="19" t="str">
        <f t="shared" si="144"/>
        <v>Shortfall</v>
      </c>
      <c r="N747" s="18"/>
    </row>
    <row r="748" spans="1:14" x14ac:dyDescent="0.25">
      <c r="A748" s="18" t="s">
        <v>158</v>
      </c>
      <c r="B748" s="18" t="s">
        <v>150</v>
      </c>
      <c r="C748" s="18" t="s">
        <v>150</v>
      </c>
      <c r="D748" s="18" t="s">
        <v>237</v>
      </c>
      <c r="E748" s="19">
        <f>VLOOKUP(C:C,Courts!B:C,2,FALSE)</f>
        <v>18</v>
      </c>
      <c r="F748" s="19">
        <f>VLOOKUP(C:C,Courts!B:E,4,FALSE)</f>
        <v>0</v>
      </c>
      <c r="G748" s="19">
        <f>VLOOKUP(C:C,Courts!B:D,3,FALSE)</f>
        <v>3</v>
      </c>
      <c r="H748" s="19">
        <f>VLOOKUP(C:C,Courts!B:F,5,FALSE)</f>
        <v>21</v>
      </c>
      <c r="I748" s="18" t="s">
        <v>9</v>
      </c>
      <c r="J748" s="19">
        <f>VLOOKUP(C:C,TooliD!B:N,13,FALSE)</f>
        <v>21</v>
      </c>
      <c r="K748" s="18">
        <f>VLOOKUP(C:C,TooliD!B:M,12,FALSE)</f>
        <v>19</v>
      </c>
      <c r="L748" s="19">
        <f t="shared" si="146"/>
        <v>-2</v>
      </c>
      <c r="M748" s="19" t="str">
        <f t="shared" si="144"/>
        <v>Shortfall</v>
      </c>
      <c r="N748" s="18"/>
    </row>
    <row r="749" spans="1:14" x14ac:dyDescent="0.25">
      <c r="A749" s="18" t="s">
        <v>158</v>
      </c>
      <c r="B749" s="18" t="s">
        <v>150</v>
      </c>
      <c r="C749" s="18" t="s">
        <v>150</v>
      </c>
      <c r="D749" s="18" t="s">
        <v>237</v>
      </c>
      <c r="E749" s="19">
        <f>VLOOKUP(C:C,Courts!B:C,2,FALSE)</f>
        <v>18</v>
      </c>
      <c r="F749" s="19">
        <f>VLOOKUP(C:C,Courts!B:E,4,FALSE)</f>
        <v>0</v>
      </c>
      <c r="G749" s="19">
        <f>VLOOKUP(C:C,Courts!B:D,3,FALSE)</f>
        <v>3</v>
      </c>
      <c r="H749" s="19">
        <f>VLOOKUP(C:C,Courts!B:F,5,FALSE)</f>
        <v>21</v>
      </c>
      <c r="I749" s="18" t="s">
        <v>239</v>
      </c>
      <c r="J749" s="19">
        <f>VLOOKUP(C:C,TooliD!B:Q,16,FALSE)</f>
        <v>42</v>
      </c>
      <c r="K749" s="18">
        <f>VLOOKUP(C:C,TooliD!B:P,15,FALSE)</f>
        <v>38</v>
      </c>
      <c r="L749" s="19">
        <f t="shared" si="146"/>
        <v>-4</v>
      </c>
      <c r="M749" s="19" t="str">
        <f t="shared" si="144"/>
        <v>Shortfall</v>
      </c>
      <c r="N749" s="18"/>
    </row>
    <row r="750" spans="1:14" x14ac:dyDescent="0.25">
      <c r="A750" s="18" t="s">
        <v>158</v>
      </c>
      <c r="B750" s="18" t="s">
        <v>150</v>
      </c>
      <c r="C750" s="18" t="s">
        <v>150</v>
      </c>
      <c r="D750" s="18" t="s">
        <v>237</v>
      </c>
      <c r="E750" s="19">
        <f>VLOOKUP(C:C,Courts!B:C,2,FALSE)</f>
        <v>18</v>
      </c>
      <c r="F750" s="19">
        <f>VLOOKUP(C:C,Courts!B:E,4,FALSE)</f>
        <v>0</v>
      </c>
      <c r="G750" s="19">
        <f>VLOOKUP(C:C,Courts!B:D,3,FALSE)</f>
        <v>3</v>
      </c>
      <c r="H750" s="19">
        <f>VLOOKUP(C:C,Courts!B:F,5,FALSE)</f>
        <v>21</v>
      </c>
      <c r="I750" s="18" t="s">
        <v>11</v>
      </c>
      <c r="J750" s="19">
        <f>VLOOKUP(C:C,TooliD!B:T,19,FALSE)</f>
        <v>168</v>
      </c>
      <c r="K750" s="18">
        <f>VLOOKUP(C:C,TooliD!B:S,18,FALSE)</f>
        <v>168</v>
      </c>
      <c r="L750" s="19">
        <f t="shared" si="146"/>
        <v>0</v>
      </c>
      <c r="M750" s="19" t="str">
        <f t="shared" si="144"/>
        <v>OK</v>
      </c>
      <c r="N750" s="18"/>
    </row>
    <row r="751" spans="1:14" x14ac:dyDescent="0.25">
      <c r="A751" s="18" t="s">
        <v>158</v>
      </c>
      <c r="B751" s="18" t="s">
        <v>150</v>
      </c>
      <c r="C751" s="18" t="s">
        <v>150</v>
      </c>
      <c r="D751" s="18" t="s">
        <v>237</v>
      </c>
      <c r="E751" s="19">
        <f>VLOOKUP(C:C,Courts!B:C,2,FALSE)</f>
        <v>18</v>
      </c>
      <c r="F751" s="19">
        <f>VLOOKUP(C:C,Courts!B:E,4,FALSE)</f>
        <v>0</v>
      </c>
      <c r="G751" s="19">
        <f>VLOOKUP(C:C,Courts!B:D,3,FALSE)</f>
        <v>3</v>
      </c>
      <c r="H751" s="19">
        <f>VLOOKUP(C:C,Courts!B:F,5,FALSE)</f>
        <v>21</v>
      </c>
      <c r="I751" s="18" t="s">
        <v>212</v>
      </c>
      <c r="J751" s="19">
        <f>VLOOKUP(C:C,TooliD!B:W,22,FALSE)</f>
        <v>21</v>
      </c>
      <c r="K751" s="18">
        <f>VLOOKUP(C:C,TooliD!B:V,21,FALSE)</f>
        <v>23</v>
      </c>
      <c r="L751" s="19">
        <f t="shared" si="146"/>
        <v>2</v>
      </c>
      <c r="M751" s="19" t="str">
        <f t="shared" si="144"/>
        <v>Surplus</v>
      </c>
      <c r="N751" s="18"/>
    </row>
    <row r="752" spans="1:14" x14ac:dyDescent="0.25">
      <c r="A752" s="18" t="s">
        <v>158</v>
      </c>
      <c r="B752" s="18" t="s">
        <v>150</v>
      </c>
      <c r="C752" s="18" t="s">
        <v>151</v>
      </c>
      <c r="D752" s="18" t="s">
        <v>238</v>
      </c>
      <c r="E752" s="19">
        <f>VLOOKUP(C:C,Courts!B:C,2,FALSE)</f>
        <v>2</v>
      </c>
      <c r="F752" s="19">
        <f>VLOOKUP(C:C,Courts!B:E,4,FALSE)</f>
        <v>1</v>
      </c>
      <c r="G752" s="19">
        <f>VLOOKUP(C:C,Courts!B:D,3,FALSE)</f>
        <v>0</v>
      </c>
      <c r="H752" s="19">
        <f>VLOOKUP(C:C,Courts!B:F,5,FALSE)</f>
        <v>3</v>
      </c>
      <c r="I752" s="18" t="s">
        <v>7</v>
      </c>
      <c r="J752" s="19">
        <f>VLOOKUP(C:C,TooliD!B:H,7,FALSE)</f>
        <v>3</v>
      </c>
      <c r="K752" s="19">
        <f>VLOOKUP(C:C,TooliD!B:G,6,FALSE)</f>
        <v>3</v>
      </c>
      <c r="L752" s="19">
        <f>K752-J752</f>
        <v>0</v>
      </c>
      <c r="M752" s="19" t="str">
        <f>IF(L752=0,"OK", IF(L752&gt;0,"Surplus","Shortfall"))</f>
        <v>OK</v>
      </c>
      <c r="N752" s="18"/>
    </row>
    <row r="753" spans="1:14" x14ac:dyDescent="0.25">
      <c r="A753" s="18" t="s">
        <v>158</v>
      </c>
      <c r="B753" s="18" t="s">
        <v>150</v>
      </c>
      <c r="C753" s="18" t="s">
        <v>151</v>
      </c>
      <c r="D753" s="18" t="s">
        <v>238</v>
      </c>
      <c r="E753" s="19">
        <f>VLOOKUP(C:C,Courts!B:C,2,FALSE)</f>
        <v>2</v>
      </c>
      <c r="F753" s="19">
        <f>VLOOKUP(C:C,Courts!B:E,4,FALSE)</f>
        <v>1</v>
      </c>
      <c r="G753" s="19">
        <f>VLOOKUP(C:C,Courts!B:D,3,FALSE)</f>
        <v>0</v>
      </c>
      <c r="H753" s="19">
        <f>VLOOKUP(C:C,Courts!B:F,5,FALSE)</f>
        <v>3</v>
      </c>
      <c r="I753" s="18" t="s">
        <v>241</v>
      </c>
      <c r="J753" s="19">
        <f>VLOOKUP(C:C,TooliD!B:K,7,FALSE)</f>
        <v>3</v>
      </c>
      <c r="K753" s="19">
        <f>VLOOKUP(C:C,TooliD!B:J,9,FALSE)</f>
        <v>2</v>
      </c>
      <c r="L753" s="19">
        <f t="shared" ref="L753:L757" si="147">K753-J753</f>
        <v>-1</v>
      </c>
      <c r="M753" s="19" t="str">
        <f t="shared" si="144"/>
        <v>Shortfall</v>
      </c>
      <c r="N753" s="18"/>
    </row>
    <row r="754" spans="1:14" x14ac:dyDescent="0.25">
      <c r="A754" s="18" t="s">
        <v>158</v>
      </c>
      <c r="B754" s="18" t="s">
        <v>150</v>
      </c>
      <c r="C754" s="18" t="s">
        <v>151</v>
      </c>
      <c r="D754" s="18" t="s">
        <v>238</v>
      </c>
      <c r="E754" s="19">
        <f>VLOOKUP(C:C,Courts!B:C,2,FALSE)</f>
        <v>2</v>
      </c>
      <c r="F754" s="19">
        <f>VLOOKUP(C:C,Courts!B:E,4,FALSE)</f>
        <v>1</v>
      </c>
      <c r="G754" s="19">
        <f>VLOOKUP(C:C,Courts!B:D,3,FALSE)</f>
        <v>0</v>
      </c>
      <c r="H754" s="19">
        <f>VLOOKUP(C:C,Courts!B:F,5,FALSE)</f>
        <v>3</v>
      </c>
      <c r="I754" s="18" t="s">
        <v>9</v>
      </c>
      <c r="J754" s="19">
        <f>VLOOKUP(C:C,TooliD!B:N,13,FALSE)</f>
        <v>3</v>
      </c>
      <c r="K754" s="18">
        <f>VLOOKUP(C:C,TooliD!B:M,12,FALSE)</f>
        <v>3</v>
      </c>
      <c r="L754" s="19">
        <f t="shared" si="147"/>
        <v>0</v>
      </c>
      <c r="M754" s="19" t="str">
        <f t="shared" si="144"/>
        <v>OK</v>
      </c>
      <c r="N754" s="18"/>
    </row>
    <row r="755" spans="1:14" x14ac:dyDescent="0.25">
      <c r="A755" s="18" t="s">
        <v>158</v>
      </c>
      <c r="B755" s="18" t="s">
        <v>150</v>
      </c>
      <c r="C755" s="18" t="s">
        <v>151</v>
      </c>
      <c r="D755" s="18" t="s">
        <v>238</v>
      </c>
      <c r="E755" s="19">
        <f>VLOOKUP(C:C,Courts!B:C,2,FALSE)</f>
        <v>2</v>
      </c>
      <c r="F755" s="19">
        <f>VLOOKUP(C:C,Courts!B:E,4,FALSE)</f>
        <v>1</v>
      </c>
      <c r="G755" s="19">
        <f>VLOOKUP(C:C,Courts!B:D,3,FALSE)</f>
        <v>0</v>
      </c>
      <c r="H755" s="19">
        <f>VLOOKUP(C:C,Courts!B:F,5,FALSE)</f>
        <v>3</v>
      </c>
      <c r="I755" s="18" t="s">
        <v>239</v>
      </c>
      <c r="J755" s="19">
        <f>VLOOKUP(C:C,TooliD!B:Q,16,FALSE)</f>
        <v>4</v>
      </c>
      <c r="K755" s="18">
        <f>VLOOKUP(C:C,TooliD!B:P,15,FALSE)</f>
        <v>4</v>
      </c>
      <c r="L755" s="19">
        <f t="shared" si="147"/>
        <v>0</v>
      </c>
      <c r="M755" s="19" t="str">
        <f t="shared" si="144"/>
        <v>OK</v>
      </c>
      <c r="N755" s="18"/>
    </row>
    <row r="756" spans="1:14" x14ac:dyDescent="0.25">
      <c r="A756" s="18" t="s">
        <v>158</v>
      </c>
      <c r="B756" s="18" t="s">
        <v>150</v>
      </c>
      <c r="C756" s="18" t="s">
        <v>151</v>
      </c>
      <c r="D756" s="18" t="s">
        <v>238</v>
      </c>
      <c r="E756" s="19">
        <f>VLOOKUP(C:C,Courts!B:C,2,FALSE)</f>
        <v>2</v>
      </c>
      <c r="F756" s="19">
        <f>VLOOKUP(C:C,Courts!B:E,4,FALSE)</f>
        <v>1</v>
      </c>
      <c r="G756" s="19">
        <f>VLOOKUP(C:C,Courts!B:D,3,FALSE)</f>
        <v>0</v>
      </c>
      <c r="H756" s="19">
        <f>VLOOKUP(C:C,Courts!B:F,5,FALSE)</f>
        <v>3</v>
      </c>
      <c r="I756" s="18" t="s">
        <v>11</v>
      </c>
      <c r="J756" s="19">
        <f>VLOOKUP(C:C,TooliD!B:T,19,FALSE)</f>
        <v>20</v>
      </c>
      <c r="K756" s="18">
        <f>VLOOKUP(C:C,TooliD!B:S,18,FALSE)</f>
        <v>20</v>
      </c>
      <c r="L756" s="19">
        <f t="shared" si="147"/>
        <v>0</v>
      </c>
      <c r="M756" s="19" t="str">
        <f t="shared" si="144"/>
        <v>OK</v>
      </c>
      <c r="N756" s="18"/>
    </row>
    <row r="757" spans="1:14" x14ac:dyDescent="0.25">
      <c r="A757" s="18" t="s">
        <v>158</v>
      </c>
      <c r="B757" s="18" t="s">
        <v>150</v>
      </c>
      <c r="C757" s="18" t="s">
        <v>151</v>
      </c>
      <c r="D757" s="18" t="s">
        <v>238</v>
      </c>
      <c r="E757" s="19">
        <f>VLOOKUP(C:C,Courts!B:C,2,FALSE)</f>
        <v>2</v>
      </c>
      <c r="F757" s="19">
        <f>VLOOKUP(C:C,Courts!B:E,4,FALSE)</f>
        <v>1</v>
      </c>
      <c r="G757" s="19">
        <f>VLOOKUP(C:C,Courts!B:D,3,FALSE)</f>
        <v>0</v>
      </c>
      <c r="H757" s="19">
        <f>VLOOKUP(C:C,Courts!B:F,5,FALSE)</f>
        <v>3</v>
      </c>
      <c r="I757" s="18" t="s">
        <v>212</v>
      </c>
      <c r="J757" s="19">
        <f>VLOOKUP(C:C,TooliD!B:W,22,FALSE)</f>
        <v>3</v>
      </c>
      <c r="K757" s="18">
        <f>VLOOKUP(C:C,TooliD!B:V,21,FALSE)</f>
        <v>3</v>
      </c>
      <c r="L757" s="19">
        <f t="shared" si="147"/>
        <v>0</v>
      </c>
      <c r="M757" s="19" t="str">
        <f t="shared" si="144"/>
        <v>OK</v>
      </c>
      <c r="N757" s="18"/>
    </row>
    <row r="758" spans="1:14" x14ac:dyDescent="0.25">
      <c r="A758" s="18" t="s">
        <v>158</v>
      </c>
      <c r="B758" s="18" t="s">
        <v>150</v>
      </c>
      <c r="C758" s="18" t="s">
        <v>152</v>
      </c>
      <c r="D758" s="18" t="s">
        <v>238</v>
      </c>
      <c r="E758" s="19">
        <f>VLOOKUP(C:C,Courts!B:C,2,FALSE)</f>
        <v>3</v>
      </c>
      <c r="F758" s="19">
        <f>VLOOKUP(C:C,Courts!B:E,4,FALSE)</f>
        <v>1</v>
      </c>
      <c r="G758" s="19">
        <f>VLOOKUP(C:C,Courts!B:D,3,FALSE)</f>
        <v>1</v>
      </c>
      <c r="H758" s="19">
        <f>VLOOKUP(C:C,Courts!B:F,5,FALSE)</f>
        <v>5</v>
      </c>
      <c r="I758" s="18" t="s">
        <v>7</v>
      </c>
      <c r="J758" s="19">
        <f>VLOOKUP(C:C,TooliD!B:H,7,FALSE)</f>
        <v>5</v>
      </c>
      <c r="K758" s="19">
        <f>VLOOKUP(C:C,TooliD!B:G,6,FALSE)</f>
        <v>4</v>
      </c>
      <c r="L758" s="19">
        <f>K758-J758</f>
        <v>-1</v>
      </c>
      <c r="M758" s="19" t="str">
        <f>IF(L758=0,"OK", IF(L758&gt;0,"Surplus","Shortfall"))</f>
        <v>Shortfall</v>
      </c>
      <c r="N758" s="18"/>
    </row>
    <row r="759" spans="1:14" x14ac:dyDescent="0.25">
      <c r="A759" s="18" t="s">
        <v>158</v>
      </c>
      <c r="B759" s="18" t="s">
        <v>150</v>
      </c>
      <c r="C759" s="18" t="s">
        <v>152</v>
      </c>
      <c r="D759" s="18" t="s">
        <v>238</v>
      </c>
      <c r="E759" s="19">
        <f>VLOOKUP(C:C,Courts!B:C,2,FALSE)</f>
        <v>3</v>
      </c>
      <c r="F759" s="19">
        <f>VLOOKUP(C:C,Courts!B:E,4,FALSE)</f>
        <v>1</v>
      </c>
      <c r="G759" s="19">
        <f>VLOOKUP(C:C,Courts!B:D,3,FALSE)</f>
        <v>1</v>
      </c>
      <c r="H759" s="19">
        <f>VLOOKUP(C:C,Courts!B:F,5,FALSE)</f>
        <v>5</v>
      </c>
      <c r="I759" s="18" t="s">
        <v>241</v>
      </c>
      <c r="J759" s="19">
        <f>VLOOKUP(C:C,TooliD!B:K,7,FALSE)</f>
        <v>5</v>
      </c>
      <c r="K759" s="19">
        <f>VLOOKUP(C:C,TooliD!B:J,9,FALSE)</f>
        <v>3</v>
      </c>
      <c r="L759" s="19">
        <f t="shared" ref="L759:L763" si="148">K759-J759</f>
        <v>-2</v>
      </c>
      <c r="M759" s="19" t="str">
        <f t="shared" si="144"/>
        <v>Shortfall</v>
      </c>
      <c r="N759" s="18"/>
    </row>
    <row r="760" spans="1:14" x14ac:dyDescent="0.25">
      <c r="A760" s="18" t="s">
        <v>158</v>
      </c>
      <c r="B760" s="18" t="s">
        <v>150</v>
      </c>
      <c r="C760" s="18" t="s">
        <v>152</v>
      </c>
      <c r="D760" s="18" t="s">
        <v>238</v>
      </c>
      <c r="E760" s="19">
        <f>VLOOKUP(C:C,Courts!B:C,2,FALSE)</f>
        <v>3</v>
      </c>
      <c r="F760" s="19">
        <f>VLOOKUP(C:C,Courts!B:E,4,FALSE)</f>
        <v>1</v>
      </c>
      <c r="G760" s="19">
        <f>VLOOKUP(C:C,Courts!B:D,3,FALSE)</f>
        <v>1</v>
      </c>
      <c r="H760" s="19">
        <f>VLOOKUP(C:C,Courts!B:F,5,FALSE)</f>
        <v>5</v>
      </c>
      <c r="I760" s="18" t="s">
        <v>9</v>
      </c>
      <c r="J760" s="19">
        <f>VLOOKUP(C:C,TooliD!B:N,13,FALSE)</f>
        <v>5</v>
      </c>
      <c r="K760" s="18">
        <f>VLOOKUP(C:C,TooliD!B:M,12,FALSE)</f>
        <v>4</v>
      </c>
      <c r="L760" s="19">
        <f t="shared" si="148"/>
        <v>-1</v>
      </c>
      <c r="M760" s="19" t="str">
        <f t="shared" si="144"/>
        <v>Shortfall</v>
      </c>
      <c r="N760" s="18"/>
    </row>
    <row r="761" spans="1:14" x14ac:dyDescent="0.25">
      <c r="A761" s="18" t="s">
        <v>158</v>
      </c>
      <c r="B761" s="18" t="s">
        <v>150</v>
      </c>
      <c r="C761" s="18" t="s">
        <v>152</v>
      </c>
      <c r="D761" s="18" t="s">
        <v>238</v>
      </c>
      <c r="E761" s="19">
        <f>VLOOKUP(C:C,Courts!B:C,2,FALSE)</f>
        <v>3</v>
      </c>
      <c r="F761" s="19">
        <f>VLOOKUP(C:C,Courts!B:E,4,FALSE)</f>
        <v>1</v>
      </c>
      <c r="G761" s="19">
        <f>VLOOKUP(C:C,Courts!B:D,3,FALSE)</f>
        <v>1</v>
      </c>
      <c r="H761" s="19">
        <f>VLOOKUP(C:C,Courts!B:F,5,FALSE)</f>
        <v>5</v>
      </c>
      <c r="I761" s="18" t="s">
        <v>239</v>
      </c>
      <c r="J761" s="19">
        <f>VLOOKUP(C:C,TooliD!B:Q,16,FALSE)</f>
        <v>8</v>
      </c>
      <c r="K761" s="18">
        <f>VLOOKUP(C:C,TooliD!B:P,15,FALSE)</f>
        <v>6</v>
      </c>
      <c r="L761" s="19">
        <f t="shared" si="148"/>
        <v>-2</v>
      </c>
      <c r="M761" s="19" t="str">
        <f t="shared" si="144"/>
        <v>Shortfall</v>
      </c>
      <c r="N761" s="18"/>
    </row>
    <row r="762" spans="1:14" x14ac:dyDescent="0.25">
      <c r="A762" s="18" t="s">
        <v>158</v>
      </c>
      <c r="B762" s="18" t="s">
        <v>150</v>
      </c>
      <c r="C762" s="18" t="s">
        <v>152</v>
      </c>
      <c r="D762" s="18" t="s">
        <v>238</v>
      </c>
      <c r="E762" s="19">
        <f>VLOOKUP(C:C,Courts!B:C,2,FALSE)</f>
        <v>3</v>
      </c>
      <c r="F762" s="19">
        <f>VLOOKUP(C:C,Courts!B:E,4,FALSE)</f>
        <v>1</v>
      </c>
      <c r="G762" s="19">
        <f>VLOOKUP(C:C,Courts!B:D,3,FALSE)</f>
        <v>1</v>
      </c>
      <c r="H762" s="19">
        <f>VLOOKUP(C:C,Courts!B:F,5,FALSE)</f>
        <v>5</v>
      </c>
      <c r="I762" s="18" t="s">
        <v>11</v>
      </c>
      <c r="J762" s="19">
        <f>VLOOKUP(C:C,TooliD!B:T,19,FALSE)</f>
        <v>36</v>
      </c>
      <c r="K762" s="18">
        <f>VLOOKUP(C:C,TooliD!B:S,18,FALSE)</f>
        <v>28</v>
      </c>
      <c r="L762" s="19">
        <f t="shared" si="148"/>
        <v>-8</v>
      </c>
      <c r="M762" s="19" t="str">
        <f t="shared" si="144"/>
        <v>Shortfall</v>
      </c>
      <c r="N762" s="18"/>
    </row>
    <row r="763" spans="1:14" x14ac:dyDescent="0.25">
      <c r="A763" s="18" t="s">
        <v>158</v>
      </c>
      <c r="B763" s="18" t="s">
        <v>150</v>
      </c>
      <c r="C763" s="18" t="s">
        <v>152</v>
      </c>
      <c r="D763" s="18" t="s">
        <v>238</v>
      </c>
      <c r="E763" s="19">
        <f>VLOOKUP(C:C,Courts!B:C,2,FALSE)</f>
        <v>3</v>
      </c>
      <c r="F763" s="19">
        <f>VLOOKUP(C:C,Courts!B:E,4,FALSE)</f>
        <v>1</v>
      </c>
      <c r="G763" s="19">
        <f>VLOOKUP(C:C,Courts!B:D,3,FALSE)</f>
        <v>1</v>
      </c>
      <c r="H763" s="19">
        <f>VLOOKUP(C:C,Courts!B:F,5,FALSE)</f>
        <v>5</v>
      </c>
      <c r="I763" s="18" t="s">
        <v>212</v>
      </c>
      <c r="J763" s="19">
        <f>VLOOKUP(C:C,TooliD!B:W,22,FALSE)</f>
        <v>5</v>
      </c>
      <c r="K763" s="18">
        <f>VLOOKUP(C:C,TooliD!B:V,21,FALSE)</f>
        <v>4</v>
      </c>
      <c r="L763" s="19">
        <f t="shared" si="148"/>
        <v>-1</v>
      </c>
      <c r="M763" s="19" t="str">
        <f t="shared" si="144"/>
        <v>Shortfall</v>
      </c>
      <c r="N763" s="18"/>
    </row>
    <row r="764" spans="1:14" x14ac:dyDescent="0.25">
      <c r="A764" s="18" t="s">
        <v>158</v>
      </c>
      <c r="B764" s="18" t="s">
        <v>150</v>
      </c>
      <c r="C764" s="18" t="s">
        <v>153</v>
      </c>
      <c r="D764" s="18" t="s">
        <v>238</v>
      </c>
      <c r="E764" s="19">
        <f>VLOOKUP(C:C,Courts!B:C,2,FALSE)</f>
        <v>2</v>
      </c>
      <c r="F764" s="19">
        <f>VLOOKUP(C:C,Courts!B:E,4,FALSE)</f>
        <v>1</v>
      </c>
      <c r="G764" s="19">
        <f>VLOOKUP(C:C,Courts!B:D,3,FALSE)</f>
        <v>0</v>
      </c>
      <c r="H764" s="19">
        <f>VLOOKUP(C:C,Courts!B:F,5,FALSE)</f>
        <v>3</v>
      </c>
      <c r="I764" s="18" t="s">
        <v>7</v>
      </c>
      <c r="J764" s="19">
        <f>VLOOKUP(C:C,TooliD!B:H,7,FALSE)</f>
        <v>3</v>
      </c>
      <c r="K764" s="19">
        <f>VLOOKUP(C:C,TooliD!B:G,6,FALSE)</f>
        <v>3</v>
      </c>
      <c r="L764" s="19">
        <f>K764-J764</f>
        <v>0</v>
      </c>
      <c r="M764" s="19" t="str">
        <f>IF(L764=0,"OK", IF(L764&gt;0,"Surplus","Shortfall"))</f>
        <v>OK</v>
      </c>
      <c r="N764" s="18"/>
    </row>
    <row r="765" spans="1:14" x14ac:dyDescent="0.25">
      <c r="A765" s="18" t="s">
        <v>158</v>
      </c>
      <c r="B765" s="18" t="s">
        <v>150</v>
      </c>
      <c r="C765" s="18" t="s">
        <v>153</v>
      </c>
      <c r="D765" s="18" t="s">
        <v>238</v>
      </c>
      <c r="E765" s="19">
        <f>VLOOKUP(C:C,Courts!B:C,2,FALSE)</f>
        <v>2</v>
      </c>
      <c r="F765" s="19">
        <f>VLOOKUP(C:C,Courts!B:E,4,FALSE)</f>
        <v>1</v>
      </c>
      <c r="G765" s="19">
        <f>VLOOKUP(C:C,Courts!B:D,3,FALSE)</f>
        <v>0</v>
      </c>
      <c r="H765" s="19">
        <f>VLOOKUP(C:C,Courts!B:F,5,FALSE)</f>
        <v>3</v>
      </c>
      <c r="I765" s="18" t="s">
        <v>241</v>
      </c>
      <c r="J765" s="19">
        <f>VLOOKUP(C:C,TooliD!B:K,7,FALSE)</f>
        <v>3</v>
      </c>
      <c r="K765" s="19">
        <f>VLOOKUP(C:C,TooliD!B:J,9,FALSE)</f>
        <v>2</v>
      </c>
      <c r="L765" s="19">
        <f t="shared" ref="L765:L769" si="149">K765-J765</f>
        <v>-1</v>
      </c>
      <c r="M765" s="19" t="str">
        <f t="shared" si="144"/>
        <v>Shortfall</v>
      </c>
      <c r="N765" s="18"/>
    </row>
    <row r="766" spans="1:14" x14ac:dyDescent="0.25">
      <c r="A766" s="18" t="s">
        <v>158</v>
      </c>
      <c r="B766" s="18" t="s">
        <v>150</v>
      </c>
      <c r="C766" s="18" t="s">
        <v>153</v>
      </c>
      <c r="D766" s="18" t="s">
        <v>238</v>
      </c>
      <c r="E766" s="19">
        <f>VLOOKUP(C:C,Courts!B:C,2,FALSE)</f>
        <v>2</v>
      </c>
      <c r="F766" s="19">
        <f>VLOOKUP(C:C,Courts!B:E,4,FALSE)</f>
        <v>1</v>
      </c>
      <c r="G766" s="19">
        <f>VLOOKUP(C:C,Courts!B:D,3,FALSE)</f>
        <v>0</v>
      </c>
      <c r="H766" s="19">
        <f>VLOOKUP(C:C,Courts!B:F,5,FALSE)</f>
        <v>3</v>
      </c>
      <c r="I766" s="18" t="s">
        <v>9</v>
      </c>
      <c r="J766" s="19">
        <f>VLOOKUP(C:C,TooliD!B:N,13,FALSE)</f>
        <v>3</v>
      </c>
      <c r="K766" s="18">
        <f>VLOOKUP(C:C,TooliD!B:M,12,FALSE)</f>
        <v>3</v>
      </c>
      <c r="L766" s="19">
        <f t="shared" si="149"/>
        <v>0</v>
      </c>
      <c r="M766" s="19" t="str">
        <f t="shared" si="144"/>
        <v>OK</v>
      </c>
      <c r="N766" s="18"/>
    </row>
    <row r="767" spans="1:14" x14ac:dyDescent="0.25">
      <c r="A767" s="18" t="s">
        <v>158</v>
      </c>
      <c r="B767" s="18" t="s">
        <v>150</v>
      </c>
      <c r="C767" s="18" t="s">
        <v>153</v>
      </c>
      <c r="D767" s="18" t="s">
        <v>238</v>
      </c>
      <c r="E767" s="19">
        <f>VLOOKUP(C:C,Courts!B:C,2,FALSE)</f>
        <v>2</v>
      </c>
      <c r="F767" s="19">
        <f>VLOOKUP(C:C,Courts!B:E,4,FALSE)</f>
        <v>1</v>
      </c>
      <c r="G767" s="19">
        <f>VLOOKUP(C:C,Courts!B:D,3,FALSE)</f>
        <v>0</v>
      </c>
      <c r="H767" s="19">
        <f>VLOOKUP(C:C,Courts!B:F,5,FALSE)</f>
        <v>3</v>
      </c>
      <c r="I767" s="18" t="s">
        <v>239</v>
      </c>
      <c r="J767" s="19">
        <f>VLOOKUP(C:C,TooliD!B:Q,16,FALSE)</f>
        <v>4</v>
      </c>
      <c r="K767" s="18">
        <f>VLOOKUP(C:C,TooliD!B:P,15,FALSE)</f>
        <v>4</v>
      </c>
      <c r="L767" s="19">
        <f t="shared" si="149"/>
        <v>0</v>
      </c>
      <c r="M767" s="19" t="str">
        <f t="shared" si="144"/>
        <v>OK</v>
      </c>
      <c r="N767" s="18"/>
    </row>
    <row r="768" spans="1:14" x14ac:dyDescent="0.25">
      <c r="A768" s="18" t="s">
        <v>158</v>
      </c>
      <c r="B768" s="18" t="s">
        <v>150</v>
      </c>
      <c r="C768" s="18" t="s">
        <v>153</v>
      </c>
      <c r="D768" s="18" t="s">
        <v>238</v>
      </c>
      <c r="E768" s="19">
        <f>VLOOKUP(C:C,Courts!B:C,2,FALSE)</f>
        <v>2</v>
      </c>
      <c r="F768" s="19">
        <f>VLOOKUP(C:C,Courts!B:E,4,FALSE)</f>
        <v>1</v>
      </c>
      <c r="G768" s="19">
        <f>VLOOKUP(C:C,Courts!B:D,3,FALSE)</f>
        <v>0</v>
      </c>
      <c r="H768" s="19">
        <f>VLOOKUP(C:C,Courts!B:F,5,FALSE)</f>
        <v>3</v>
      </c>
      <c r="I768" s="18" t="s">
        <v>11</v>
      </c>
      <c r="J768" s="19">
        <f>VLOOKUP(C:C,TooliD!B:T,19,FALSE)</f>
        <v>20</v>
      </c>
      <c r="K768" s="18">
        <f>VLOOKUP(C:C,TooliD!B:S,18,FALSE)</f>
        <v>25</v>
      </c>
      <c r="L768" s="19">
        <f t="shared" si="149"/>
        <v>5</v>
      </c>
      <c r="M768" s="19" t="str">
        <f t="shared" si="144"/>
        <v>Surplus</v>
      </c>
      <c r="N768" s="18"/>
    </row>
    <row r="769" spans="1:14" x14ac:dyDescent="0.25">
      <c r="A769" s="18" t="s">
        <v>158</v>
      </c>
      <c r="B769" s="18" t="s">
        <v>150</v>
      </c>
      <c r="C769" s="18" t="s">
        <v>153</v>
      </c>
      <c r="D769" s="18" t="s">
        <v>238</v>
      </c>
      <c r="E769" s="19">
        <f>VLOOKUP(C:C,Courts!B:C,2,FALSE)</f>
        <v>2</v>
      </c>
      <c r="F769" s="19">
        <f>VLOOKUP(C:C,Courts!B:E,4,FALSE)</f>
        <v>1</v>
      </c>
      <c r="G769" s="19">
        <f>VLOOKUP(C:C,Courts!B:D,3,FALSE)</f>
        <v>0</v>
      </c>
      <c r="H769" s="19">
        <f>VLOOKUP(C:C,Courts!B:F,5,FALSE)</f>
        <v>3</v>
      </c>
      <c r="I769" s="18" t="s">
        <v>212</v>
      </c>
      <c r="J769" s="19">
        <f>VLOOKUP(C:C,TooliD!B:W,22,FALSE)</f>
        <v>3</v>
      </c>
      <c r="K769" s="18">
        <f>VLOOKUP(C:C,TooliD!B:V,21,FALSE)</f>
        <v>3</v>
      </c>
      <c r="L769" s="19">
        <f t="shared" si="149"/>
        <v>0</v>
      </c>
      <c r="M769" s="19" t="str">
        <f t="shared" si="144"/>
        <v>OK</v>
      </c>
      <c r="N769" s="18"/>
    </row>
    <row r="770" spans="1:14" x14ac:dyDescent="0.25">
      <c r="A770" s="18" t="s">
        <v>158</v>
      </c>
      <c r="B770" s="18" t="s">
        <v>154</v>
      </c>
      <c r="C770" s="18" t="s">
        <v>154</v>
      </c>
      <c r="D770" s="18" t="s">
        <v>237</v>
      </c>
      <c r="E770" s="19">
        <f>VLOOKUP(C:C,Courts!B:C,2,FALSE)</f>
        <v>19</v>
      </c>
      <c r="F770" s="19">
        <f>VLOOKUP(C:C,Courts!B:E,4,FALSE)</f>
        <v>0</v>
      </c>
      <c r="G770" s="19">
        <f>VLOOKUP(C:C,Courts!B:D,3,FALSE)</f>
        <v>3</v>
      </c>
      <c r="H770" s="19">
        <f>VLOOKUP(C:C,Courts!B:F,5,FALSE)</f>
        <v>22</v>
      </c>
      <c r="I770" s="18" t="s">
        <v>7</v>
      </c>
      <c r="J770" s="19">
        <f>VLOOKUP(C:C,TooliD!B:H,7,FALSE)</f>
        <v>22</v>
      </c>
      <c r="K770" s="19">
        <f>VLOOKUP(C:C,TooliD!B:G,6,FALSE)</f>
        <v>26</v>
      </c>
      <c r="L770" s="19">
        <f>K770-J770</f>
        <v>4</v>
      </c>
      <c r="M770" s="19" t="str">
        <f>IF(L770=0,"OK", IF(L770&gt;0,"Surplus","Shortfall"))</f>
        <v>Surplus</v>
      </c>
      <c r="N770" s="18"/>
    </row>
    <row r="771" spans="1:14" x14ac:dyDescent="0.25">
      <c r="A771" s="18" t="s">
        <v>158</v>
      </c>
      <c r="B771" s="18" t="s">
        <v>154</v>
      </c>
      <c r="C771" s="18" t="s">
        <v>154</v>
      </c>
      <c r="D771" s="18" t="s">
        <v>237</v>
      </c>
      <c r="E771" s="19">
        <f>VLOOKUP(C:C,Courts!B:C,2,FALSE)</f>
        <v>19</v>
      </c>
      <c r="F771" s="19">
        <f>VLOOKUP(C:C,Courts!B:E,4,FALSE)</f>
        <v>0</v>
      </c>
      <c r="G771" s="19">
        <f>VLOOKUP(C:C,Courts!B:D,3,FALSE)</f>
        <v>3</v>
      </c>
      <c r="H771" s="19">
        <f>VLOOKUP(C:C,Courts!B:F,5,FALSE)</f>
        <v>22</v>
      </c>
      <c r="I771" s="18" t="s">
        <v>241</v>
      </c>
      <c r="J771" s="19">
        <f>VLOOKUP(C:C,TooliD!B:K,7,FALSE)</f>
        <v>22</v>
      </c>
      <c r="K771" s="19">
        <f>VLOOKUP(C:C,TooliD!B:J,9,FALSE)</f>
        <v>20</v>
      </c>
      <c r="L771" s="19">
        <f t="shared" ref="L771:L775" si="150">K771-J771</f>
        <v>-2</v>
      </c>
      <c r="M771" s="19" t="str">
        <f t="shared" si="144"/>
        <v>Shortfall</v>
      </c>
      <c r="N771" s="18"/>
    </row>
    <row r="772" spans="1:14" x14ac:dyDescent="0.25">
      <c r="A772" s="18" t="s">
        <v>158</v>
      </c>
      <c r="B772" s="18" t="s">
        <v>154</v>
      </c>
      <c r="C772" s="18" t="s">
        <v>154</v>
      </c>
      <c r="D772" s="18" t="s">
        <v>237</v>
      </c>
      <c r="E772" s="19">
        <f>VLOOKUP(C:C,Courts!B:C,2,FALSE)</f>
        <v>19</v>
      </c>
      <c r="F772" s="19">
        <f>VLOOKUP(C:C,Courts!B:E,4,FALSE)</f>
        <v>0</v>
      </c>
      <c r="G772" s="19">
        <f>VLOOKUP(C:C,Courts!B:D,3,FALSE)</f>
        <v>3</v>
      </c>
      <c r="H772" s="19">
        <f>VLOOKUP(C:C,Courts!B:F,5,FALSE)</f>
        <v>22</v>
      </c>
      <c r="I772" s="18" t="s">
        <v>9</v>
      </c>
      <c r="J772" s="19">
        <f>VLOOKUP(C:C,TooliD!B:N,13,FALSE)</f>
        <v>22</v>
      </c>
      <c r="K772" s="18">
        <f>VLOOKUP(C:C,TooliD!B:M,12,FALSE)</f>
        <v>22</v>
      </c>
      <c r="L772" s="19">
        <f t="shared" si="150"/>
        <v>0</v>
      </c>
      <c r="M772" s="19" t="str">
        <f t="shared" si="144"/>
        <v>OK</v>
      </c>
      <c r="N772" s="18"/>
    </row>
    <row r="773" spans="1:14" x14ac:dyDescent="0.25">
      <c r="A773" s="18" t="s">
        <v>158</v>
      </c>
      <c r="B773" s="18" t="s">
        <v>154</v>
      </c>
      <c r="C773" s="18" t="s">
        <v>154</v>
      </c>
      <c r="D773" s="18" t="s">
        <v>237</v>
      </c>
      <c r="E773" s="19">
        <f>VLOOKUP(C:C,Courts!B:C,2,FALSE)</f>
        <v>19</v>
      </c>
      <c r="F773" s="19">
        <f>VLOOKUP(C:C,Courts!B:E,4,FALSE)</f>
        <v>0</v>
      </c>
      <c r="G773" s="19">
        <f>VLOOKUP(C:C,Courts!B:D,3,FALSE)</f>
        <v>3</v>
      </c>
      <c r="H773" s="19">
        <f>VLOOKUP(C:C,Courts!B:F,5,FALSE)</f>
        <v>22</v>
      </c>
      <c r="I773" s="18" t="s">
        <v>239</v>
      </c>
      <c r="J773" s="19">
        <f>VLOOKUP(C:C,TooliD!B:Q,16,FALSE)</f>
        <v>44</v>
      </c>
      <c r="K773" s="18">
        <f>VLOOKUP(C:C,TooliD!B:P,15,FALSE)</f>
        <v>44</v>
      </c>
      <c r="L773" s="19">
        <f t="shared" si="150"/>
        <v>0</v>
      </c>
      <c r="M773" s="19" t="str">
        <f t="shared" si="144"/>
        <v>OK</v>
      </c>
      <c r="N773" s="18"/>
    </row>
    <row r="774" spans="1:14" x14ac:dyDescent="0.25">
      <c r="A774" s="18" t="s">
        <v>158</v>
      </c>
      <c r="B774" s="18" t="s">
        <v>154</v>
      </c>
      <c r="C774" s="18" t="s">
        <v>154</v>
      </c>
      <c r="D774" s="18" t="s">
        <v>237</v>
      </c>
      <c r="E774" s="19">
        <f>VLOOKUP(C:C,Courts!B:C,2,FALSE)</f>
        <v>19</v>
      </c>
      <c r="F774" s="19">
        <f>VLOOKUP(C:C,Courts!B:E,4,FALSE)</f>
        <v>0</v>
      </c>
      <c r="G774" s="19">
        <f>VLOOKUP(C:C,Courts!B:D,3,FALSE)</f>
        <v>3</v>
      </c>
      <c r="H774" s="19">
        <f>VLOOKUP(C:C,Courts!B:F,5,FALSE)</f>
        <v>22</v>
      </c>
      <c r="I774" s="18" t="s">
        <v>11</v>
      </c>
      <c r="J774" s="19">
        <f>VLOOKUP(C:C,TooliD!B:T,19,FALSE)</f>
        <v>176</v>
      </c>
      <c r="K774" s="18">
        <f>VLOOKUP(C:C,TooliD!B:S,18,FALSE)</f>
        <v>184</v>
      </c>
      <c r="L774" s="19">
        <f t="shared" si="150"/>
        <v>8</v>
      </c>
      <c r="M774" s="19" t="str">
        <f t="shared" si="144"/>
        <v>Surplus</v>
      </c>
      <c r="N774" s="18"/>
    </row>
    <row r="775" spans="1:14" x14ac:dyDescent="0.25">
      <c r="A775" s="18" t="s">
        <v>158</v>
      </c>
      <c r="B775" s="18" t="s">
        <v>154</v>
      </c>
      <c r="C775" s="18" t="s">
        <v>154</v>
      </c>
      <c r="D775" s="18" t="s">
        <v>237</v>
      </c>
      <c r="E775" s="19">
        <f>VLOOKUP(C:C,Courts!B:C,2,FALSE)</f>
        <v>19</v>
      </c>
      <c r="F775" s="19">
        <f>VLOOKUP(C:C,Courts!B:E,4,FALSE)</f>
        <v>0</v>
      </c>
      <c r="G775" s="19">
        <f>VLOOKUP(C:C,Courts!B:D,3,FALSE)</f>
        <v>3</v>
      </c>
      <c r="H775" s="19">
        <f>VLOOKUP(C:C,Courts!B:F,5,FALSE)</f>
        <v>22</v>
      </c>
      <c r="I775" s="18" t="s">
        <v>212</v>
      </c>
      <c r="J775" s="19">
        <f>VLOOKUP(C:C,TooliD!B:W,22,FALSE)</f>
        <v>22</v>
      </c>
      <c r="K775" s="18">
        <f>VLOOKUP(C:C,TooliD!B:V,21,FALSE)</f>
        <v>22</v>
      </c>
      <c r="L775" s="19">
        <f t="shared" si="150"/>
        <v>0</v>
      </c>
      <c r="M775" s="19" t="str">
        <f t="shared" si="144"/>
        <v>OK</v>
      </c>
      <c r="N775" s="18"/>
    </row>
    <row r="776" spans="1:14" x14ac:dyDescent="0.25">
      <c r="A776" s="18" t="s">
        <v>158</v>
      </c>
      <c r="B776" s="18" t="s">
        <v>154</v>
      </c>
      <c r="C776" s="18" t="s">
        <v>155</v>
      </c>
      <c r="D776" s="18" t="s">
        <v>238</v>
      </c>
      <c r="E776" s="19">
        <f>VLOOKUP(C:C,Courts!B:C,2,FALSE)</f>
        <v>4</v>
      </c>
      <c r="F776" s="19">
        <f>VLOOKUP(C:C,Courts!B:E,4,FALSE)</f>
        <v>1</v>
      </c>
      <c r="G776" s="19">
        <f>VLOOKUP(C:C,Courts!B:D,3,FALSE)</f>
        <v>2</v>
      </c>
      <c r="H776" s="19">
        <f>VLOOKUP(C:C,Courts!B:F,5,FALSE)</f>
        <v>7</v>
      </c>
      <c r="I776" s="18" t="s">
        <v>7</v>
      </c>
      <c r="J776" s="19">
        <f>VLOOKUP(C:C,TooliD!B:H,7,FALSE)</f>
        <v>7</v>
      </c>
      <c r="K776" s="19">
        <f>VLOOKUP(C:C,TooliD!B:G,6,FALSE)</f>
        <v>4</v>
      </c>
      <c r="L776" s="19">
        <f>K776-J776</f>
        <v>-3</v>
      </c>
      <c r="M776" s="19" t="str">
        <f>IF(L776=0,"OK", IF(L776&gt;0,"Surplus","Shortfall"))</f>
        <v>Shortfall</v>
      </c>
      <c r="N776" s="18"/>
    </row>
    <row r="777" spans="1:14" x14ac:dyDescent="0.25">
      <c r="A777" s="18" t="s">
        <v>158</v>
      </c>
      <c r="B777" s="18" t="s">
        <v>154</v>
      </c>
      <c r="C777" s="18" t="s">
        <v>155</v>
      </c>
      <c r="D777" s="18" t="s">
        <v>238</v>
      </c>
      <c r="E777" s="19">
        <f>VLOOKUP(C:C,Courts!B:C,2,FALSE)</f>
        <v>4</v>
      </c>
      <c r="F777" s="19">
        <f>VLOOKUP(C:C,Courts!B:E,4,FALSE)</f>
        <v>1</v>
      </c>
      <c r="G777" s="19">
        <f>VLOOKUP(C:C,Courts!B:D,3,FALSE)</f>
        <v>2</v>
      </c>
      <c r="H777" s="19">
        <f>VLOOKUP(C:C,Courts!B:F,5,FALSE)</f>
        <v>7</v>
      </c>
      <c r="I777" s="18" t="s">
        <v>241</v>
      </c>
      <c r="J777" s="19">
        <f>VLOOKUP(C:C,TooliD!B:K,7,FALSE)</f>
        <v>7</v>
      </c>
      <c r="K777" s="19">
        <f>VLOOKUP(C:C,TooliD!B:J,9,FALSE)</f>
        <v>3</v>
      </c>
      <c r="L777" s="19">
        <f t="shared" ref="L777:L781" si="151">K777-J777</f>
        <v>-4</v>
      </c>
      <c r="M777" s="19" t="str">
        <f t="shared" si="144"/>
        <v>Shortfall</v>
      </c>
      <c r="N777" s="18"/>
    </row>
    <row r="778" spans="1:14" x14ac:dyDescent="0.25">
      <c r="A778" s="18" t="s">
        <v>158</v>
      </c>
      <c r="B778" s="18" t="s">
        <v>154</v>
      </c>
      <c r="C778" s="18" t="s">
        <v>155</v>
      </c>
      <c r="D778" s="18" t="s">
        <v>238</v>
      </c>
      <c r="E778" s="19">
        <f>VLOOKUP(C:C,Courts!B:C,2,FALSE)</f>
        <v>4</v>
      </c>
      <c r="F778" s="19">
        <f>VLOOKUP(C:C,Courts!B:E,4,FALSE)</f>
        <v>1</v>
      </c>
      <c r="G778" s="19">
        <f>VLOOKUP(C:C,Courts!B:D,3,FALSE)</f>
        <v>2</v>
      </c>
      <c r="H778" s="19">
        <f>VLOOKUP(C:C,Courts!B:F,5,FALSE)</f>
        <v>7</v>
      </c>
      <c r="I778" s="18" t="s">
        <v>9</v>
      </c>
      <c r="J778" s="19">
        <f>VLOOKUP(C:C,TooliD!B:N,13,FALSE)</f>
        <v>7</v>
      </c>
      <c r="K778" s="18">
        <f>VLOOKUP(C:C,TooliD!B:M,12,FALSE)</f>
        <v>5</v>
      </c>
      <c r="L778" s="19">
        <f t="shared" si="151"/>
        <v>-2</v>
      </c>
      <c r="M778" s="19" t="str">
        <f t="shared" si="144"/>
        <v>Shortfall</v>
      </c>
      <c r="N778" s="18"/>
    </row>
    <row r="779" spans="1:14" x14ac:dyDescent="0.25">
      <c r="A779" s="18" t="s">
        <v>158</v>
      </c>
      <c r="B779" s="18" t="s">
        <v>154</v>
      </c>
      <c r="C779" s="18" t="s">
        <v>155</v>
      </c>
      <c r="D779" s="18" t="s">
        <v>238</v>
      </c>
      <c r="E779" s="19">
        <f>VLOOKUP(C:C,Courts!B:C,2,FALSE)</f>
        <v>4</v>
      </c>
      <c r="F779" s="19">
        <f>VLOOKUP(C:C,Courts!B:E,4,FALSE)</f>
        <v>1</v>
      </c>
      <c r="G779" s="19">
        <f>VLOOKUP(C:C,Courts!B:D,3,FALSE)</f>
        <v>2</v>
      </c>
      <c r="H779" s="19">
        <f>VLOOKUP(C:C,Courts!B:F,5,FALSE)</f>
        <v>7</v>
      </c>
      <c r="I779" s="18" t="s">
        <v>239</v>
      </c>
      <c r="J779" s="19">
        <f>VLOOKUP(C:C,TooliD!B:Q,16,FALSE)</f>
        <v>12</v>
      </c>
      <c r="K779" s="18">
        <f>VLOOKUP(C:C,TooliD!B:P,15,FALSE)</f>
        <v>12</v>
      </c>
      <c r="L779" s="19">
        <f t="shared" si="151"/>
        <v>0</v>
      </c>
      <c r="M779" s="19" t="str">
        <f t="shared" si="144"/>
        <v>OK</v>
      </c>
      <c r="N779" s="18"/>
    </row>
    <row r="780" spans="1:14" x14ac:dyDescent="0.25">
      <c r="A780" s="18" t="s">
        <v>158</v>
      </c>
      <c r="B780" s="18" t="s">
        <v>154</v>
      </c>
      <c r="C780" s="18" t="s">
        <v>155</v>
      </c>
      <c r="D780" s="18" t="s">
        <v>238</v>
      </c>
      <c r="E780" s="19">
        <f>VLOOKUP(C:C,Courts!B:C,2,FALSE)</f>
        <v>4</v>
      </c>
      <c r="F780" s="19">
        <f>VLOOKUP(C:C,Courts!B:E,4,FALSE)</f>
        <v>1</v>
      </c>
      <c r="G780" s="19">
        <f>VLOOKUP(C:C,Courts!B:D,3,FALSE)</f>
        <v>2</v>
      </c>
      <c r="H780" s="19">
        <f>VLOOKUP(C:C,Courts!B:F,5,FALSE)</f>
        <v>7</v>
      </c>
      <c r="I780" s="18" t="s">
        <v>11</v>
      </c>
      <c r="J780" s="19">
        <f>VLOOKUP(C:C,TooliD!B:T,19,FALSE)</f>
        <v>52</v>
      </c>
      <c r="K780" s="18">
        <f>VLOOKUP(C:C,TooliD!B:S,18,FALSE)</f>
        <v>50</v>
      </c>
      <c r="L780" s="19">
        <f t="shared" si="151"/>
        <v>-2</v>
      </c>
      <c r="M780" s="19" t="str">
        <f t="shared" si="144"/>
        <v>Shortfall</v>
      </c>
      <c r="N780" s="18"/>
    </row>
    <row r="781" spans="1:14" x14ac:dyDescent="0.25">
      <c r="A781" s="18" t="s">
        <v>158</v>
      </c>
      <c r="B781" s="18" t="s">
        <v>154</v>
      </c>
      <c r="C781" s="18" t="s">
        <v>155</v>
      </c>
      <c r="D781" s="18" t="s">
        <v>238</v>
      </c>
      <c r="E781" s="19">
        <f>VLOOKUP(C:C,Courts!B:C,2,FALSE)</f>
        <v>4</v>
      </c>
      <c r="F781" s="19">
        <f>VLOOKUP(C:C,Courts!B:E,4,FALSE)</f>
        <v>1</v>
      </c>
      <c r="G781" s="19">
        <f>VLOOKUP(C:C,Courts!B:D,3,FALSE)</f>
        <v>2</v>
      </c>
      <c r="H781" s="19">
        <f>VLOOKUP(C:C,Courts!B:F,5,FALSE)</f>
        <v>7</v>
      </c>
      <c r="I781" s="18" t="s">
        <v>212</v>
      </c>
      <c r="J781" s="19">
        <f>VLOOKUP(C:C,TooliD!B:W,22,FALSE)</f>
        <v>7</v>
      </c>
      <c r="K781" s="18">
        <f>VLOOKUP(C:C,TooliD!B:V,21,FALSE)</f>
        <v>5</v>
      </c>
      <c r="L781" s="19">
        <f t="shared" si="151"/>
        <v>-2</v>
      </c>
      <c r="M781" s="19" t="str">
        <f t="shared" si="144"/>
        <v>Shortfall</v>
      </c>
      <c r="N781" s="18"/>
    </row>
  </sheetData>
  <autoFilter ref="A1:N1" xr:uid="{20F5FA66-511A-4915-8474-A731F288C39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8"/>
  <sheetViews>
    <sheetView workbookViewId="0">
      <pane ySplit="1" topLeftCell="A25" activePane="bottomLeft" state="frozen"/>
      <selection pane="bottomLeft" activeCell="B40" sqref="B40"/>
    </sheetView>
  </sheetViews>
  <sheetFormatPr defaultColWidth="27.5703125" defaultRowHeight="15" customHeight="1" x14ac:dyDescent="0.25"/>
  <cols>
    <col min="1" max="1" width="7.7109375" style="5" customWidth="1"/>
    <col min="2" max="2" width="26.85546875" customWidth="1"/>
    <col min="3" max="3" width="27" style="5" customWidth="1"/>
    <col min="4" max="4" width="7.85546875" style="5" customWidth="1"/>
    <col min="5" max="5" width="24" style="5" customWidth="1"/>
    <col min="6" max="6" width="9.7109375" style="5" customWidth="1"/>
    <col min="7" max="7" width="5.28515625" customWidth="1"/>
  </cols>
  <sheetData>
    <row r="1" spans="1:6" ht="102" x14ac:dyDescent="0.25">
      <c r="A1" s="6" t="s">
        <v>15</v>
      </c>
      <c r="B1" s="7" t="s">
        <v>16</v>
      </c>
      <c r="C1" s="8" t="s">
        <v>194</v>
      </c>
      <c r="D1" s="8" t="s">
        <v>4</v>
      </c>
      <c r="E1" s="8" t="s">
        <v>198</v>
      </c>
      <c r="F1" s="8" t="s">
        <v>2</v>
      </c>
    </row>
    <row r="2" spans="1:6" x14ac:dyDescent="0.25">
      <c r="A2" s="15">
        <v>1</v>
      </c>
      <c r="B2" s="16" t="s">
        <v>29</v>
      </c>
      <c r="C2" s="17">
        <v>48</v>
      </c>
      <c r="D2" s="17">
        <v>0</v>
      </c>
      <c r="E2" s="15">
        <v>0</v>
      </c>
      <c r="F2" s="17">
        <f>SUM(C2:E2)</f>
        <v>48</v>
      </c>
    </row>
    <row r="3" spans="1:6" x14ac:dyDescent="0.25">
      <c r="A3" s="15">
        <v>2</v>
      </c>
      <c r="B3" s="19" t="s">
        <v>30</v>
      </c>
      <c r="C3" s="17">
        <v>5</v>
      </c>
      <c r="D3" s="17">
        <v>0</v>
      </c>
      <c r="E3" s="15">
        <v>1</v>
      </c>
      <c r="F3" s="17">
        <f t="shared" ref="F3:F66" si="0">SUM(C3:E3)</f>
        <v>6</v>
      </c>
    </row>
    <row r="4" spans="1:6" x14ac:dyDescent="0.25">
      <c r="A4" s="15">
        <v>3</v>
      </c>
      <c r="B4" s="19" t="s">
        <v>31</v>
      </c>
      <c r="C4" s="17">
        <v>4</v>
      </c>
      <c r="D4" s="17">
        <v>0</v>
      </c>
      <c r="E4" s="15">
        <v>1</v>
      </c>
      <c r="F4" s="17">
        <f t="shared" si="0"/>
        <v>5</v>
      </c>
    </row>
    <row r="5" spans="1:6" x14ac:dyDescent="0.25">
      <c r="A5" s="15">
        <v>4</v>
      </c>
      <c r="B5" s="16" t="s">
        <v>32</v>
      </c>
      <c r="C5" s="17">
        <v>11</v>
      </c>
      <c r="D5" s="17">
        <v>0</v>
      </c>
      <c r="E5" s="15">
        <v>0</v>
      </c>
      <c r="F5" s="17">
        <f t="shared" si="0"/>
        <v>11</v>
      </c>
    </row>
    <row r="6" spans="1:6" x14ac:dyDescent="0.25">
      <c r="A6" s="15">
        <v>5</v>
      </c>
      <c r="B6" s="16" t="s">
        <v>33</v>
      </c>
      <c r="C6" s="17">
        <v>25</v>
      </c>
      <c r="D6" s="17">
        <v>0</v>
      </c>
      <c r="E6" s="15">
        <v>0</v>
      </c>
      <c r="F6" s="17">
        <f t="shared" si="0"/>
        <v>25</v>
      </c>
    </row>
    <row r="7" spans="1:6" x14ac:dyDescent="0.25">
      <c r="A7" s="15">
        <v>6</v>
      </c>
      <c r="B7" s="19" t="s">
        <v>34</v>
      </c>
      <c r="C7" s="17">
        <v>6</v>
      </c>
      <c r="D7" s="17">
        <v>0</v>
      </c>
      <c r="E7" s="15">
        <v>1</v>
      </c>
      <c r="F7" s="17">
        <f t="shared" si="0"/>
        <v>7</v>
      </c>
    </row>
    <row r="8" spans="1:6" x14ac:dyDescent="0.25">
      <c r="A8" s="15">
        <v>7</v>
      </c>
      <c r="B8" s="19" t="s">
        <v>35</v>
      </c>
      <c r="C8" s="17">
        <v>4</v>
      </c>
      <c r="D8" s="17">
        <v>0</v>
      </c>
      <c r="E8" s="15">
        <v>1</v>
      </c>
      <c r="F8" s="17">
        <f t="shared" si="0"/>
        <v>5</v>
      </c>
    </row>
    <row r="9" spans="1:6" x14ac:dyDescent="0.25">
      <c r="A9" s="15">
        <v>8</v>
      </c>
      <c r="B9" s="16" t="s">
        <v>36</v>
      </c>
      <c r="C9" s="17">
        <v>12</v>
      </c>
      <c r="D9" s="17">
        <v>0</v>
      </c>
      <c r="E9" s="15">
        <v>0</v>
      </c>
      <c r="F9" s="17">
        <f t="shared" si="0"/>
        <v>12</v>
      </c>
    </row>
    <row r="10" spans="1:6" x14ac:dyDescent="0.25">
      <c r="A10" s="15">
        <v>9</v>
      </c>
      <c r="B10" s="19" t="s">
        <v>37</v>
      </c>
      <c r="C10" s="17">
        <v>2</v>
      </c>
      <c r="D10" s="17">
        <v>0</v>
      </c>
      <c r="E10" s="15">
        <v>0</v>
      </c>
      <c r="F10" s="17">
        <f t="shared" si="0"/>
        <v>2</v>
      </c>
    </row>
    <row r="11" spans="1:6" x14ac:dyDescent="0.25">
      <c r="A11" s="15">
        <v>10</v>
      </c>
      <c r="B11" s="16" t="s">
        <v>38</v>
      </c>
      <c r="C11" s="17">
        <v>11</v>
      </c>
      <c r="D11" s="17">
        <v>0</v>
      </c>
      <c r="E11" s="15">
        <v>0</v>
      </c>
      <c r="F11" s="17">
        <f t="shared" si="0"/>
        <v>11</v>
      </c>
    </row>
    <row r="12" spans="1:6" x14ac:dyDescent="0.25">
      <c r="A12" s="15">
        <v>11</v>
      </c>
      <c r="B12" s="19" t="s">
        <v>39</v>
      </c>
      <c r="C12" s="17">
        <v>4</v>
      </c>
      <c r="D12" s="17">
        <v>0</v>
      </c>
      <c r="E12" s="15">
        <v>1</v>
      </c>
      <c r="F12" s="17">
        <f t="shared" si="0"/>
        <v>5</v>
      </c>
    </row>
    <row r="13" spans="1:6" x14ac:dyDescent="0.25">
      <c r="A13" s="15">
        <v>12</v>
      </c>
      <c r="B13" s="19" t="s">
        <v>40</v>
      </c>
      <c r="C13" s="17">
        <v>2</v>
      </c>
      <c r="D13" s="17">
        <v>0</v>
      </c>
      <c r="E13" s="15">
        <v>1</v>
      </c>
      <c r="F13" s="17">
        <f t="shared" si="0"/>
        <v>3</v>
      </c>
    </row>
    <row r="14" spans="1:6" x14ac:dyDescent="0.25">
      <c r="A14" s="15">
        <v>13</v>
      </c>
      <c r="B14" s="16" t="s">
        <v>41</v>
      </c>
      <c r="C14" s="17">
        <v>12</v>
      </c>
      <c r="D14" s="17">
        <v>0</v>
      </c>
      <c r="E14" s="15">
        <v>0</v>
      </c>
      <c r="F14" s="17">
        <f t="shared" si="0"/>
        <v>12</v>
      </c>
    </row>
    <row r="15" spans="1:6" x14ac:dyDescent="0.25">
      <c r="A15" s="15">
        <v>14</v>
      </c>
      <c r="B15" s="19" t="s">
        <v>42</v>
      </c>
      <c r="C15" s="17">
        <v>7</v>
      </c>
      <c r="D15" s="17">
        <v>0</v>
      </c>
      <c r="E15" s="15">
        <v>1</v>
      </c>
      <c r="F15" s="17">
        <f t="shared" si="0"/>
        <v>8</v>
      </c>
    </row>
    <row r="16" spans="1:6" x14ac:dyDescent="0.25">
      <c r="A16" s="15">
        <v>15</v>
      </c>
      <c r="B16" s="19" t="s">
        <v>43</v>
      </c>
      <c r="C16" s="17">
        <v>4</v>
      </c>
      <c r="D16" s="17">
        <v>0</v>
      </c>
      <c r="E16" s="15">
        <v>1</v>
      </c>
      <c r="F16" s="17">
        <f t="shared" si="0"/>
        <v>5</v>
      </c>
    </row>
    <row r="17" spans="1:6" x14ac:dyDescent="0.25">
      <c r="A17" s="15">
        <v>16</v>
      </c>
      <c r="B17" s="16" t="s">
        <v>44</v>
      </c>
      <c r="C17" s="17">
        <v>16</v>
      </c>
      <c r="D17" s="17">
        <v>0</v>
      </c>
      <c r="E17" s="15">
        <v>0</v>
      </c>
      <c r="F17" s="17">
        <f t="shared" si="0"/>
        <v>16</v>
      </c>
    </row>
    <row r="18" spans="1:6" x14ac:dyDescent="0.25">
      <c r="A18" s="15">
        <v>17</v>
      </c>
      <c r="B18" s="19" t="s">
        <v>45</v>
      </c>
      <c r="C18" s="17">
        <v>3</v>
      </c>
      <c r="D18" s="17">
        <v>0</v>
      </c>
      <c r="E18" s="15">
        <v>1</v>
      </c>
      <c r="F18" s="17">
        <f t="shared" si="0"/>
        <v>4</v>
      </c>
    </row>
    <row r="19" spans="1:6" x14ac:dyDescent="0.25">
      <c r="A19" s="15">
        <v>18</v>
      </c>
      <c r="B19" s="19" t="s">
        <v>46</v>
      </c>
      <c r="C19" s="17">
        <v>3</v>
      </c>
      <c r="D19" s="17">
        <v>0</v>
      </c>
      <c r="E19" s="15">
        <v>1</v>
      </c>
      <c r="F19" s="17">
        <f t="shared" si="0"/>
        <v>4</v>
      </c>
    </row>
    <row r="20" spans="1:6" x14ac:dyDescent="0.25">
      <c r="A20" s="15">
        <v>19</v>
      </c>
      <c r="B20" s="16" t="s">
        <v>47</v>
      </c>
      <c r="C20" s="17">
        <v>18</v>
      </c>
      <c r="D20" s="17">
        <v>0</v>
      </c>
      <c r="E20" s="15">
        <v>0</v>
      </c>
      <c r="F20" s="17">
        <f t="shared" si="0"/>
        <v>18</v>
      </c>
    </row>
    <row r="21" spans="1:6" x14ac:dyDescent="0.25">
      <c r="A21" s="15">
        <v>20</v>
      </c>
      <c r="B21" s="19" t="s">
        <v>48</v>
      </c>
      <c r="C21" s="17">
        <v>9</v>
      </c>
      <c r="D21" s="17">
        <v>0</v>
      </c>
      <c r="E21" s="15">
        <v>1</v>
      </c>
      <c r="F21" s="17">
        <f t="shared" si="0"/>
        <v>10</v>
      </c>
    </row>
    <row r="22" spans="1:6" x14ac:dyDescent="0.25">
      <c r="A22" s="15">
        <v>21</v>
      </c>
      <c r="B22" s="16" t="s">
        <v>49</v>
      </c>
      <c r="C22" s="17">
        <v>19</v>
      </c>
      <c r="D22" s="17">
        <v>0</v>
      </c>
      <c r="E22" s="15">
        <v>0</v>
      </c>
      <c r="F22" s="17">
        <f t="shared" si="0"/>
        <v>19</v>
      </c>
    </row>
    <row r="23" spans="1:6" x14ac:dyDescent="0.25">
      <c r="A23" s="15">
        <v>22</v>
      </c>
      <c r="B23" s="19" t="s">
        <v>50</v>
      </c>
      <c r="C23" s="17">
        <v>4</v>
      </c>
      <c r="D23" s="17">
        <v>0</v>
      </c>
      <c r="E23" s="15">
        <v>1</v>
      </c>
      <c r="F23" s="17">
        <f t="shared" si="0"/>
        <v>5</v>
      </c>
    </row>
    <row r="24" spans="1:6" x14ac:dyDescent="0.25">
      <c r="A24" s="15">
        <v>23</v>
      </c>
      <c r="B24" s="19" t="s">
        <v>51</v>
      </c>
      <c r="C24" s="17">
        <v>3</v>
      </c>
      <c r="D24" s="17">
        <v>0</v>
      </c>
      <c r="E24" s="15">
        <v>1</v>
      </c>
      <c r="F24" s="17">
        <f t="shared" si="0"/>
        <v>4</v>
      </c>
    </row>
    <row r="25" spans="1:6" x14ac:dyDescent="0.25">
      <c r="A25" s="15">
        <v>24</v>
      </c>
      <c r="B25" s="19" t="s">
        <v>52</v>
      </c>
      <c r="C25" s="17">
        <v>3</v>
      </c>
      <c r="D25" s="17">
        <v>0</v>
      </c>
      <c r="E25" s="15">
        <v>1</v>
      </c>
      <c r="F25" s="17">
        <f t="shared" si="0"/>
        <v>4</v>
      </c>
    </row>
    <row r="26" spans="1:6" x14ac:dyDescent="0.25">
      <c r="A26" s="15">
        <v>25</v>
      </c>
      <c r="B26" s="16" t="s">
        <v>53</v>
      </c>
      <c r="C26" s="17">
        <v>45</v>
      </c>
      <c r="D26" s="17">
        <v>0</v>
      </c>
      <c r="E26" s="15">
        <v>0</v>
      </c>
      <c r="F26" s="17">
        <f t="shared" si="0"/>
        <v>45</v>
      </c>
    </row>
    <row r="27" spans="1:6" x14ac:dyDescent="0.25">
      <c r="A27" s="15">
        <v>26</v>
      </c>
      <c r="B27" s="19" t="s">
        <v>54</v>
      </c>
      <c r="C27" s="17">
        <v>3</v>
      </c>
      <c r="D27" s="17">
        <v>0</v>
      </c>
      <c r="E27" s="15">
        <v>1</v>
      </c>
      <c r="F27" s="17">
        <f t="shared" si="0"/>
        <v>4</v>
      </c>
    </row>
    <row r="28" spans="1:6" x14ac:dyDescent="0.25">
      <c r="A28" s="15">
        <v>27</v>
      </c>
      <c r="B28" s="19" t="s">
        <v>55</v>
      </c>
      <c r="C28" s="17">
        <v>5</v>
      </c>
      <c r="D28" s="17">
        <v>0</v>
      </c>
      <c r="E28" s="15">
        <v>1</v>
      </c>
      <c r="F28" s="17">
        <f t="shared" si="0"/>
        <v>6</v>
      </c>
    </row>
    <row r="29" spans="1:6" x14ac:dyDescent="0.25">
      <c r="A29" s="15">
        <v>28</v>
      </c>
      <c r="B29" s="16" t="s">
        <v>56</v>
      </c>
      <c r="C29" s="17">
        <v>10</v>
      </c>
      <c r="D29" s="17">
        <v>0</v>
      </c>
      <c r="E29" s="8">
        <v>0</v>
      </c>
      <c r="F29" s="17">
        <f t="shared" si="0"/>
        <v>10</v>
      </c>
    </row>
    <row r="30" spans="1:6" x14ac:dyDescent="0.25">
      <c r="A30" s="15">
        <v>29</v>
      </c>
      <c r="B30" s="19" t="s">
        <v>57</v>
      </c>
      <c r="C30" s="17">
        <v>4</v>
      </c>
      <c r="D30" s="17">
        <v>0</v>
      </c>
      <c r="E30" s="8">
        <v>1</v>
      </c>
      <c r="F30" s="17">
        <f t="shared" si="0"/>
        <v>5</v>
      </c>
    </row>
    <row r="31" spans="1:6" x14ac:dyDescent="0.25">
      <c r="A31" s="15">
        <v>30</v>
      </c>
      <c r="B31" s="19" t="s">
        <v>58</v>
      </c>
      <c r="C31" s="17">
        <v>3</v>
      </c>
      <c r="D31" s="17">
        <v>0</v>
      </c>
      <c r="E31" s="8">
        <v>1</v>
      </c>
      <c r="F31" s="17">
        <f t="shared" si="0"/>
        <v>4</v>
      </c>
    </row>
    <row r="32" spans="1:6" x14ac:dyDescent="0.25">
      <c r="A32" s="15">
        <v>31</v>
      </c>
      <c r="B32" s="19" t="s">
        <v>59</v>
      </c>
      <c r="C32" s="17">
        <v>1</v>
      </c>
      <c r="D32" s="17">
        <v>0</v>
      </c>
      <c r="E32" s="8">
        <v>1</v>
      </c>
      <c r="F32" s="17">
        <f t="shared" si="0"/>
        <v>2</v>
      </c>
    </row>
    <row r="33" spans="1:6" x14ac:dyDescent="0.25">
      <c r="A33" s="15">
        <v>32</v>
      </c>
      <c r="B33" s="16" t="s">
        <v>60</v>
      </c>
      <c r="C33" s="17">
        <v>73</v>
      </c>
      <c r="D33" s="17">
        <v>0</v>
      </c>
      <c r="E33" s="15">
        <v>0</v>
      </c>
      <c r="F33" s="17">
        <f t="shared" si="0"/>
        <v>73</v>
      </c>
    </row>
    <row r="34" spans="1:6" x14ac:dyDescent="0.25">
      <c r="A34" s="15">
        <v>33</v>
      </c>
      <c r="B34" s="19" t="s">
        <v>61</v>
      </c>
      <c r="C34" s="17">
        <v>3</v>
      </c>
      <c r="D34" s="17">
        <v>0</v>
      </c>
      <c r="E34" s="15">
        <v>1</v>
      </c>
      <c r="F34" s="17">
        <f t="shared" si="0"/>
        <v>4</v>
      </c>
    </row>
    <row r="35" spans="1:6" x14ac:dyDescent="0.25">
      <c r="A35" s="15">
        <v>34</v>
      </c>
      <c r="B35" s="19" t="s">
        <v>62</v>
      </c>
      <c r="C35" s="17">
        <v>4</v>
      </c>
      <c r="D35" s="17">
        <v>0</v>
      </c>
      <c r="E35" s="15">
        <v>1</v>
      </c>
      <c r="F35" s="17">
        <f t="shared" si="0"/>
        <v>5</v>
      </c>
    </row>
    <row r="36" spans="1:6" x14ac:dyDescent="0.25">
      <c r="A36" s="15">
        <v>35</v>
      </c>
      <c r="B36" s="19" t="s">
        <v>63</v>
      </c>
      <c r="C36" s="17">
        <v>6</v>
      </c>
      <c r="D36" s="17">
        <v>0</v>
      </c>
      <c r="E36" s="15">
        <v>1</v>
      </c>
      <c r="F36" s="17">
        <f t="shared" si="0"/>
        <v>7</v>
      </c>
    </row>
    <row r="37" spans="1:6" x14ac:dyDescent="0.25">
      <c r="A37" s="15">
        <v>36</v>
      </c>
      <c r="B37" s="19" t="s">
        <v>64</v>
      </c>
      <c r="C37" s="17">
        <v>3</v>
      </c>
      <c r="D37" s="17">
        <v>0</v>
      </c>
      <c r="E37" s="15">
        <v>1</v>
      </c>
      <c r="F37" s="17">
        <f t="shared" si="0"/>
        <v>4</v>
      </c>
    </row>
    <row r="38" spans="1:6" x14ac:dyDescent="0.25">
      <c r="A38" s="15">
        <v>37</v>
      </c>
      <c r="B38" s="16" t="s">
        <v>65</v>
      </c>
      <c r="C38" s="17">
        <v>10</v>
      </c>
      <c r="D38" s="17">
        <v>0</v>
      </c>
      <c r="E38" s="15">
        <v>0</v>
      </c>
      <c r="F38" s="17">
        <f t="shared" si="0"/>
        <v>10</v>
      </c>
    </row>
    <row r="39" spans="1:6" x14ac:dyDescent="0.25">
      <c r="A39" s="15">
        <v>38</v>
      </c>
      <c r="B39" s="19" t="s">
        <v>66</v>
      </c>
      <c r="C39" s="17">
        <v>2</v>
      </c>
      <c r="D39" s="17">
        <v>0</v>
      </c>
      <c r="E39" s="15">
        <v>1</v>
      </c>
      <c r="F39" s="17">
        <f t="shared" si="0"/>
        <v>3</v>
      </c>
    </row>
    <row r="40" spans="1:6" x14ac:dyDescent="0.25">
      <c r="A40" s="15">
        <v>39</v>
      </c>
      <c r="B40" s="19" t="s">
        <v>67</v>
      </c>
      <c r="C40" s="17">
        <v>3</v>
      </c>
      <c r="D40" s="17">
        <v>0</v>
      </c>
      <c r="E40" s="15">
        <v>1</v>
      </c>
      <c r="F40" s="17">
        <f t="shared" si="0"/>
        <v>4</v>
      </c>
    </row>
    <row r="41" spans="1:6" x14ac:dyDescent="0.25">
      <c r="A41" s="15">
        <v>40</v>
      </c>
      <c r="B41" s="16" t="s">
        <v>68</v>
      </c>
      <c r="C41" s="17">
        <v>15</v>
      </c>
      <c r="D41" s="17">
        <v>0</v>
      </c>
      <c r="E41" s="15">
        <v>0</v>
      </c>
      <c r="F41" s="17">
        <f t="shared" si="0"/>
        <v>15</v>
      </c>
    </row>
    <row r="42" spans="1:6" x14ac:dyDescent="0.25">
      <c r="A42" s="15">
        <v>41</v>
      </c>
      <c r="B42" s="19" t="s">
        <v>69</v>
      </c>
      <c r="C42" s="17">
        <v>2</v>
      </c>
      <c r="D42" s="17">
        <v>0</v>
      </c>
      <c r="E42" s="15">
        <v>1</v>
      </c>
      <c r="F42" s="17">
        <f t="shared" si="0"/>
        <v>3</v>
      </c>
    </row>
    <row r="43" spans="1:6" x14ac:dyDescent="0.25">
      <c r="A43" s="15">
        <v>42</v>
      </c>
      <c r="B43" s="19" t="s">
        <v>70</v>
      </c>
      <c r="C43" s="17">
        <v>2</v>
      </c>
      <c r="D43" s="17">
        <v>0</v>
      </c>
      <c r="E43" s="15">
        <v>1</v>
      </c>
      <c r="F43" s="17">
        <f t="shared" si="0"/>
        <v>3</v>
      </c>
    </row>
    <row r="44" spans="1:6" x14ac:dyDescent="0.25">
      <c r="A44" s="15">
        <v>43</v>
      </c>
      <c r="B44" s="19" t="s">
        <v>71</v>
      </c>
      <c r="C44" s="17">
        <v>0</v>
      </c>
      <c r="D44" s="17">
        <v>0</v>
      </c>
      <c r="E44" s="15">
        <v>1</v>
      </c>
      <c r="F44" s="17">
        <f t="shared" si="0"/>
        <v>1</v>
      </c>
    </row>
    <row r="45" spans="1:6" x14ac:dyDescent="0.25">
      <c r="A45" s="15">
        <v>44</v>
      </c>
      <c r="B45" s="16" t="s">
        <v>72</v>
      </c>
      <c r="C45" s="17">
        <v>13</v>
      </c>
      <c r="D45" s="17">
        <v>0</v>
      </c>
      <c r="E45" s="15">
        <v>0</v>
      </c>
      <c r="F45" s="17">
        <f t="shared" si="0"/>
        <v>13</v>
      </c>
    </row>
    <row r="46" spans="1:6" x14ac:dyDescent="0.25">
      <c r="A46" s="15">
        <v>45</v>
      </c>
      <c r="B46" s="16" t="s">
        <v>73</v>
      </c>
      <c r="C46" s="17">
        <v>35</v>
      </c>
      <c r="D46" s="17">
        <v>0</v>
      </c>
      <c r="E46" s="15">
        <v>0</v>
      </c>
      <c r="F46" s="17">
        <f t="shared" si="0"/>
        <v>35</v>
      </c>
    </row>
    <row r="47" spans="1:6" x14ac:dyDescent="0.25">
      <c r="A47" s="15">
        <v>46</v>
      </c>
      <c r="B47" s="19" t="s">
        <v>74</v>
      </c>
      <c r="C47" s="17">
        <v>5</v>
      </c>
      <c r="D47" s="17">
        <v>0</v>
      </c>
      <c r="E47" s="15">
        <v>1</v>
      </c>
      <c r="F47" s="17">
        <f t="shared" si="0"/>
        <v>6</v>
      </c>
    </row>
    <row r="48" spans="1:6" x14ac:dyDescent="0.25">
      <c r="A48" s="15">
        <v>47</v>
      </c>
      <c r="B48" s="19" t="s">
        <v>75</v>
      </c>
      <c r="C48" s="17">
        <v>6</v>
      </c>
      <c r="D48" s="17">
        <v>0</v>
      </c>
      <c r="E48" s="15">
        <v>1</v>
      </c>
      <c r="F48" s="17">
        <f t="shared" si="0"/>
        <v>7</v>
      </c>
    </row>
    <row r="49" spans="1:6" x14ac:dyDescent="0.25">
      <c r="A49" s="15">
        <v>48</v>
      </c>
      <c r="B49" s="19" t="s">
        <v>76</v>
      </c>
      <c r="C49" s="17">
        <v>6</v>
      </c>
      <c r="D49" s="17">
        <v>0</v>
      </c>
      <c r="E49" s="15">
        <v>1</v>
      </c>
      <c r="F49" s="17">
        <f t="shared" si="0"/>
        <v>7</v>
      </c>
    </row>
    <row r="50" spans="1:6" x14ac:dyDescent="0.25">
      <c r="A50" s="15">
        <v>49</v>
      </c>
      <c r="B50" s="16" t="s">
        <v>77</v>
      </c>
      <c r="C50" s="17">
        <v>14</v>
      </c>
      <c r="D50" s="17">
        <v>0</v>
      </c>
      <c r="E50" s="15">
        <v>0</v>
      </c>
      <c r="F50" s="17">
        <f t="shared" si="0"/>
        <v>14</v>
      </c>
    </row>
    <row r="51" spans="1:6" x14ac:dyDescent="0.25">
      <c r="A51" s="15">
        <v>50</v>
      </c>
      <c r="B51" s="19" t="s">
        <v>78</v>
      </c>
      <c r="C51" s="17">
        <v>3</v>
      </c>
      <c r="D51" s="17">
        <v>0</v>
      </c>
      <c r="E51" s="15">
        <v>1</v>
      </c>
      <c r="F51" s="17">
        <f t="shared" si="0"/>
        <v>4</v>
      </c>
    </row>
    <row r="52" spans="1:6" x14ac:dyDescent="0.25">
      <c r="A52" s="15">
        <v>51</v>
      </c>
      <c r="B52" s="19" t="s">
        <v>79</v>
      </c>
      <c r="C52" s="17">
        <v>2</v>
      </c>
      <c r="D52" s="17">
        <v>0</v>
      </c>
      <c r="E52" s="15">
        <v>1</v>
      </c>
      <c r="F52" s="17">
        <f t="shared" si="0"/>
        <v>3</v>
      </c>
    </row>
    <row r="53" spans="1:6" x14ac:dyDescent="0.25">
      <c r="A53" s="15">
        <v>52</v>
      </c>
      <c r="B53" s="19" t="s">
        <v>80</v>
      </c>
      <c r="C53" s="17">
        <v>0</v>
      </c>
      <c r="D53" s="17">
        <v>0</v>
      </c>
      <c r="E53" s="15">
        <v>1</v>
      </c>
      <c r="F53" s="17">
        <f t="shared" si="0"/>
        <v>1</v>
      </c>
    </row>
    <row r="54" spans="1:6" x14ac:dyDescent="0.25">
      <c r="A54" s="15">
        <v>53</v>
      </c>
      <c r="B54" s="16" t="s">
        <v>81</v>
      </c>
      <c r="C54" s="17">
        <v>22</v>
      </c>
      <c r="D54" s="17">
        <v>0</v>
      </c>
      <c r="E54" s="15">
        <v>0</v>
      </c>
      <c r="F54" s="17">
        <f t="shared" si="0"/>
        <v>22</v>
      </c>
    </row>
    <row r="55" spans="1:6" x14ac:dyDescent="0.25">
      <c r="A55" s="15">
        <v>54</v>
      </c>
      <c r="B55" s="19" t="s">
        <v>82</v>
      </c>
      <c r="C55" s="17">
        <v>9</v>
      </c>
      <c r="D55" s="17">
        <v>0</v>
      </c>
      <c r="E55" s="15">
        <v>1</v>
      </c>
      <c r="F55" s="17">
        <f t="shared" si="0"/>
        <v>10</v>
      </c>
    </row>
    <row r="56" spans="1:6" x14ac:dyDescent="0.25">
      <c r="A56" s="15">
        <v>55</v>
      </c>
      <c r="B56" s="19" t="s">
        <v>83</v>
      </c>
      <c r="C56" s="17">
        <v>8</v>
      </c>
      <c r="D56" s="17">
        <v>0</v>
      </c>
      <c r="E56" s="15">
        <v>1</v>
      </c>
      <c r="F56" s="17">
        <f t="shared" si="0"/>
        <v>9</v>
      </c>
    </row>
    <row r="57" spans="1:6" x14ac:dyDescent="0.25">
      <c r="A57" s="15">
        <v>56</v>
      </c>
      <c r="B57" s="16" t="s">
        <v>84</v>
      </c>
      <c r="C57" s="17">
        <v>17</v>
      </c>
      <c r="D57" s="17">
        <v>0</v>
      </c>
      <c r="E57" s="15">
        <v>0</v>
      </c>
      <c r="F57" s="17">
        <f t="shared" si="0"/>
        <v>17</v>
      </c>
    </row>
    <row r="58" spans="1:6" x14ac:dyDescent="0.25">
      <c r="A58" s="15">
        <v>57</v>
      </c>
      <c r="B58" s="19" t="s">
        <v>85</v>
      </c>
      <c r="C58" s="17">
        <v>7</v>
      </c>
      <c r="D58" s="17">
        <v>0</v>
      </c>
      <c r="E58" s="15">
        <v>1</v>
      </c>
      <c r="F58" s="17">
        <f t="shared" si="0"/>
        <v>8</v>
      </c>
    </row>
    <row r="59" spans="1:6" x14ac:dyDescent="0.25">
      <c r="A59" s="15">
        <v>58</v>
      </c>
      <c r="B59" s="19" t="s">
        <v>86</v>
      </c>
      <c r="C59" s="17">
        <v>5</v>
      </c>
      <c r="D59" s="17">
        <v>0</v>
      </c>
      <c r="E59" s="15">
        <v>1</v>
      </c>
      <c r="F59" s="17">
        <f t="shared" si="0"/>
        <v>6</v>
      </c>
    </row>
    <row r="60" spans="1:6" x14ac:dyDescent="0.25">
      <c r="A60" s="15">
        <v>59</v>
      </c>
      <c r="B60" s="19" t="s">
        <v>87</v>
      </c>
      <c r="C60" s="17">
        <v>3</v>
      </c>
      <c r="D60" s="17">
        <v>0</v>
      </c>
      <c r="E60" s="15">
        <v>1</v>
      </c>
      <c r="F60" s="17">
        <f t="shared" si="0"/>
        <v>4</v>
      </c>
    </row>
    <row r="61" spans="1:6" x14ac:dyDescent="0.25">
      <c r="A61" s="15">
        <v>60</v>
      </c>
      <c r="B61" s="19" t="s">
        <v>88</v>
      </c>
      <c r="C61" s="17">
        <v>5</v>
      </c>
      <c r="D61" s="17">
        <v>0</v>
      </c>
      <c r="E61" s="15">
        <v>1</v>
      </c>
      <c r="F61" s="17">
        <f t="shared" si="0"/>
        <v>6</v>
      </c>
    </row>
    <row r="62" spans="1:6" x14ac:dyDescent="0.25">
      <c r="A62" s="15">
        <v>61</v>
      </c>
      <c r="B62" s="16" t="s">
        <v>89</v>
      </c>
      <c r="C62" s="17">
        <v>9</v>
      </c>
      <c r="D62" s="17">
        <v>0</v>
      </c>
      <c r="E62" s="15">
        <v>0</v>
      </c>
      <c r="F62" s="17">
        <f t="shared" si="0"/>
        <v>9</v>
      </c>
    </row>
    <row r="63" spans="1:6" x14ac:dyDescent="0.25">
      <c r="A63" s="15">
        <v>62</v>
      </c>
      <c r="B63" s="19" t="s">
        <v>90</v>
      </c>
      <c r="C63" s="17">
        <v>3</v>
      </c>
      <c r="D63" s="17">
        <v>0</v>
      </c>
      <c r="E63" s="15">
        <v>1</v>
      </c>
      <c r="F63" s="17">
        <f t="shared" si="0"/>
        <v>4</v>
      </c>
    </row>
    <row r="64" spans="1:6" x14ac:dyDescent="0.25">
      <c r="A64" s="15">
        <v>63</v>
      </c>
      <c r="B64" s="19" t="s">
        <v>91</v>
      </c>
      <c r="C64" s="17">
        <v>6</v>
      </c>
      <c r="D64" s="17">
        <v>0</v>
      </c>
      <c r="E64" s="15">
        <v>1</v>
      </c>
      <c r="F64" s="17">
        <f t="shared" si="0"/>
        <v>7</v>
      </c>
    </row>
    <row r="65" spans="1:6" x14ac:dyDescent="0.25">
      <c r="A65" s="15">
        <v>64</v>
      </c>
      <c r="B65" s="16" t="s">
        <v>92</v>
      </c>
      <c r="C65" s="17">
        <v>13</v>
      </c>
      <c r="D65" s="17">
        <v>0</v>
      </c>
      <c r="E65" s="15">
        <v>0</v>
      </c>
      <c r="F65" s="17">
        <f t="shared" si="0"/>
        <v>13</v>
      </c>
    </row>
    <row r="66" spans="1:6" x14ac:dyDescent="0.25">
      <c r="A66" s="15">
        <v>65</v>
      </c>
      <c r="B66" s="19" t="s">
        <v>93</v>
      </c>
      <c r="C66" s="17">
        <v>2</v>
      </c>
      <c r="D66" s="17">
        <v>0</v>
      </c>
      <c r="E66" s="15">
        <v>1</v>
      </c>
      <c r="F66" s="17">
        <f t="shared" si="0"/>
        <v>3</v>
      </c>
    </row>
    <row r="67" spans="1:6" x14ac:dyDescent="0.25">
      <c r="A67" s="15">
        <v>66</v>
      </c>
      <c r="B67" s="16" t="s">
        <v>94</v>
      </c>
      <c r="C67" s="17">
        <v>10</v>
      </c>
      <c r="D67" s="17">
        <v>0</v>
      </c>
      <c r="E67" s="15">
        <v>0</v>
      </c>
      <c r="F67" s="17">
        <f t="shared" ref="F67:F131" si="1">SUM(C67:E67)</f>
        <v>10</v>
      </c>
    </row>
    <row r="68" spans="1:6" x14ac:dyDescent="0.25">
      <c r="A68" s="15">
        <v>67</v>
      </c>
      <c r="B68" s="19" t="s">
        <v>95</v>
      </c>
      <c r="C68" s="17">
        <v>6</v>
      </c>
      <c r="D68" s="17">
        <v>0</v>
      </c>
      <c r="E68" s="15">
        <v>1</v>
      </c>
      <c r="F68" s="17">
        <f t="shared" si="1"/>
        <v>7</v>
      </c>
    </row>
    <row r="69" spans="1:6" x14ac:dyDescent="0.25">
      <c r="A69" s="15">
        <v>68</v>
      </c>
      <c r="B69" s="19" t="s">
        <v>96</v>
      </c>
      <c r="C69" s="17">
        <v>2</v>
      </c>
      <c r="D69" s="17">
        <v>0</v>
      </c>
      <c r="E69" s="15">
        <v>1</v>
      </c>
      <c r="F69" s="17">
        <f t="shared" si="1"/>
        <v>3</v>
      </c>
    </row>
    <row r="70" spans="1:6" x14ac:dyDescent="0.25">
      <c r="A70" s="15">
        <v>69</v>
      </c>
      <c r="B70" s="16" t="s">
        <v>97</v>
      </c>
      <c r="C70" s="17">
        <v>28</v>
      </c>
      <c r="D70" s="17">
        <v>0</v>
      </c>
      <c r="E70" s="15">
        <v>0</v>
      </c>
      <c r="F70" s="17">
        <f t="shared" si="1"/>
        <v>28</v>
      </c>
    </row>
    <row r="71" spans="1:6" x14ac:dyDescent="0.25">
      <c r="A71" s="15">
        <v>70</v>
      </c>
      <c r="B71" s="16" t="s">
        <v>98</v>
      </c>
      <c r="C71" s="17">
        <v>22</v>
      </c>
      <c r="D71" s="17">
        <v>5</v>
      </c>
      <c r="E71" s="15">
        <v>0</v>
      </c>
      <c r="F71" s="17">
        <f t="shared" si="1"/>
        <v>27</v>
      </c>
    </row>
    <row r="72" spans="1:6" x14ac:dyDescent="0.25">
      <c r="A72" s="15">
        <v>71</v>
      </c>
      <c r="B72" s="19" t="s">
        <v>99</v>
      </c>
      <c r="C72" s="17">
        <v>2</v>
      </c>
      <c r="D72" s="17">
        <v>1</v>
      </c>
      <c r="E72" s="15">
        <v>1</v>
      </c>
      <c r="F72" s="17">
        <f t="shared" si="1"/>
        <v>4</v>
      </c>
    </row>
    <row r="73" spans="1:6" x14ac:dyDescent="0.25">
      <c r="A73" s="15">
        <v>72</v>
      </c>
      <c r="B73" s="16" t="s">
        <v>100</v>
      </c>
      <c r="C73" s="17">
        <v>15</v>
      </c>
      <c r="D73" s="17">
        <v>3</v>
      </c>
      <c r="E73" s="15">
        <v>0</v>
      </c>
      <c r="F73" s="17">
        <f t="shared" si="1"/>
        <v>18</v>
      </c>
    </row>
    <row r="74" spans="1:6" x14ac:dyDescent="0.25">
      <c r="A74" s="15">
        <v>73</v>
      </c>
      <c r="B74" s="19" t="s">
        <v>101</v>
      </c>
      <c r="C74" s="17">
        <v>2</v>
      </c>
      <c r="D74" s="17">
        <v>0</v>
      </c>
      <c r="E74" s="15">
        <v>1</v>
      </c>
      <c r="F74" s="17">
        <f t="shared" si="1"/>
        <v>3</v>
      </c>
    </row>
    <row r="75" spans="1:6" x14ac:dyDescent="0.25">
      <c r="A75" s="15">
        <v>74</v>
      </c>
      <c r="B75" s="19" t="s">
        <v>102</v>
      </c>
      <c r="C75" s="17">
        <v>1</v>
      </c>
      <c r="D75" s="17">
        <v>0</v>
      </c>
      <c r="E75" s="15">
        <v>1</v>
      </c>
      <c r="F75" s="17">
        <f t="shared" si="1"/>
        <v>2</v>
      </c>
    </row>
    <row r="76" spans="1:6" x14ac:dyDescent="0.25">
      <c r="A76" s="15">
        <v>75</v>
      </c>
      <c r="B76" s="19" t="s">
        <v>103</v>
      </c>
      <c r="C76" s="17">
        <v>1</v>
      </c>
      <c r="D76" s="17">
        <v>0</v>
      </c>
      <c r="E76" s="15">
        <v>1</v>
      </c>
      <c r="F76" s="17">
        <f t="shared" si="1"/>
        <v>2</v>
      </c>
    </row>
    <row r="77" spans="1:6" x14ac:dyDescent="0.25">
      <c r="A77" s="15">
        <v>76</v>
      </c>
      <c r="B77" s="16" t="s">
        <v>104</v>
      </c>
      <c r="C77" s="17">
        <v>8</v>
      </c>
      <c r="D77" s="17">
        <v>1</v>
      </c>
      <c r="E77" s="15">
        <v>0</v>
      </c>
      <c r="F77" s="17">
        <f t="shared" si="1"/>
        <v>9</v>
      </c>
    </row>
    <row r="78" spans="1:6" x14ac:dyDescent="0.25">
      <c r="A78" s="15">
        <v>77</v>
      </c>
      <c r="B78" s="16" t="s">
        <v>105</v>
      </c>
      <c r="C78" s="17">
        <v>39</v>
      </c>
      <c r="D78" s="17">
        <v>10</v>
      </c>
      <c r="E78" s="15">
        <v>0</v>
      </c>
      <c r="F78" s="17">
        <f t="shared" si="1"/>
        <v>49</v>
      </c>
    </row>
    <row r="79" spans="1:6" x14ac:dyDescent="0.25">
      <c r="A79" s="15">
        <v>78</v>
      </c>
      <c r="B79" s="16" t="s">
        <v>106</v>
      </c>
      <c r="C79" s="17">
        <v>11</v>
      </c>
      <c r="D79" s="17">
        <v>1</v>
      </c>
      <c r="E79" s="29">
        <v>0</v>
      </c>
      <c r="F79" s="17">
        <f t="shared" si="1"/>
        <v>12</v>
      </c>
    </row>
    <row r="80" spans="1:6" x14ac:dyDescent="0.25">
      <c r="A80" s="15">
        <v>79</v>
      </c>
      <c r="B80" s="19" t="s">
        <v>107</v>
      </c>
      <c r="C80" s="17">
        <v>2</v>
      </c>
      <c r="D80" s="17">
        <v>0</v>
      </c>
      <c r="E80" s="29">
        <v>1</v>
      </c>
      <c r="F80" s="17">
        <f t="shared" si="1"/>
        <v>3</v>
      </c>
    </row>
    <row r="81" spans="1:6" x14ac:dyDescent="0.25">
      <c r="A81" s="15">
        <v>80</v>
      </c>
      <c r="B81" s="19" t="s">
        <v>108</v>
      </c>
      <c r="C81" s="17">
        <v>2</v>
      </c>
      <c r="D81" s="17">
        <v>1</v>
      </c>
      <c r="E81" s="29">
        <v>1</v>
      </c>
      <c r="F81" s="17">
        <f t="shared" si="1"/>
        <v>4</v>
      </c>
    </row>
    <row r="82" spans="1:6" x14ac:dyDescent="0.25">
      <c r="A82" s="15">
        <v>81</v>
      </c>
      <c r="B82" s="16" t="s">
        <v>109</v>
      </c>
      <c r="C82" s="17">
        <v>48</v>
      </c>
      <c r="D82" s="17">
        <v>14</v>
      </c>
      <c r="E82" s="15">
        <v>0</v>
      </c>
      <c r="F82" s="17">
        <f t="shared" si="1"/>
        <v>62</v>
      </c>
    </row>
    <row r="83" spans="1:6" x14ac:dyDescent="0.25">
      <c r="A83" s="15">
        <v>82</v>
      </c>
      <c r="B83" s="19" t="s">
        <v>110</v>
      </c>
      <c r="C83" s="17">
        <v>3</v>
      </c>
      <c r="D83" s="17">
        <v>1</v>
      </c>
      <c r="E83" s="15">
        <v>1</v>
      </c>
      <c r="F83" s="17">
        <f t="shared" si="1"/>
        <v>5</v>
      </c>
    </row>
    <row r="84" spans="1:6" x14ac:dyDescent="0.25">
      <c r="A84" s="15">
        <v>83</v>
      </c>
      <c r="B84" s="19" t="s">
        <v>111</v>
      </c>
      <c r="C84" s="17">
        <v>3</v>
      </c>
      <c r="D84" s="17">
        <v>1</v>
      </c>
      <c r="E84" s="15">
        <v>1</v>
      </c>
      <c r="F84" s="17">
        <f t="shared" si="1"/>
        <v>5</v>
      </c>
    </row>
    <row r="85" spans="1:6" x14ac:dyDescent="0.25">
      <c r="A85" s="15">
        <v>84</v>
      </c>
      <c r="B85" s="16" t="s">
        <v>112</v>
      </c>
      <c r="C85" s="17">
        <v>23</v>
      </c>
      <c r="D85" s="17">
        <v>9</v>
      </c>
      <c r="E85" s="15">
        <v>0</v>
      </c>
      <c r="F85" s="17">
        <f t="shared" si="1"/>
        <v>32</v>
      </c>
    </row>
    <row r="86" spans="1:6" x14ac:dyDescent="0.25">
      <c r="A86" s="15">
        <v>85</v>
      </c>
      <c r="B86" s="19" t="s">
        <v>113</v>
      </c>
      <c r="C86" s="17">
        <v>3</v>
      </c>
      <c r="D86" s="17">
        <v>1</v>
      </c>
      <c r="E86" s="15">
        <v>1</v>
      </c>
      <c r="F86" s="17">
        <f t="shared" si="1"/>
        <v>5</v>
      </c>
    </row>
    <row r="87" spans="1:6" x14ac:dyDescent="0.25">
      <c r="A87" s="15">
        <v>86</v>
      </c>
      <c r="B87" s="19" t="s">
        <v>221</v>
      </c>
      <c r="C87" s="17">
        <v>1</v>
      </c>
      <c r="D87" s="17">
        <v>0</v>
      </c>
      <c r="E87" s="15">
        <v>1</v>
      </c>
      <c r="F87" s="17">
        <f t="shared" si="1"/>
        <v>2</v>
      </c>
    </row>
    <row r="88" spans="1:6" x14ac:dyDescent="0.25">
      <c r="A88" s="15">
        <v>87</v>
      </c>
      <c r="B88" s="19" t="s">
        <v>222</v>
      </c>
      <c r="C88" s="17">
        <v>2</v>
      </c>
      <c r="D88" s="17">
        <v>0</v>
      </c>
      <c r="E88" s="15">
        <v>1</v>
      </c>
      <c r="F88" s="17">
        <f t="shared" si="1"/>
        <v>3</v>
      </c>
    </row>
    <row r="89" spans="1:6" x14ac:dyDescent="0.25">
      <c r="A89" s="15">
        <v>88</v>
      </c>
      <c r="B89" s="16" t="s">
        <v>114</v>
      </c>
      <c r="C89" s="17">
        <v>11</v>
      </c>
      <c r="D89" s="17">
        <v>2</v>
      </c>
      <c r="E89" s="15">
        <v>0</v>
      </c>
      <c r="F89" s="17">
        <f t="shared" si="1"/>
        <v>13</v>
      </c>
    </row>
    <row r="90" spans="1:6" x14ac:dyDescent="0.25">
      <c r="A90" s="15">
        <v>89</v>
      </c>
      <c r="B90" s="19" t="s">
        <v>115</v>
      </c>
      <c r="C90" s="17">
        <v>4</v>
      </c>
      <c r="D90" s="17">
        <v>2</v>
      </c>
      <c r="E90" s="15">
        <v>1</v>
      </c>
      <c r="F90" s="17">
        <f t="shared" si="1"/>
        <v>7</v>
      </c>
    </row>
    <row r="91" spans="1:6" x14ac:dyDescent="0.25">
      <c r="A91" s="15">
        <v>90</v>
      </c>
      <c r="B91" s="16" t="s">
        <v>116</v>
      </c>
      <c r="C91" s="17">
        <v>10</v>
      </c>
      <c r="D91" s="17">
        <v>3</v>
      </c>
      <c r="E91" s="15">
        <v>0</v>
      </c>
      <c r="F91" s="17">
        <f t="shared" si="1"/>
        <v>13</v>
      </c>
    </row>
    <row r="92" spans="1:6" x14ac:dyDescent="0.25">
      <c r="A92" s="15">
        <v>91</v>
      </c>
      <c r="B92" s="19" t="s">
        <v>117</v>
      </c>
      <c r="C92" s="17">
        <v>2</v>
      </c>
      <c r="D92" s="17">
        <v>1</v>
      </c>
      <c r="E92" s="15">
        <v>1</v>
      </c>
      <c r="F92" s="17">
        <f t="shared" si="1"/>
        <v>4</v>
      </c>
    </row>
    <row r="93" spans="1:6" x14ac:dyDescent="0.25">
      <c r="A93" s="15">
        <v>92</v>
      </c>
      <c r="B93" s="19" t="s">
        <v>118</v>
      </c>
      <c r="C93" s="17">
        <v>2</v>
      </c>
      <c r="D93" s="17">
        <v>1</v>
      </c>
      <c r="E93" s="15">
        <v>1</v>
      </c>
      <c r="F93" s="17">
        <f t="shared" si="1"/>
        <v>4</v>
      </c>
    </row>
    <row r="94" spans="1:6" x14ac:dyDescent="0.25">
      <c r="A94" s="15">
        <v>93</v>
      </c>
      <c r="B94" s="16" t="s">
        <v>119</v>
      </c>
      <c r="C94" s="17">
        <v>15</v>
      </c>
      <c r="D94" s="17">
        <v>4</v>
      </c>
      <c r="E94" s="15">
        <v>0</v>
      </c>
      <c r="F94" s="17">
        <f t="shared" si="1"/>
        <v>19</v>
      </c>
    </row>
    <row r="95" spans="1:6" x14ac:dyDescent="0.25">
      <c r="A95" s="15">
        <v>94</v>
      </c>
      <c r="B95" s="19" t="s">
        <v>120</v>
      </c>
      <c r="C95" s="17">
        <v>2</v>
      </c>
      <c r="D95" s="17">
        <v>0</v>
      </c>
      <c r="E95" s="15">
        <v>1</v>
      </c>
      <c r="F95" s="17">
        <f t="shared" si="1"/>
        <v>3</v>
      </c>
    </row>
    <row r="96" spans="1:6" x14ac:dyDescent="0.25">
      <c r="A96" s="15">
        <v>95</v>
      </c>
      <c r="B96" s="16" t="s">
        <v>121</v>
      </c>
      <c r="C96" s="17">
        <v>26</v>
      </c>
      <c r="D96" s="17">
        <v>7</v>
      </c>
      <c r="E96" s="15">
        <v>0</v>
      </c>
      <c r="F96" s="17">
        <f t="shared" si="1"/>
        <v>33</v>
      </c>
    </row>
    <row r="97" spans="1:6" x14ac:dyDescent="0.25">
      <c r="A97" s="15">
        <v>96</v>
      </c>
      <c r="B97" s="19" t="s">
        <v>122</v>
      </c>
      <c r="C97" s="17">
        <v>2</v>
      </c>
      <c r="D97" s="17">
        <v>0</v>
      </c>
      <c r="E97" s="15">
        <v>1</v>
      </c>
      <c r="F97" s="17">
        <f t="shared" si="1"/>
        <v>3</v>
      </c>
    </row>
    <row r="98" spans="1:6" x14ac:dyDescent="0.25">
      <c r="A98" s="15">
        <v>97</v>
      </c>
      <c r="B98" s="19" t="s">
        <v>123</v>
      </c>
      <c r="C98" s="17">
        <v>1</v>
      </c>
      <c r="D98" s="17">
        <v>0</v>
      </c>
      <c r="E98" s="15">
        <v>0</v>
      </c>
      <c r="F98" s="17">
        <f t="shared" si="1"/>
        <v>1</v>
      </c>
    </row>
    <row r="99" spans="1:6" x14ac:dyDescent="0.25">
      <c r="A99" s="15">
        <v>98</v>
      </c>
      <c r="B99" s="19" t="s">
        <v>124</v>
      </c>
      <c r="C99" s="17">
        <v>1</v>
      </c>
      <c r="D99" s="17">
        <v>0</v>
      </c>
      <c r="E99" s="15">
        <v>1</v>
      </c>
      <c r="F99" s="17">
        <f t="shared" si="1"/>
        <v>2</v>
      </c>
    </row>
    <row r="100" spans="1:6" x14ac:dyDescent="0.25">
      <c r="A100" s="15">
        <v>99</v>
      </c>
      <c r="B100" s="16" t="s">
        <v>125</v>
      </c>
      <c r="C100" s="17">
        <v>15</v>
      </c>
      <c r="D100" s="17">
        <v>1</v>
      </c>
      <c r="E100" s="15">
        <v>0</v>
      </c>
      <c r="F100" s="17">
        <f t="shared" si="1"/>
        <v>16</v>
      </c>
    </row>
    <row r="101" spans="1:6" x14ac:dyDescent="0.25">
      <c r="A101" s="15">
        <v>100</v>
      </c>
      <c r="B101" s="19" t="s">
        <v>126</v>
      </c>
      <c r="C101" s="17">
        <v>2</v>
      </c>
      <c r="D101" s="17">
        <v>1</v>
      </c>
      <c r="E101" s="15">
        <v>1</v>
      </c>
      <c r="F101" s="17">
        <f t="shared" si="1"/>
        <v>4</v>
      </c>
    </row>
    <row r="102" spans="1:6" x14ac:dyDescent="0.25">
      <c r="A102" s="15">
        <v>101</v>
      </c>
      <c r="B102" s="19" t="s">
        <v>127</v>
      </c>
      <c r="C102" s="17">
        <v>2</v>
      </c>
      <c r="D102" s="17">
        <v>0</v>
      </c>
      <c r="E102" s="15">
        <v>1</v>
      </c>
      <c r="F102" s="17">
        <f t="shared" si="1"/>
        <v>3</v>
      </c>
    </row>
    <row r="103" spans="1:6" x14ac:dyDescent="0.25">
      <c r="A103" s="15">
        <v>102</v>
      </c>
      <c r="B103" s="19" t="s">
        <v>128</v>
      </c>
      <c r="C103" s="17">
        <v>0</v>
      </c>
      <c r="D103" s="17">
        <v>0</v>
      </c>
      <c r="E103" s="15">
        <v>1</v>
      </c>
      <c r="F103" s="17">
        <f t="shared" si="1"/>
        <v>1</v>
      </c>
    </row>
    <row r="104" spans="1:6" x14ac:dyDescent="0.25">
      <c r="A104" s="15">
        <v>103</v>
      </c>
      <c r="B104" s="16" t="s">
        <v>129</v>
      </c>
      <c r="C104" s="17">
        <v>12</v>
      </c>
      <c r="D104" s="17">
        <v>3</v>
      </c>
      <c r="E104" s="15">
        <v>0</v>
      </c>
      <c r="F104" s="17">
        <f t="shared" si="1"/>
        <v>15</v>
      </c>
    </row>
    <row r="105" spans="1:6" x14ac:dyDescent="0.25">
      <c r="A105" s="15">
        <v>104</v>
      </c>
      <c r="B105" s="19" t="s">
        <v>130</v>
      </c>
      <c r="C105" s="17">
        <v>3</v>
      </c>
      <c r="D105" s="17">
        <v>1</v>
      </c>
      <c r="E105" s="15">
        <v>1</v>
      </c>
      <c r="F105" s="17">
        <f t="shared" si="1"/>
        <v>5</v>
      </c>
    </row>
    <row r="106" spans="1:6" x14ac:dyDescent="0.25">
      <c r="A106" s="15">
        <v>105</v>
      </c>
      <c r="B106" s="19" t="s">
        <v>131</v>
      </c>
      <c r="C106" s="17">
        <v>2</v>
      </c>
      <c r="D106" s="17">
        <v>1</v>
      </c>
      <c r="E106" s="15">
        <v>1</v>
      </c>
      <c r="F106" s="17">
        <f t="shared" si="1"/>
        <v>4</v>
      </c>
    </row>
    <row r="107" spans="1:6" x14ac:dyDescent="0.25">
      <c r="A107" s="15">
        <v>106</v>
      </c>
      <c r="B107" s="16" t="s">
        <v>132</v>
      </c>
      <c r="C107" s="17">
        <v>13</v>
      </c>
      <c r="D107" s="17">
        <v>1</v>
      </c>
      <c r="E107" s="15">
        <v>0</v>
      </c>
      <c r="F107" s="17">
        <f t="shared" si="1"/>
        <v>14</v>
      </c>
    </row>
    <row r="108" spans="1:6" x14ac:dyDescent="0.25">
      <c r="A108" s="15">
        <v>107</v>
      </c>
      <c r="B108" s="19" t="s">
        <v>133</v>
      </c>
      <c r="C108" s="17">
        <v>2</v>
      </c>
      <c r="D108" s="17">
        <v>0</v>
      </c>
      <c r="E108" s="15">
        <v>1</v>
      </c>
      <c r="F108" s="17">
        <f t="shared" si="1"/>
        <v>3</v>
      </c>
    </row>
    <row r="109" spans="1:6" x14ac:dyDescent="0.25">
      <c r="A109" s="15">
        <v>108</v>
      </c>
      <c r="B109" s="19" t="s">
        <v>134</v>
      </c>
      <c r="C109" s="17">
        <v>3</v>
      </c>
      <c r="D109" s="17">
        <v>2</v>
      </c>
      <c r="E109" s="15">
        <v>0</v>
      </c>
      <c r="F109" s="17">
        <f t="shared" si="1"/>
        <v>5</v>
      </c>
    </row>
    <row r="110" spans="1:6" x14ac:dyDescent="0.25">
      <c r="A110" s="15">
        <v>109</v>
      </c>
      <c r="B110" s="16" t="s">
        <v>135</v>
      </c>
      <c r="C110" s="17">
        <v>13</v>
      </c>
      <c r="D110" s="17">
        <v>4</v>
      </c>
      <c r="E110" s="15">
        <v>0</v>
      </c>
      <c r="F110" s="17">
        <f t="shared" si="1"/>
        <v>17</v>
      </c>
    </row>
    <row r="111" spans="1:6" x14ac:dyDescent="0.25">
      <c r="A111" s="15">
        <v>110</v>
      </c>
      <c r="B111" s="19" t="s">
        <v>136</v>
      </c>
      <c r="C111" s="17">
        <v>2</v>
      </c>
      <c r="D111" s="17">
        <v>1</v>
      </c>
      <c r="E111" s="15">
        <v>1</v>
      </c>
      <c r="F111" s="17">
        <f t="shared" si="1"/>
        <v>4</v>
      </c>
    </row>
    <row r="112" spans="1:6" x14ac:dyDescent="0.25">
      <c r="A112" s="15">
        <v>111</v>
      </c>
      <c r="B112" s="19" t="s">
        <v>137</v>
      </c>
      <c r="C112" s="17">
        <v>2</v>
      </c>
      <c r="D112" s="17">
        <v>0</v>
      </c>
      <c r="E112" s="15">
        <v>1</v>
      </c>
      <c r="F112" s="17">
        <f t="shared" si="1"/>
        <v>3</v>
      </c>
    </row>
    <row r="113" spans="1:6" x14ac:dyDescent="0.25">
      <c r="A113" s="15">
        <v>112</v>
      </c>
      <c r="B113" s="16" t="s">
        <v>138</v>
      </c>
      <c r="C113" s="17">
        <v>19</v>
      </c>
      <c r="D113" s="17">
        <v>3</v>
      </c>
      <c r="E113" s="15">
        <v>0</v>
      </c>
      <c r="F113" s="17">
        <f t="shared" si="1"/>
        <v>22</v>
      </c>
    </row>
    <row r="114" spans="1:6" x14ac:dyDescent="0.25">
      <c r="A114" s="15">
        <v>113</v>
      </c>
      <c r="B114" s="19" t="s">
        <v>139</v>
      </c>
      <c r="C114" s="17">
        <v>3</v>
      </c>
      <c r="D114" s="17">
        <v>1</v>
      </c>
      <c r="E114" s="15">
        <v>1</v>
      </c>
      <c r="F114" s="17">
        <f t="shared" si="1"/>
        <v>5</v>
      </c>
    </row>
    <row r="115" spans="1:6" x14ac:dyDescent="0.25">
      <c r="A115" s="15">
        <v>114</v>
      </c>
      <c r="B115" s="16" t="s">
        <v>140</v>
      </c>
      <c r="C115" s="17">
        <v>11</v>
      </c>
      <c r="D115" s="17">
        <v>1</v>
      </c>
      <c r="E115" s="15">
        <v>0</v>
      </c>
      <c r="F115" s="17">
        <f t="shared" si="1"/>
        <v>12</v>
      </c>
    </row>
    <row r="116" spans="1:6" x14ac:dyDescent="0.25">
      <c r="A116" s="15">
        <v>115</v>
      </c>
      <c r="B116" s="19" t="s">
        <v>141</v>
      </c>
      <c r="C116" s="17">
        <v>2</v>
      </c>
      <c r="D116" s="17">
        <v>0</v>
      </c>
      <c r="E116" s="15">
        <v>0</v>
      </c>
      <c r="F116" s="17">
        <f t="shared" si="1"/>
        <v>2</v>
      </c>
    </row>
    <row r="117" spans="1:6" x14ac:dyDescent="0.25">
      <c r="A117" s="15">
        <v>116</v>
      </c>
      <c r="B117" s="16" t="s">
        <v>1</v>
      </c>
      <c r="C117" s="17">
        <v>18</v>
      </c>
      <c r="D117" s="17">
        <v>3</v>
      </c>
      <c r="E117" s="15">
        <v>0</v>
      </c>
      <c r="F117" s="17">
        <f t="shared" si="1"/>
        <v>21</v>
      </c>
    </row>
    <row r="118" spans="1:6" x14ac:dyDescent="0.25">
      <c r="A118" s="15">
        <v>117</v>
      </c>
      <c r="B118" s="19" t="s">
        <v>142</v>
      </c>
      <c r="C118" s="17">
        <v>2</v>
      </c>
      <c r="D118" s="17">
        <v>0</v>
      </c>
      <c r="E118" s="15">
        <v>1</v>
      </c>
      <c r="F118" s="17">
        <f t="shared" si="1"/>
        <v>3</v>
      </c>
    </row>
    <row r="119" spans="1:6" x14ac:dyDescent="0.25">
      <c r="A119" s="15">
        <v>118</v>
      </c>
      <c r="B119" s="19" t="s">
        <v>143</v>
      </c>
      <c r="C119" s="17">
        <v>2</v>
      </c>
      <c r="D119" s="17">
        <v>0</v>
      </c>
      <c r="E119" s="15">
        <v>1</v>
      </c>
      <c r="F119" s="17">
        <f t="shared" si="1"/>
        <v>3</v>
      </c>
    </row>
    <row r="120" spans="1:6" x14ac:dyDescent="0.25">
      <c r="A120" s="15">
        <v>119</v>
      </c>
      <c r="B120" s="16" t="s">
        <v>144</v>
      </c>
      <c r="C120" s="17">
        <v>19</v>
      </c>
      <c r="D120" s="17">
        <v>5</v>
      </c>
      <c r="E120" s="15">
        <v>0</v>
      </c>
      <c r="F120" s="17">
        <f t="shared" si="1"/>
        <v>24</v>
      </c>
    </row>
    <row r="121" spans="1:6" x14ac:dyDescent="0.25">
      <c r="A121" s="15">
        <v>120</v>
      </c>
      <c r="B121" s="19" t="s">
        <v>145</v>
      </c>
      <c r="C121" s="17">
        <v>1</v>
      </c>
      <c r="D121" s="17">
        <v>0</v>
      </c>
      <c r="E121" s="15">
        <v>1</v>
      </c>
      <c r="F121" s="17">
        <f t="shared" si="1"/>
        <v>2</v>
      </c>
    </row>
    <row r="122" spans="1:6" x14ac:dyDescent="0.25">
      <c r="A122" s="15">
        <v>121</v>
      </c>
      <c r="B122" s="16" t="s">
        <v>146</v>
      </c>
      <c r="C122" s="17">
        <v>15</v>
      </c>
      <c r="D122" s="17">
        <v>2</v>
      </c>
      <c r="E122" s="15">
        <v>0</v>
      </c>
      <c r="F122" s="17">
        <f t="shared" si="1"/>
        <v>17</v>
      </c>
    </row>
    <row r="123" spans="1:6" x14ac:dyDescent="0.25">
      <c r="A123" s="15">
        <v>122</v>
      </c>
      <c r="B123" s="19" t="s">
        <v>147</v>
      </c>
      <c r="C123" s="17">
        <v>2</v>
      </c>
      <c r="D123" s="17">
        <v>1</v>
      </c>
      <c r="E123" s="15">
        <v>1</v>
      </c>
      <c r="F123" s="17">
        <f t="shared" si="1"/>
        <v>4</v>
      </c>
    </row>
    <row r="124" spans="1:6" x14ac:dyDescent="0.25">
      <c r="A124" s="15">
        <v>123</v>
      </c>
      <c r="B124" s="19" t="s">
        <v>148</v>
      </c>
      <c r="C124" s="17">
        <v>2</v>
      </c>
      <c r="D124" s="17">
        <v>0</v>
      </c>
      <c r="E124" s="15">
        <v>1</v>
      </c>
      <c r="F124" s="17">
        <f t="shared" si="1"/>
        <v>3</v>
      </c>
    </row>
    <row r="125" spans="1:6" x14ac:dyDescent="0.25">
      <c r="A125" s="15">
        <v>124</v>
      </c>
      <c r="B125" s="19" t="s">
        <v>149</v>
      </c>
      <c r="C125" s="17">
        <v>0</v>
      </c>
      <c r="D125" s="17">
        <v>0</v>
      </c>
      <c r="E125" s="15">
        <v>1</v>
      </c>
      <c r="F125" s="17">
        <f t="shared" si="1"/>
        <v>1</v>
      </c>
    </row>
    <row r="126" spans="1:6" x14ac:dyDescent="0.25">
      <c r="A126" s="15">
        <v>125</v>
      </c>
      <c r="B126" s="16" t="s">
        <v>150</v>
      </c>
      <c r="C126" s="17">
        <v>18</v>
      </c>
      <c r="D126" s="17">
        <v>3</v>
      </c>
      <c r="E126" s="15">
        <v>0</v>
      </c>
      <c r="F126" s="17">
        <f t="shared" si="1"/>
        <v>21</v>
      </c>
    </row>
    <row r="127" spans="1:6" x14ac:dyDescent="0.25">
      <c r="A127" s="15">
        <v>126</v>
      </c>
      <c r="B127" s="19" t="s">
        <v>151</v>
      </c>
      <c r="C127" s="17">
        <v>2</v>
      </c>
      <c r="D127" s="17">
        <v>0</v>
      </c>
      <c r="E127" s="15">
        <v>1</v>
      </c>
      <c r="F127" s="17">
        <f t="shared" si="1"/>
        <v>3</v>
      </c>
    </row>
    <row r="128" spans="1:6" x14ac:dyDescent="0.25">
      <c r="A128" s="15">
        <v>127</v>
      </c>
      <c r="B128" s="19" t="s">
        <v>152</v>
      </c>
      <c r="C128" s="17">
        <v>3</v>
      </c>
      <c r="D128" s="17">
        <v>1</v>
      </c>
      <c r="E128" s="15">
        <v>1</v>
      </c>
      <c r="F128" s="17">
        <f t="shared" si="1"/>
        <v>5</v>
      </c>
    </row>
    <row r="129" spans="1:6" x14ac:dyDescent="0.25">
      <c r="A129" s="15">
        <v>128</v>
      </c>
      <c r="B129" s="19" t="s">
        <v>153</v>
      </c>
      <c r="C129" s="17">
        <v>2</v>
      </c>
      <c r="D129" s="17">
        <v>0</v>
      </c>
      <c r="E129" s="15">
        <v>1</v>
      </c>
      <c r="F129" s="17">
        <f t="shared" si="1"/>
        <v>3</v>
      </c>
    </row>
    <row r="130" spans="1:6" x14ac:dyDescent="0.25">
      <c r="A130" s="15">
        <v>129</v>
      </c>
      <c r="B130" s="16" t="s">
        <v>154</v>
      </c>
      <c r="C130" s="17">
        <v>19</v>
      </c>
      <c r="D130" s="17">
        <v>3</v>
      </c>
      <c r="E130" s="15">
        <v>0</v>
      </c>
      <c r="F130" s="17">
        <f t="shared" si="1"/>
        <v>22</v>
      </c>
    </row>
    <row r="131" spans="1:6" x14ac:dyDescent="0.25">
      <c r="A131" s="15">
        <v>130</v>
      </c>
      <c r="B131" s="19" t="s">
        <v>155</v>
      </c>
      <c r="C131" s="17">
        <v>4</v>
      </c>
      <c r="D131" s="17">
        <v>2</v>
      </c>
      <c r="E131" s="15">
        <v>1</v>
      </c>
      <c r="F131" s="17">
        <f t="shared" si="1"/>
        <v>7</v>
      </c>
    </row>
    <row r="132" spans="1:6" x14ac:dyDescent="0.25">
      <c r="A132" s="25"/>
      <c r="B132" s="25"/>
      <c r="C132" s="25"/>
      <c r="D132" s="25"/>
      <c r="E132" s="25"/>
      <c r="F132" s="25"/>
    </row>
    <row r="133" spans="1:6" ht="15.75" x14ac:dyDescent="0.25">
      <c r="A133" s="22"/>
      <c r="B133" s="23" t="s">
        <v>156</v>
      </c>
      <c r="C133" s="27">
        <f>SUM(C2:C131)</f>
        <v>1147</v>
      </c>
      <c r="D133" s="27">
        <f>SUM(D2:D131)</f>
        <v>108</v>
      </c>
      <c r="E133" s="27">
        <f>SUM(E2:E131)</f>
        <v>81</v>
      </c>
      <c r="F133" s="27">
        <f>SUM(F2:F131)</f>
        <v>1336</v>
      </c>
    </row>
    <row r="134" spans="1:6" x14ac:dyDescent="0.25">
      <c r="A134" s="25"/>
      <c r="B134" s="25"/>
      <c r="C134" s="25"/>
      <c r="D134" s="25"/>
      <c r="E134" s="25"/>
      <c r="F134" s="25"/>
    </row>
    <row r="135" spans="1:6" ht="15.75" x14ac:dyDescent="0.25">
      <c r="A135" s="26">
        <v>1</v>
      </c>
      <c r="B135" s="27" t="s">
        <v>157</v>
      </c>
      <c r="C135" s="30">
        <f>SUM(C2:C69)</f>
        <v>640</v>
      </c>
      <c r="D135" s="30">
        <f>SUM(D2:D69)</f>
        <v>0</v>
      </c>
      <c r="E135" s="30">
        <f>SUM(E2:E69)</f>
        <v>45</v>
      </c>
      <c r="F135" s="30">
        <f>SUM(F2:F69)</f>
        <v>685</v>
      </c>
    </row>
    <row r="136" spans="1:6" ht="15.75" x14ac:dyDescent="0.25">
      <c r="A136" s="26">
        <v>2</v>
      </c>
      <c r="B136" s="27" t="s">
        <v>158</v>
      </c>
      <c r="C136" s="30">
        <f>SUM(C71:C131)</f>
        <v>479</v>
      </c>
      <c r="D136" s="30">
        <f>SUM(D71:D131)</f>
        <v>108</v>
      </c>
      <c r="E136" s="30">
        <f>SUM(E71:E131)</f>
        <v>36</v>
      </c>
      <c r="F136" s="30">
        <f>SUM(F71:F131)</f>
        <v>623</v>
      </c>
    </row>
    <row r="137" spans="1:6" ht="15.75" x14ac:dyDescent="0.25">
      <c r="A137" s="26">
        <v>3</v>
      </c>
      <c r="B137" s="27" t="s">
        <v>97</v>
      </c>
      <c r="C137" s="30">
        <f>C70</f>
        <v>28</v>
      </c>
      <c r="D137" s="30">
        <f>D70</f>
        <v>0</v>
      </c>
      <c r="E137" s="30">
        <f>E70</f>
        <v>0</v>
      </c>
      <c r="F137" s="30">
        <f>F70</f>
        <v>28</v>
      </c>
    </row>
    <row r="138" spans="1:6" ht="15.75" x14ac:dyDescent="0.25">
      <c r="A138" s="22"/>
      <c r="B138" s="27" t="s">
        <v>156</v>
      </c>
      <c r="C138" s="27">
        <f>SUM(C135:C137)</f>
        <v>1147</v>
      </c>
      <c r="D138" s="27">
        <f>SUM(D135:D137)</f>
        <v>108</v>
      </c>
      <c r="E138" s="27">
        <f>SUM(E135:E137)</f>
        <v>81</v>
      </c>
      <c r="F138" s="27">
        <f>SUM(F135:F137)</f>
        <v>1336</v>
      </c>
    </row>
  </sheetData>
  <pageMargins left="0.7" right="0.7" top="0.75" bottom="0.75" header="0.3" footer="0.3"/>
  <pageSetup paperSize="5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8"/>
  <sheetViews>
    <sheetView workbookViewId="0">
      <pane ySplit="1" topLeftCell="A75" activePane="bottomLeft" state="frozen"/>
      <selection pane="bottomLeft" activeCell="A85" sqref="A85:A131"/>
    </sheetView>
  </sheetViews>
  <sheetFormatPr defaultColWidth="14.42578125" defaultRowHeight="15" x14ac:dyDescent="0.25"/>
  <cols>
    <col min="1" max="1" width="6.7109375" bestFit="1" customWidth="1"/>
    <col min="2" max="2" width="27.5703125" customWidth="1"/>
    <col min="3" max="3" width="25.5703125" customWidth="1"/>
    <col min="4" max="11" width="8.7109375" customWidth="1"/>
    <col min="12" max="12" width="13" customWidth="1"/>
    <col min="13" max="21" width="8.7109375" customWidth="1"/>
  </cols>
  <sheetData>
    <row r="1" spans="1:14" ht="113.25" x14ac:dyDescent="0.25">
      <c r="A1" s="32" t="s">
        <v>15</v>
      </c>
      <c r="B1" s="32" t="s">
        <v>16</v>
      </c>
      <c r="C1" s="68" t="s">
        <v>202</v>
      </c>
      <c r="D1" s="68" t="s">
        <v>201</v>
      </c>
      <c r="E1" s="68" t="s">
        <v>200</v>
      </c>
      <c r="F1" s="33">
        <v>2017</v>
      </c>
      <c r="G1" s="33">
        <v>2020</v>
      </c>
      <c r="H1" s="33">
        <v>2023</v>
      </c>
      <c r="I1" s="33" t="s">
        <v>195</v>
      </c>
      <c r="J1" s="33" t="s">
        <v>196</v>
      </c>
      <c r="K1" s="68" t="s">
        <v>199</v>
      </c>
      <c r="L1" s="68" t="s">
        <v>203</v>
      </c>
      <c r="M1" s="68" t="s">
        <v>204</v>
      </c>
      <c r="N1" s="34" t="s">
        <v>197</v>
      </c>
    </row>
    <row r="2" spans="1:14" x14ac:dyDescent="0.25">
      <c r="A2" s="36">
        <v>1</v>
      </c>
      <c r="B2" s="37" t="s">
        <v>29</v>
      </c>
      <c r="C2" s="38">
        <f>VLOOKUP(B:B,Courts!B:C,2,FALSE())</f>
        <v>48</v>
      </c>
      <c r="D2" s="38">
        <f>VLOOKUP(B:B,Courts!B:E,4,FALSE())</f>
        <v>0</v>
      </c>
      <c r="E2" s="38">
        <f>VLOOKUP(B:B,Courts!B:D,3,FALSE())</f>
        <v>0</v>
      </c>
      <c r="F2" s="18">
        <v>34</v>
      </c>
      <c r="G2" s="18">
        <v>0</v>
      </c>
      <c r="H2" s="18">
        <v>0</v>
      </c>
      <c r="I2" s="18">
        <v>12</v>
      </c>
      <c r="J2" s="18">
        <v>1</v>
      </c>
      <c r="K2" s="38">
        <f>SUM(F2:I2)</f>
        <v>46</v>
      </c>
      <c r="L2" s="18">
        <f t="shared" ref="L2:L33" si="0">SUM(C2:E2)*1</f>
        <v>48</v>
      </c>
      <c r="M2" s="52">
        <f t="shared" ref="M2:M24" si="1">K2-L2</f>
        <v>-2</v>
      </c>
      <c r="N2" s="18">
        <v>2</v>
      </c>
    </row>
    <row r="3" spans="1:14" x14ac:dyDescent="0.25">
      <c r="A3" s="36">
        <v>2</v>
      </c>
      <c r="B3" s="36" t="s">
        <v>30</v>
      </c>
      <c r="C3" s="38">
        <f>VLOOKUP(B:B,Courts!B:C,2,FALSE())</f>
        <v>5</v>
      </c>
      <c r="D3" s="38">
        <f>VLOOKUP(B:B,Courts!B:E,4,FALSE())</f>
        <v>1</v>
      </c>
      <c r="E3" s="38">
        <f>VLOOKUP(B:B,Courts!B:D,3,FALSE())</f>
        <v>0</v>
      </c>
      <c r="F3" s="18">
        <v>4</v>
      </c>
      <c r="G3" s="18">
        <v>0</v>
      </c>
      <c r="H3" s="18">
        <v>0</v>
      </c>
      <c r="I3" s="18">
        <v>2</v>
      </c>
      <c r="J3" s="18">
        <v>1</v>
      </c>
      <c r="K3" s="38">
        <f t="shared" ref="K3:K33" si="2">SUM(F3:I3)</f>
        <v>6</v>
      </c>
      <c r="L3" s="18">
        <f t="shared" si="0"/>
        <v>6</v>
      </c>
      <c r="M3" s="52">
        <f t="shared" si="1"/>
        <v>0</v>
      </c>
      <c r="N3" s="18">
        <v>0</v>
      </c>
    </row>
    <row r="4" spans="1:14" x14ac:dyDescent="0.25">
      <c r="A4" s="36">
        <v>3</v>
      </c>
      <c r="B4" s="36" t="s">
        <v>31</v>
      </c>
      <c r="C4" s="38">
        <f>VLOOKUP(B:B,Courts!B:C,2,FALSE())</f>
        <v>4</v>
      </c>
      <c r="D4" s="38">
        <f>VLOOKUP(B:B,Courts!B:E,4,FALSE())</f>
        <v>1</v>
      </c>
      <c r="E4" s="38">
        <f>VLOOKUP(B:B,Courts!B:D,3,FALSE())</f>
        <v>0</v>
      </c>
      <c r="F4" s="18">
        <v>1</v>
      </c>
      <c r="G4" s="18">
        <v>2</v>
      </c>
      <c r="H4" s="18">
        <v>1</v>
      </c>
      <c r="I4" s="18">
        <v>1</v>
      </c>
      <c r="J4" s="18">
        <v>1</v>
      </c>
      <c r="K4" s="38">
        <f t="shared" si="2"/>
        <v>5</v>
      </c>
      <c r="L4" s="18">
        <f t="shared" si="0"/>
        <v>5</v>
      </c>
      <c r="M4" s="52">
        <f t="shared" si="1"/>
        <v>0</v>
      </c>
      <c r="N4" s="18">
        <v>0</v>
      </c>
    </row>
    <row r="5" spans="1:14" x14ac:dyDescent="0.25">
      <c r="A5" s="36">
        <v>4</v>
      </c>
      <c r="B5" s="37" t="s">
        <v>32</v>
      </c>
      <c r="C5" s="38">
        <f>VLOOKUP(B:B,Courts!B:C,2,FALSE())</f>
        <v>11</v>
      </c>
      <c r="D5" s="38">
        <f>VLOOKUP(B:B,Courts!B:E,4,FALSE())</f>
        <v>0</v>
      </c>
      <c r="E5" s="38">
        <f>VLOOKUP(B:B,Courts!B:D,3,FALSE())</f>
        <v>0</v>
      </c>
      <c r="F5" s="18">
        <v>7</v>
      </c>
      <c r="G5" s="18">
        <v>3</v>
      </c>
      <c r="H5" s="18">
        <v>1</v>
      </c>
      <c r="I5" s="18">
        <v>2</v>
      </c>
      <c r="J5" s="18">
        <v>1</v>
      </c>
      <c r="K5" s="38">
        <f t="shared" si="2"/>
        <v>13</v>
      </c>
      <c r="L5" s="18">
        <f t="shared" si="0"/>
        <v>11</v>
      </c>
      <c r="M5" s="52">
        <f t="shared" si="1"/>
        <v>2</v>
      </c>
      <c r="N5" s="18">
        <v>0</v>
      </c>
    </row>
    <row r="6" spans="1:14" x14ac:dyDescent="0.25">
      <c r="A6" s="36">
        <v>5</v>
      </c>
      <c r="B6" s="37" t="s">
        <v>33</v>
      </c>
      <c r="C6" s="38">
        <f>VLOOKUP(B:B,Courts!B:C,2,FALSE())</f>
        <v>25</v>
      </c>
      <c r="D6" s="38">
        <f>VLOOKUP(B:B,Courts!B:E,4,FALSE())</f>
        <v>0</v>
      </c>
      <c r="E6" s="38">
        <f>VLOOKUP(B:B,Courts!B:D,3,FALSE())</f>
        <v>0</v>
      </c>
      <c r="F6" s="18">
        <v>19</v>
      </c>
      <c r="G6" s="18">
        <v>0</v>
      </c>
      <c r="H6" s="18">
        <v>0</v>
      </c>
      <c r="I6" s="18">
        <v>9</v>
      </c>
      <c r="J6" s="18">
        <v>1</v>
      </c>
      <c r="K6" s="38">
        <f t="shared" si="2"/>
        <v>28</v>
      </c>
      <c r="L6" s="18">
        <f t="shared" si="0"/>
        <v>25</v>
      </c>
      <c r="M6" s="52">
        <f t="shared" si="1"/>
        <v>3</v>
      </c>
      <c r="N6" s="18">
        <v>0</v>
      </c>
    </row>
    <row r="7" spans="1:14" x14ac:dyDescent="0.25">
      <c r="A7" s="36">
        <v>6</v>
      </c>
      <c r="B7" s="36" t="s">
        <v>34</v>
      </c>
      <c r="C7" s="38">
        <f>VLOOKUP(B:B,Courts!B:C,2,FALSE())</f>
        <v>6</v>
      </c>
      <c r="D7" s="38">
        <f>VLOOKUP(B:B,Courts!B:E,4,FALSE())</f>
        <v>1</v>
      </c>
      <c r="E7" s="38">
        <f>VLOOKUP(B:B,Courts!B:D,3,FALSE())</f>
        <v>0</v>
      </c>
      <c r="F7" s="18">
        <v>2</v>
      </c>
      <c r="G7" s="18">
        <v>2</v>
      </c>
      <c r="H7" s="18">
        <v>0</v>
      </c>
      <c r="I7" s="18">
        <v>3</v>
      </c>
      <c r="J7" s="18">
        <v>1</v>
      </c>
      <c r="K7" s="38">
        <f t="shared" si="2"/>
        <v>7</v>
      </c>
      <c r="L7" s="18">
        <f t="shared" si="0"/>
        <v>7</v>
      </c>
      <c r="M7" s="52">
        <f t="shared" si="1"/>
        <v>0</v>
      </c>
      <c r="N7" s="18">
        <v>0</v>
      </c>
    </row>
    <row r="8" spans="1:14" x14ac:dyDescent="0.25">
      <c r="A8" s="36">
        <v>7</v>
      </c>
      <c r="B8" s="36" t="s">
        <v>35</v>
      </c>
      <c r="C8" s="38">
        <f>VLOOKUP(B:B,Courts!B:C,2,FALSE())</f>
        <v>4</v>
      </c>
      <c r="D8" s="38">
        <f>VLOOKUP(B:B,Courts!B:E,4,FALSE())</f>
        <v>1</v>
      </c>
      <c r="E8" s="38">
        <f>VLOOKUP(B:B,Courts!B:D,3,FALSE())</f>
        <v>0</v>
      </c>
      <c r="F8" s="18">
        <v>2</v>
      </c>
      <c r="G8" s="18">
        <v>1</v>
      </c>
      <c r="H8" s="18">
        <v>0</v>
      </c>
      <c r="I8" s="18">
        <v>3</v>
      </c>
      <c r="J8" s="18">
        <v>1</v>
      </c>
      <c r="K8" s="38">
        <f t="shared" si="2"/>
        <v>6</v>
      </c>
      <c r="L8" s="18">
        <f t="shared" si="0"/>
        <v>5</v>
      </c>
      <c r="M8" s="52">
        <f t="shared" si="1"/>
        <v>1</v>
      </c>
      <c r="N8" s="18">
        <v>0</v>
      </c>
    </row>
    <row r="9" spans="1:14" x14ac:dyDescent="0.25">
      <c r="A9" s="36">
        <v>8</v>
      </c>
      <c r="B9" s="37" t="s">
        <v>36</v>
      </c>
      <c r="C9" s="38">
        <f>VLOOKUP(B:B,Courts!B:C,2,FALSE())</f>
        <v>12</v>
      </c>
      <c r="D9" s="38">
        <f>VLOOKUP(B:B,Courts!B:E,4,FALSE())</f>
        <v>0</v>
      </c>
      <c r="E9" s="38">
        <f>VLOOKUP(B:B,Courts!B:D,3,FALSE())</f>
        <v>0</v>
      </c>
      <c r="F9" s="18">
        <v>11</v>
      </c>
      <c r="G9" s="18">
        <v>0</v>
      </c>
      <c r="H9" s="18">
        <v>0</v>
      </c>
      <c r="I9" s="18">
        <v>1</v>
      </c>
      <c r="J9" s="18">
        <v>1</v>
      </c>
      <c r="K9" s="38">
        <f t="shared" si="2"/>
        <v>12</v>
      </c>
      <c r="L9" s="18">
        <f t="shared" si="0"/>
        <v>12</v>
      </c>
      <c r="M9" s="52">
        <f t="shared" si="1"/>
        <v>0</v>
      </c>
      <c r="N9" s="18">
        <v>0</v>
      </c>
    </row>
    <row r="10" spans="1:14" x14ac:dyDescent="0.25">
      <c r="A10" s="36">
        <v>9</v>
      </c>
      <c r="B10" s="36" t="s">
        <v>37</v>
      </c>
      <c r="C10" s="38">
        <f>VLOOKUP(B:B,Courts!B:C,2,FALSE())</f>
        <v>2</v>
      </c>
      <c r="D10" s="38">
        <f>VLOOKUP(B:B,Courts!B:E,4,FALSE())</f>
        <v>0</v>
      </c>
      <c r="E10" s="38">
        <f>VLOOKUP(B:B,Courts!B:D,3,FALSE())</f>
        <v>0</v>
      </c>
      <c r="F10" s="18">
        <v>1</v>
      </c>
      <c r="G10" s="18">
        <v>0</v>
      </c>
      <c r="H10" s="18">
        <v>0</v>
      </c>
      <c r="I10" s="18">
        <v>1</v>
      </c>
      <c r="J10" s="18">
        <v>1</v>
      </c>
      <c r="K10" s="38">
        <f t="shared" si="2"/>
        <v>2</v>
      </c>
      <c r="L10" s="18">
        <f t="shared" si="0"/>
        <v>2</v>
      </c>
      <c r="M10" s="52">
        <f t="shared" si="1"/>
        <v>0</v>
      </c>
      <c r="N10" s="18">
        <v>0</v>
      </c>
    </row>
    <row r="11" spans="1:14" x14ac:dyDescent="0.25">
      <c r="A11" s="36">
        <v>10</v>
      </c>
      <c r="B11" s="37" t="s">
        <v>38</v>
      </c>
      <c r="C11" s="38">
        <f>VLOOKUP(B:B,Courts!B:C,2,FALSE())</f>
        <v>11</v>
      </c>
      <c r="D11" s="38">
        <f>VLOOKUP(B:B,Courts!B:E,4,FALSE())</f>
        <v>0</v>
      </c>
      <c r="E11" s="38">
        <f>VLOOKUP(B:B,Courts!B:D,3,FALSE())</f>
        <v>0</v>
      </c>
      <c r="F11" s="18">
        <v>11</v>
      </c>
      <c r="G11" s="18">
        <v>0</v>
      </c>
      <c r="H11" s="18">
        <v>1</v>
      </c>
      <c r="I11" s="18">
        <v>1</v>
      </c>
      <c r="J11" s="18">
        <v>1</v>
      </c>
      <c r="K11" s="38">
        <f t="shared" si="2"/>
        <v>13</v>
      </c>
      <c r="L11" s="18">
        <f t="shared" si="0"/>
        <v>11</v>
      </c>
      <c r="M11" s="52">
        <f t="shared" si="1"/>
        <v>2</v>
      </c>
      <c r="N11" s="18">
        <v>0</v>
      </c>
    </row>
    <row r="12" spans="1:14" x14ac:dyDescent="0.25">
      <c r="A12" s="36">
        <v>11</v>
      </c>
      <c r="B12" s="36" t="s">
        <v>39</v>
      </c>
      <c r="C12" s="38">
        <f>VLOOKUP(B:B,Courts!B:C,2,FALSE())</f>
        <v>4</v>
      </c>
      <c r="D12" s="38">
        <f>VLOOKUP(B:B,Courts!B:E,4,FALSE())</f>
        <v>1</v>
      </c>
      <c r="E12" s="38">
        <f>VLOOKUP(B:B,Courts!B:D,3,FALSE())</f>
        <v>0</v>
      </c>
      <c r="F12" s="18">
        <v>2</v>
      </c>
      <c r="G12" s="18">
        <v>1</v>
      </c>
      <c r="H12" s="18">
        <v>1</v>
      </c>
      <c r="I12" s="18">
        <v>2</v>
      </c>
      <c r="J12" s="18">
        <v>1</v>
      </c>
      <c r="K12" s="38">
        <f t="shared" si="2"/>
        <v>6</v>
      </c>
      <c r="L12" s="18">
        <f t="shared" si="0"/>
        <v>5</v>
      </c>
      <c r="M12" s="52">
        <f t="shared" si="1"/>
        <v>1</v>
      </c>
      <c r="N12" s="18">
        <v>0</v>
      </c>
    </row>
    <row r="13" spans="1:14" x14ac:dyDescent="0.25">
      <c r="A13" s="36">
        <v>12</v>
      </c>
      <c r="B13" s="36" t="s">
        <v>40</v>
      </c>
      <c r="C13" s="38">
        <f>VLOOKUP(B:B,Courts!B:C,2,FALSE())</f>
        <v>2</v>
      </c>
      <c r="D13" s="38">
        <f>VLOOKUP(B:B,Courts!B:E,4,FALSE())</f>
        <v>1</v>
      </c>
      <c r="E13" s="38">
        <f>VLOOKUP(B:B,Courts!B:D,3,FALSE())</f>
        <v>0</v>
      </c>
      <c r="F13" s="18">
        <v>1</v>
      </c>
      <c r="G13" s="18">
        <v>1</v>
      </c>
      <c r="H13" s="18">
        <v>1</v>
      </c>
      <c r="I13" s="18">
        <v>0</v>
      </c>
      <c r="J13" s="18">
        <v>1</v>
      </c>
      <c r="K13" s="38">
        <f t="shared" si="2"/>
        <v>3</v>
      </c>
      <c r="L13" s="18">
        <f t="shared" si="0"/>
        <v>3</v>
      </c>
      <c r="M13" s="52">
        <f t="shared" si="1"/>
        <v>0</v>
      </c>
      <c r="N13" s="18">
        <v>0</v>
      </c>
    </row>
    <row r="14" spans="1:14" x14ac:dyDescent="0.25">
      <c r="A14" s="36">
        <v>13</v>
      </c>
      <c r="B14" s="37" t="s">
        <v>41</v>
      </c>
      <c r="C14" s="38">
        <f>VLOOKUP(B:B,Courts!B:C,2,FALSE())</f>
        <v>12</v>
      </c>
      <c r="D14" s="38">
        <f>VLOOKUP(B:B,Courts!B:E,4,FALSE())</f>
        <v>0</v>
      </c>
      <c r="E14" s="38">
        <f>VLOOKUP(B:B,Courts!B:D,3,FALSE())</f>
        <v>0</v>
      </c>
      <c r="F14" s="18">
        <v>8</v>
      </c>
      <c r="G14" s="18">
        <v>2</v>
      </c>
      <c r="H14" s="18">
        <v>0</v>
      </c>
      <c r="I14" s="18">
        <v>3</v>
      </c>
      <c r="J14" s="18">
        <v>1</v>
      </c>
      <c r="K14" s="38">
        <f t="shared" si="2"/>
        <v>13</v>
      </c>
      <c r="L14" s="18">
        <f t="shared" si="0"/>
        <v>12</v>
      </c>
      <c r="M14" s="52">
        <f t="shared" si="1"/>
        <v>1</v>
      </c>
      <c r="N14" s="18">
        <v>0</v>
      </c>
    </row>
    <row r="15" spans="1:14" x14ac:dyDescent="0.25">
      <c r="A15" s="36">
        <v>14</v>
      </c>
      <c r="B15" s="36" t="s">
        <v>42</v>
      </c>
      <c r="C15" s="38">
        <f>VLOOKUP(B:B,Courts!B:C,2,FALSE())</f>
        <v>7</v>
      </c>
      <c r="D15" s="38">
        <f>VLOOKUP(B:B,Courts!B:E,4,FALSE())</f>
        <v>1</v>
      </c>
      <c r="E15" s="38">
        <f>VLOOKUP(B:B,Courts!B:D,3,FALSE())</f>
        <v>0</v>
      </c>
      <c r="F15" s="18">
        <v>4</v>
      </c>
      <c r="G15" s="18">
        <v>2</v>
      </c>
      <c r="H15" s="18">
        <v>1</v>
      </c>
      <c r="I15" s="18">
        <v>1</v>
      </c>
      <c r="J15" s="18">
        <v>1</v>
      </c>
      <c r="K15" s="38">
        <f t="shared" si="2"/>
        <v>8</v>
      </c>
      <c r="L15" s="18">
        <f t="shared" si="0"/>
        <v>8</v>
      </c>
      <c r="M15" s="52">
        <f t="shared" si="1"/>
        <v>0</v>
      </c>
      <c r="N15" s="18">
        <v>0</v>
      </c>
    </row>
    <row r="16" spans="1:14" x14ac:dyDescent="0.25">
      <c r="A16" s="36">
        <v>15</v>
      </c>
      <c r="B16" s="36" t="s">
        <v>43</v>
      </c>
      <c r="C16" s="38">
        <f>VLOOKUP(B:B,Courts!B:C,2,FALSE())</f>
        <v>4</v>
      </c>
      <c r="D16" s="38">
        <f>VLOOKUP(B:B,Courts!B:E,4,FALSE())</f>
        <v>1</v>
      </c>
      <c r="E16" s="38">
        <f>VLOOKUP(B:B,Courts!B:D,3,FALSE())</f>
        <v>0</v>
      </c>
      <c r="F16" s="18">
        <v>2</v>
      </c>
      <c r="G16" s="18">
        <v>0</v>
      </c>
      <c r="H16" s="18">
        <v>2</v>
      </c>
      <c r="I16" s="18">
        <v>1</v>
      </c>
      <c r="J16" s="18">
        <v>1</v>
      </c>
      <c r="K16" s="38">
        <f t="shared" si="2"/>
        <v>5</v>
      </c>
      <c r="L16" s="18">
        <f t="shared" si="0"/>
        <v>5</v>
      </c>
      <c r="M16" s="52">
        <f t="shared" si="1"/>
        <v>0</v>
      </c>
      <c r="N16" s="18">
        <v>0</v>
      </c>
    </row>
    <row r="17" spans="1:14" x14ac:dyDescent="0.25">
      <c r="A17" s="36">
        <v>16</v>
      </c>
      <c r="B17" s="37" t="s">
        <v>44</v>
      </c>
      <c r="C17" s="38">
        <f>VLOOKUP(B:B,Courts!B:C,2,FALSE())</f>
        <v>16</v>
      </c>
      <c r="D17" s="38">
        <f>VLOOKUP(B:B,Courts!B:E,4,FALSE())</f>
        <v>0</v>
      </c>
      <c r="E17" s="38">
        <f>VLOOKUP(B:B,Courts!B:D,3,FALSE())</f>
        <v>0</v>
      </c>
      <c r="F17" s="18">
        <v>14</v>
      </c>
      <c r="G17" s="18">
        <v>0</v>
      </c>
      <c r="H17" s="18">
        <v>1</v>
      </c>
      <c r="I17" s="18">
        <v>3</v>
      </c>
      <c r="J17" s="18">
        <v>1</v>
      </c>
      <c r="K17" s="38">
        <f t="shared" si="2"/>
        <v>18</v>
      </c>
      <c r="L17" s="18">
        <f t="shared" si="0"/>
        <v>16</v>
      </c>
      <c r="M17" s="52">
        <f t="shared" si="1"/>
        <v>2</v>
      </c>
      <c r="N17" s="18">
        <v>0</v>
      </c>
    </row>
    <row r="18" spans="1:14" x14ac:dyDescent="0.25">
      <c r="A18" s="36">
        <v>17</v>
      </c>
      <c r="B18" s="36" t="s">
        <v>45</v>
      </c>
      <c r="C18" s="38">
        <f>VLOOKUP(B:B,Courts!B:C,2,FALSE())</f>
        <v>3</v>
      </c>
      <c r="D18" s="38">
        <f>VLOOKUP(B:B,Courts!B:E,4,FALSE())</f>
        <v>1</v>
      </c>
      <c r="E18" s="38">
        <f>VLOOKUP(B:B,Courts!B:D,3,FALSE())</f>
        <v>0</v>
      </c>
      <c r="F18" s="18">
        <v>2</v>
      </c>
      <c r="G18" s="18">
        <v>0</v>
      </c>
      <c r="H18" s="18">
        <v>1</v>
      </c>
      <c r="I18" s="18">
        <v>1</v>
      </c>
      <c r="J18" s="18">
        <v>1</v>
      </c>
      <c r="K18" s="38">
        <f t="shared" si="2"/>
        <v>4</v>
      </c>
      <c r="L18" s="18">
        <f t="shared" si="0"/>
        <v>4</v>
      </c>
      <c r="M18" s="52">
        <f t="shared" si="1"/>
        <v>0</v>
      </c>
      <c r="N18" s="18">
        <v>0</v>
      </c>
    </row>
    <row r="19" spans="1:14" x14ac:dyDescent="0.25">
      <c r="A19" s="36">
        <v>18</v>
      </c>
      <c r="B19" s="36" t="s">
        <v>46</v>
      </c>
      <c r="C19" s="38">
        <f>VLOOKUP(B:B,Courts!B:C,2,FALSE())</f>
        <v>3</v>
      </c>
      <c r="D19" s="38">
        <f>VLOOKUP(B:B,Courts!B:E,4,FALSE())</f>
        <v>1</v>
      </c>
      <c r="E19" s="38">
        <f>VLOOKUP(B:B,Courts!B:D,3,FALSE())</f>
        <v>0</v>
      </c>
      <c r="F19" s="18">
        <v>3</v>
      </c>
      <c r="G19" s="18">
        <v>0</v>
      </c>
      <c r="H19" s="18">
        <v>1</v>
      </c>
      <c r="I19" s="18">
        <v>1</v>
      </c>
      <c r="J19" s="18">
        <v>1</v>
      </c>
      <c r="K19" s="38">
        <f t="shared" si="2"/>
        <v>5</v>
      </c>
      <c r="L19" s="18">
        <f t="shared" si="0"/>
        <v>4</v>
      </c>
      <c r="M19" s="52">
        <f t="shared" si="1"/>
        <v>1</v>
      </c>
      <c r="N19" s="18">
        <v>0</v>
      </c>
    </row>
    <row r="20" spans="1:14" x14ac:dyDescent="0.25">
      <c r="A20" s="36">
        <v>19</v>
      </c>
      <c r="B20" s="37" t="s">
        <v>47</v>
      </c>
      <c r="C20" s="38">
        <f>VLOOKUP(B:B,Courts!B:C,2,FALSE())</f>
        <v>18</v>
      </c>
      <c r="D20" s="38">
        <f>VLOOKUP(B:B,Courts!B:E,4,FALSE())</f>
        <v>0</v>
      </c>
      <c r="E20" s="38">
        <f>VLOOKUP(B:B,Courts!B:D,3,FALSE())</f>
        <v>0</v>
      </c>
      <c r="F20" s="18">
        <v>15</v>
      </c>
      <c r="G20" s="18">
        <v>0</v>
      </c>
      <c r="H20" s="18">
        <v>1</v>
      </c>
      <c r="I20" s="18">
        <v>3</v>
      </c>
      <c r="J20" s="18">
        <v>1</v>
      </c>
      <c r="K20" s="38">
        <f t="shared" si="2"/>
        <v>19</v>
      </c>
      <c r="L20" s="18">
        <f t="shared" si="0"/>
        <v>18</v>
      </c>
      <c r="M20" s="52">
        <f t="shared" si="1"/>
        <v>1</v>
      </c>
      <c r="N20" s="18">
        <v>0</v>
      </c>
    </row>
    <row r="21" spans="1:14" x14ac:dyDescent="0.25">
      <c r="A21" s="36">
        <v>20</v>
      </c>
      <c r="B21" s="36" t="s">
        <v>48</v>
      </c>
      <c r="C21" s="38">
        <f>VLOOKUP(B:B,Courts!B:C,2,FALSE())</f>
        <v>9</v>
      </c>
      <c r="D21" s="38">
        <f>VLOOKUP(B:B,Courts!B:E,4,FALSE())</f>
        <v>1</v>
      </c>
      <c r="E21" s="38">
        <f>VLOOKUP(B:B,Courts!B:D,3,FALSE())</f>
        <v>0</v>
      </c>
      <c r="F21" s="18">
        <v>6</v>
      </c>
      <c r="G21" s="18">
        <v>1</v>
      </c>
      <c r="H21" s="18">
        <v>3</v>
      </c>
      <c r="I21" s="18">
        <v>0</v>
      </c>
      <c r="J21" s="18">
        <v>1</v>
      </c>
      <c r="K21" s="38">
        <f t="shared" si="2"/>
        <v>10</v>
      </c>
      <c r="L21" s="18">
        <f t="shared" si="0"/>
        <v>10</v>
      </c>
      <c r="M21" s="52">
        <f t="shared" si="1"/>
        <v>0</v>
      </c>
      <c r="N21" s="18">
        <v>0</v>
      </c>
    </row>
    <row r="22" spans="1:14" x14ac:dyDescent="0.25">
      <c r="A22" s="36">
        <v>21</v>
      </c>
      <c r="B22" s="37" t="s">
        <v>49</v>
      </c>
      <c r="C22" s="38">
        <f>VLOOKUP(B:B,Courts!B:C,2,FALSE())</f>
        <v>19</v>
      </c>
      <c r="D22" s="38">
        <f>VLOOKUP(B:B,Courts!B:E,4,FALSE())</f>
        <v>0</v>
      </c>
      <c r="E22" s="38">
        <f>VLOOKUP(B:B,Courts!B:D,3,FALSE())</f>
        <v>0</v>
      </c>
      <c r="F22" s="18">
        <v>18</v>
      </c>
      <c r="G22" s="18">
        <v>0</v>
      </c>
      <c r="H22" s="18">
        <v>0</v>
      </c>
      <c r="I22" s="18">
        <v>3</v>
      </c>
      <c r="J22" s="18">
        <v>1</v>
      </c>
      <c r="K22" s="38">
        <f t="shared" si="2"/>
        <v>21</v>
      </c>
      <c r="L22" s="18">
        <f t="shared" si="0"/>
        <v>19</v>
      </c>
      <c r="M22" s="52">
        <f t="shared" si="1"/>
        <v>2</v>
      </c>
      <c r="N22" s="18">
        <v>0</v>
      </c>
    </row>
    <row r="23" spans="1:14" x14ac:dyDescent="0.25">
      <c r="A23" s="36">
        <v>22</v>
      </c>
      <c r="B23" s="36" t="s">
        <v>50</v>
      </c>
      <c r="C23" s="38">
        <f>VLOOKUP(B:B,Courts!B:C,2,FALSE())</f>
        <v>4</v>
      </c>
      <c r="D23" s="38">
        <f>VLOOKUP(B:B,Courts!B:E,4,FALSE())</f>
        <v>1</v>
      </c>
      <c r="E23" s="38">
        <f>VLOOKUP(B:B,Courts!B:D,3,FALSE())</f>
        <v>0</v>
      </c>
      <c r="F23" s="18">
        <v>5</v>
      </c>
      <c r="G23" s="18">
        <v>0</v>
      </c>
      <c r="H23" s="18">
        <v>0</v>
      </c>
      <c r="I23" s="18">
        <v>0</v>
      </c>
      <c r="J23" s="18">
        <v>1</v>
      </c>
      <c r="K23" s="38">
        <f t="shared" si="2"/>
        <v>5</v>
      </c>
      <c r="L23" s="18">
        <f t="shared" si="0"/>
        <v>5</v>
      </c>
      <c r="M23" s="52">
        <f t="shared" si="1"/>
        <v>0</v>
      </c>
      <c r="N23" s="18">
        <v>0</v>
      </c>
    </row>
    <row r="24" spans="1:14" x14ac:dyDescent="0.25">
      <c r="A24" s="36">
        <v>23</v>
      </c>
      <c r="B24" s="36" t="s">
        <v>51</v>
      </c>
      <c r="C24" s="38">
        <f>VLOOKUP(B:B,Courts!B:C,2,FALSE())</f>
        <v>3</v>
      </c>
      <c r="D24" s="38">
        <f>VLOOKUP(B:B,Courts!B:E,4,FALSE())</f>
        <v>1</v>
      </c>
      <c r="E24" s="38">
        <f>VLOOKUP(B:B,Courts!B:D,3,FALSE())</f>
        <v>0</v>
      </c>
      <c r="F24" s="18">
        <v>2</v>
      </c>
      <c r="G24" s="18">
        <v>1</v>
      </c>
      <c r="H24" s="18">
        <v>0</v>
      </c>
      <c r="I24" s="18">
        <v>2</v>
      </c>
      <c r="J24" s="18">
        <v>1</v>
      </c>
      <c r="K24" s="38">
        <f t="shared" si="2"/>
        <v>5</v>
      </c>
      <c r="L24" s="18">
        <f t="shared" si="0"/>
        <v>4</v>
      </c>
      <c r="M24" s="52">
        <f t="shared" si="1"/>
        <v>1</v>
      </c>
      <c r="N24" s="18">
        <v>0</v>
      </c>
    </row>
    <row r="25" spans="1:14" x14ac:dyDescent="0.25">
      <c r="A25" s="36">
        <v>24</v>
      </c>
      <c r="B25" s="36" t="s">
        <v>52</v>
      </c>
      <c r="C25" s="38">
        <f>VLOOKUP(B:B,Courts!B:C,2,FALSE())</f>
        <v>3</v>
      </c>
      <c r="D25" s="38">
        <f>VLOOKUP(B:B,Courts!B:E,4,FALSE())</f>
        <v>1</v>
      </c>
      <c r="E25" s="38">
        <f>VLOOKUP(B:B,Courts!B:D,3,FALSE())</f>
        <v>0</v>
      </c>
      <c r="F25" s="18">
        <v>3</v>
      </c>
      <c r="G25" s="18">
        <v>1</v>
      </c>
      <c r="H25" s="18">
        <v>0</v>
      </c>
      <c r="I25" s="18">
        <v>0</v>
      </c>
      <c r="J25" s="18">
        <v>1</v>
      </c>
      <c r="K25" s="38">
        <f t="shared" si="2"/>
        <v>4</v>
      </c>
      <c r="L25" s="18">
        <f t="shared" si="0"/>
        <v>4</v>
      </c>
      <c r="M25" s="52">
        <v>0</v>
      </c>
      <c r="N25" s="18">
        <v>0</v>
      </c>
    </row>
    <row r="26" spans="1:14" x14ac:dyDescent="0.25">
      <c r="A26" s="36">
        <v>25</v>
      </c>
      <c r="B26" s="37" t="s">
        <v>53</v>
      </c>
      <c r="C26" s="38">
        <f>VLOOKUP(B:B,Courts!B:C,2,FALSE())</f>
        <v>45</v>
      </c>
      <c r="D26" s="38">
        <f>VLOOKUP(B:B,Courts!B:E,4,FALSE())</f>
        <v>0</v>
      </c>
      <c r="E26" s="38">
        <f>VLOOKUP(B:B,Courts!B:D,3,FALSE())</f>
        <v>0</v>
      </c>
      <c r="F26" s="18">
        <v>35</v>
      </c>
      <c r="G26" s="18">
        <v>5</v>
      </c>
      <c r="H26" s="18">
        <v>0</v>
      </c>
      <c r="I26" s="18">
        <v>4</v>
      </c>
      <c r="J26" s="18">
        <v>1</v>
      </c>
      <c r="K26" s="38">
        <f t="shared" si="2"/>
        <v>44</v>
      </c>
      <c r="L26" s="18">
        <f t="shared" si="0"/>
        <v>45</v>
      </c>
      <c r="M26" s="52">
        <f t="shared" ref="M26:M57" si="3">K26-L26</f>
        <v>-1</v>
      </c>
      <c r="N26" s="18">
        <v>0</v>
      </c>
    </row>
    <row r="27" spans="1:14" x14ac:dyDescent="0.25">
      <c r="A27" s="36">
        <v>26</v>
      </c>
      <c r="B27" s="36" t="s">
        <v>54</v>
      </c>
      <c r="C27" s="38">
        <f>VLOOKUP(B:B,Courts!B:C,2,FALSE())</f>
        <v>3</v>
      </c>
      <c r="D27" s="38">
        <f>VLOOKUP(B:B,Courts!B:E,4,FALSE())</f>
        <v>1</v>
      </c>
      <c r="E27" s="38">
        <f>VLOOKUP(B:B,Courts!B:D,3,FALSE())</f>
        <v>0</v>
      </c>
      <c r="F27" s="18">
        <v>4</v>
      </c>
      <c r="G27" s="18">
        <v>0</v>
      </c>
      <c r="H27" s="18">
        <v>0</v>
      </c>
      <c r="I27" s="18">
        <v>0</v>
      </c>
      <c r="J27" s="18">
        <v>1</v>
      </c>
      <c r="K27" s="38">
        <f t="shared" si="2"/>
        <v>4</v>
      </c>
      <c r="L27" s="18">
        <f t="shared" si="0"/>
        <v>4</v>
      </c>
      <c r="M27" s="52">
        <f t="shared" si="3"/>
        <v>0</v>
      </c>
      <c r="N27" s="18">
        <v>0</v>
      </c>
    </row>
    <row r="28" spans="1:14" x14ac:dyDescent="0.25">
      <c r="A28" s="36">
        <v>27</v>
      </c>
      <c r="B28" s="36" t="s">
        <v>55</v>
      </c>
      <c r="C28" s="38">
        <f>VLOOKUP(B:B,Courts!B:C,2,FALSE())</f>
        <v>5</v>
      </c>
      <c r="D28" s="38">
        <f>VLOOKUP(B:B,Courts!B:E,4,FALSE())</f>
        <v>1</v>
      </c>
      <c r="E28" s="38">
        <f>VLOOKUP(B:B,Courts!B:D,3,FALSE())</f>
        <v>0</v>
      </c>
      <c r="F28" s="18">
        <v>4</v>
      </c>
      <c r="G28" s="18">
        <v>1</v>
      </c>
      <c r="H28" s="18">
        <v>0</v>
      </c>
      <c r="I28" s="18">
        <v>2</v>
      </c>
      <c r="J28" s="18">
        <v>1</v>
      </c>
      <c r="K28" s="38">
        <f t="shared" si="2"/>
        <v>7</v>
      </c>
      <c r="L28" s="18">
        <f t="shared" si="0"/>
        <v>6</v>
      </c>
      <c r="M28" s="52">
        <f t="shared" si="3"/>
        <v>1</v>
      </c>
      <c r="N28" s="18">
        <v>0</v>
      </c>
    </row>
    <row r="29" spans="1:14" x14ac:dyDescent="0.25">
      <c r="A29" s="36">
        <v>28</v>
      </c>
      <c r="B29" s="37" t="s">
        <v>56</v>
      </c>
      <c r="C29" s="38">
        <f>VLOOKUP(B:B,Courts!B:C,2,FALSE())</f>
        <v>10</v>
      </c>
      <c r="D29" s="38">
        <f>VLOOKUP(B:B,Courts!B:E,4,FALSE())</f>
        <v>0</v>
      </c>
      <c r="E29" s="38">
        <f>VLOOKUP(B:B,Courts!B:D,3,FALSE())</f>
        <v>0</v>
      </c>
      <c r="F29" s="18">
        <v>12</v>
      </c>
      <c r="G29" s="18">
        <v>0</v>
      </c>
      <c r="H29" s="18">
        <v>1</v>
      </c>
      <c r="I29" s="18">
        <v>0</v>
      </c>
      <c r="J29" s="18">
        <v>1</v>
      </c>
      <c r="K29" s="38">
        <f t="shared" si="2"/>
        <v>13</v>
      </c>
      <c r="L29" s="18">
        <f t="shared" si="0"/>
        <v>10</v>
      </c>
      <c r="M29" s="52">
        <f t="shared" si="3"/>
        <v>3</v>
      </c>
      <c r="N29" s="18">
        <v>0</v>
      </c>
    </row>
    <row r="30" spans="1:14" x14ac:dyDescent="0.25">
      <c r="A30" s="36">
        <v>29</v>
      </c>
      <c r="B30" s="36" t="s">
        <v>57</v>
      </c>
      <c r="C30" s="38">
        <f>VLOOKUP(B:B,Courts!B:C,2,FALSE())</f>
        <v>4</v>
      </c>
      <c r="D30" s="38">
        <f>VLOOKUP(B:B,Courts!B:E,4,FALSE())</f>
        <v>1</v>
      </c>
      <c r="E30" s="38">
        <f>VLOOKUP(B:B,Courts!B:D,3,FALSE())</f>
        <v>0</v>
      </c>
      <c r="F30" s="18">
        <v>3</v>
      </c>
      <c r="G30" s="18">
        <v>1</v>
      </c>
      <c r="H30" s="18">
        <v>1</v>
      </c>
      <c r="I30" s="18">
        <v>1</v>
      </c>
      <c r="J30" s="18">
        <v>1</v>
      </c>
      <c r="K30" s="38">
        <f t="shared" si="2"/>
        <v>6</v>
      </c>
      <c r="L30" s="18">
        <f t="shared" si="0"/>
        <v>5</v>
      </c>
      <c r="M30" s="52">
        <f t="shared" si="3"/>
        <v>1</v>
      </c>
      <c r="N30" s="18">
        <v>0</v>
      </c>
    </row>
    <row r="31" spans="1:14" x14ac:dyDescent="0.25">
      <c r="A31" s="36">
        <v>30</v>
      </c>
      <c r="B31" s="36" t="s">
        <v>58</v>
      </c>
      <c r="C31" s="38">
        <f>VLOOKUP(B:B,Courts!B:C,2,FALSE())</f>
        <v>3</v>
      </c>
      <c r="D31" s="38">
        <f>VLOOKUP(B:B,Courts!B:E,4,FALSE())</f>
        <v>1</v>
      </c>
      <c r="E31" s="38">
        <f>VLOOKUP(B:B,Courts!B:D,3,FALSE())</f>
        <v>0</v>
      </c>
      <c r="F31" s="18">
        <v>2</v>
      </c>
      <c r="G31" s="18">
        <v>0</v>
      </c>
      <c r="H31" s="18">
        <v>1</v>
      </c>
      <c r="I31" s="18">
        <v>1</v>
      </c>
      <c r="J31" s="18">
        <v>1</v>
      </c>
      <c r="K31" s="38">
        <f t="shared" si="2"/>
        <v>4</v>
      </c>
      <c r="L31" s="18">
        <f t="shared" si="0"/>
        <v>4</v>
      </c>
      <c r="M31" s="52">
        <f t="shared" si="3"/>
        <v>0</v>
      </c>
      <c r="N31" s="18">
        <v>0</v>
      </c>
    </row>
    <row r="32" spans="1:14" x14ac:dyDescent="0.25">
      <c r="A32" s="36">
        <v>31</v>
      </c>
      <c r="B32" s="36" t="s">
        <v>59</v>
      </c>
      <c r="C32" s="38">
        <f>VLOOKUP(B:B,Courts!B:C,2,FALSE())</f>
        <v>1</v>
      </c>
      <c r="D32" s="38">
        <f>VLOOKUP(B:B,Courts!B:E,4,FALSE())</f>
        <v>1</v>
      </c>
      <c r="E32" s="38">
        <f>VLOOKUP(B:B,Courts!B:D,3,FALSE())</f>
        <v>0</v>
      </c>
      <c r="F32" s="18">
        <v>0</v>
      </c>
      <c r="G32" s="18">
        <v>1</v>
      </c>
      <c r="H32" s="18">
        <v>1</v>
      </c>
      <c r="I32" s="18">
        <v>1</v>
      </c>
      <c r="J32" s="18">
        <v>1</v>
      </c>
      <c r="K32" s="38">
        <f t="shared" si="2"/>
        <v>3</v>
      </c>
      <c r="L32" s="18">
        <f t="shared" si="0"/>
        <v>2</v>
      </c>
      <c r="M32" s="52">
        <f t="shared" si="3"/>
        <v>1</v>
      </c>
      <c r="N32" s="18">
        <v>0</v>
      </c>
    </row>
    <row r="33" spans="1:14" x14ac:dyDescent="0.25">
      <c r="A33" s="36">
        <v>32</v>
      </c>
      <c r="B33" s="37" t="s">
        <v>60</v>
      </c>
      <c r="C33" s="38">
        <f>VLOOKUP(B:B,Courts!B:C,2,FALSE())</f>
        <v>73</v>
      </c>
      <c r="D33" s="38">
        <f>VLOOKUP(B:B,Courts!B:E,4,FALSE())</f>
        <v>0</v>
      </c>
      <c r="E33" s="38">
        <f>VLOOKUP(B:B,Courts!B:D,3,FALSE())</f>
        <v>0</v>
      </c>
      <c r="F33" s="18">
        <v>56</v>
      </c>
      <c r="G33" s="18">
        <v>2</v>
      </c>
      <c r="H33" s="18">
        <v>6</v>
      </c>
      <c r="I33" s="18">
        <v>12</v>
      </c>
      <c r="J33" s="18">
        <v>1</v>
      </c>
      <c r="K33" s="38">
        <f t="shared" si="2"/>
        <v>76</v>
      </c>
      <c r="L33" s="18">
        <f t="shared" si="0"/>
        <v>73</v>
      </c>
      <c r="M33" s="52">
        <f t="shared" si="3"/>
        <v>3</v>
      </c>
      <c r="N33" s="18">
        <v>0</v>
      </c>
    </row>
    <row r="34" spans="1:14" x14ac:dyDescent="0.25">
      <c r="A34" s="36">
        <v>33</v>
      </c>
      <c r="B34" s="36" t="s">
        <v>61</v>
      </c>
      <c r="C34" s="38">
        <f>VLOOKUP(B:B,Courts!B:C,2,FALSE())</f>
        <v>3</v>
      </c>
      <c r="D34" s="38">
        <f>VLOOKUP(B:B,Courts!B:E,4,FALSE())</f>
        <v>1</v>
      </c>
      <c r="E34" s="38">
        <f>VLOOKUP(B:B,Courts!B:D,3,FALSE())</f>
        <v>0</v>
      </c>
      <c r="F34" s="18">
        <v>3</v>
      </c>
      <c r="G34" s="18">
        <v>1</v>
      </c>
      <c r="H34" s="18">
        <v>0</v>
      </c>
      <c r="I34" s="18">
        <v>0</v>
      </c>
      <c r="J34" s="18">
        <v>1</v>
      </c>
      <c r="K34" s="38">
        <f t="shared" ref="K34:K65" si="4">SUM(F34:I34)</f>
        <v>4</v>
      </c>
      <c r="L34" s="18">
        <f t="shared" ref="L34:L65" si="5">SUM(C34:E34)*1</f>
        <v>4</v>
      </c>
      <c r="M34" s="52">
        <f t="shared" si="3"/>
        <v>0</v>
      </c>
      <c r="N34" s="18">
        <v>0</v>
      </c>
    </row>
    <row r="35" spans="1:14" x14ac:dyDescent="0.25">
      <c r="A35" s="36">
        <v>34</v>
      </c>
      <c r="B35" s="36" t="s">
        <v>62</v>
      </c>
      <c r="C35" s="38">
        <f>VLOOKUP(B:B,Courts!B:C,2,FALSE())</f>
        <v>4</v>
      </c>
      <c r="D35" s="38">
        <f>VLOOKUP(B:B,Courts!B:E,4,FALSE())</f>
        <v>1</v>
      </c>
      <c r="E35" s="38">
        <f>VLOOKUP(B:B,Courts!B:D,3,FALSE())</f>
        <v>0</v>
      </c>
      <c r="F35" s="18">
        <v>3</v>
      </c>
      <c r="G35" s="18">
        <v>2</v>
      </c>
      <c r="H35" s="18">
        <v>0</v>
      </c>
      <c r="I35" s="18">
        <v>0</v>
      </c>
      <c r="J35" s="18">
        <v>1</v>
      </c>
      <c r="K35" s="38">
        <f t="shared" si="4"/>
        <v>5</v>
      </c>
      <c r="L35" s="18">
        <f t="shared" si="5"/>
        <v>5</v>
      </c>
      <c r="M35" s="52">
        <f t="shared" si="3"/>
        <v>0</v>
      </c>
      <c r="N35" s="18">
        <v>0</v>
      </c>
    </row>
    <row r="36" spans="1:14" x14ac:dyDescent="0.25">
      <c r="A36" s="36">
        <v>35</v>
      </c>
      <c r="B36" s="36" t="s">
        <v>63</v>
      </c>
      <c r="C36" s="38">
        <f>VLOOKUP(B:B,Courts!B:C,2,FALSE())</f>
        <v>6</v>
      </c>
      <c r="D36" s="38">
        <f>VLOOKUP(B:B,Courts!B:E,4,FALSE())</f>
        <v>1</v>
      </c>
      <c r="E36" s="38">
        <f>VLOOKUP(B:B,Courts!B:D,3,FALSE())</f>
        <v>0</v>
      </c>
      <c r="F36" s="18">
        <v>5</v>
      </c>
      <c r="G36" s="18">
        <v>1</v>
      </c>
      <c r="H36" s="18">
        <v>0</v>
      </c>
      <c r="I36" s="18">
        <v>2</v>
      </c>
      <c r="J36" s="18">
        <v>1</v>
      </c>
      <c r="K36" s="38">
        <f t="shared" si="4"/>
        <v>8</v>
      </c>
      <c r="L36" s="18">
        <f t="shared" si="5"/>
        <v>7</v>
      </c>
      <c r="M36" s="52">
        <f t="shared" si="3"/>
        <v>1</v>
      </c>
      <c r="N36" s="18">
        <v>0</v>
      </c>
    </row>
    <row r="37" spans="1:14" x14ac:dyDescent="0.25">
      <c r="A37" s="36">
        <v>36</v>
      </c>
      <c r="B37" s="36" t="s">
        <v>64</v>
      </c>
      <c r="C37" s="38">
        <f>VLOOKUP(B:B,Courts!B:C,2,FALSE())</f>
        <v>3</v>
      </c>
      <c r="D37" s="38">
        <f>VLOOKUP(B:B,Courts!B:E,4,FALSE())</f>
        <v>1</v>
      </c>
      <c r="E37" s="38">
        <f>VLOOKUP(B:B,Courts!B:D,3,FALSE())</f>
        <v>0</v>
      </c>
      <c r="F37" s="18">
        <v>2</v>
      </c>
      <c r="G37" s="18">
        <v>1</v>
      </c>
      <c r="H37" s="18">
        <v>0</v>
      </c>
      <c r="I37" s="18">
        <v>1</v>
      </c>
      <c r="J37" s="18">
        <v>1</v>
      </c>
      <c r="K37" s="38">
        <f t="shared" si="4"/>
        <v>4</v>
      </c>
      <c r="L37" s="18">
        <f t="shared" si="5"/>
        <v>4</v>
      </c>
      <c r="M37" s="52">
        <f t="shared" si="3"/>
        <v>0</v>
      </c>
      <c r="N37" s="18">
        <v>0</v>
      </c>
    </row>
    <row r="38" spans="1:14" x14ac:dyDescent="0.25">
      <c r="A38" s="36">
        <v>37</v>
      </c>
      <c r="B38" s="37" t="s">
        <v>65</v>
      </c>
      <c r="C38" s="38">
        <f>VLOOKUP(B:B,Courts!B:C,2,FALSE())</f>
        <v>10</v>
      </c>
      <c r="D38" s="38">
        <f>VLOOKUP(B:B,Courts!B:E,4,FALSE())</f>
        <v>0</v>
      </c>
      <c r="E38" s="38">
        <f>VLOOKUP(B:B,Courts!B:D,3,FALSE())</f>
        <v>0</v>
      </c>
      <c r="F38" s="18">
        <v>7</v>
      </c>
      <c r="G38" s="18">
        <v>1</v>
      </c>
      <c r="H38" s="18">
        <v>0</v>
      </c>
      <c r="I38" s="18">
        <v>2</v>
      </c>
      <c r="J38" s="18">
        <v>1</v>
      </c>
      <c r="K38" s="38">
        <f t="shared" si="4"/>
        <v>10</v>
      </c>
      <c r="L38" s="18">
        <f t="shared" si="5"/>
        <v>10</v>
      </c>
      <c r="M38" s="52">
        <f t="shared" si="3"/>
        <v>0</v>
      </c>
      <c r="N38" s="18">
        <v>0</v>
      </c>
    </row>
    <row r="39" spans="1:14" x14ac:dyDescent="0.25">
      <c r="A39" s="36">
        <v>38</v>
      </c>
      <c r="B39" s="36" t="s">
        <v>66</v>
      </c>
      <c r="C39" s="38">
        <f>VLOOKUP(B:B,Courts!B:C,2,FALSE())</f>
        <v>2</v>
      </c>
      <c r="D39" s="38">
        <f>VLOOKUP(B:B,Courts!B:E,4,FALSE())</f>
        <v>1</v>
      </c>
      <c r="E39" s="38">
        <f>VLOOKUP(B:B,Courts!B:D,3,FALSE())</f>
        <v>0</v>
      </c>
      <c r="F39" s="18">
        <v>1</v>
      </c>
      <c r="G39" s="18">
        <v>1</v>
      </c>
      <c r="H39" s="18">
        <v>1</v>
      </c>
      <c r="I39" s="18">
        <v>0</v>
      </c>
      <c r="J39" s="18">
        <v>1</v>
      </c>
      <c r="K39" s="38">
        <f t="shared" si="4"/>
        <v>3</v>
      </c>
      <c r="L39" s="18">
        <f t="shared" si="5"/>
        <v>3</v>
      </c>
      <c r="M39" s="52">
        <f t="shared" si="3"/>
        <v>0</v>
      </c>
      <c r="N39" s="18">
        <v>0</v>
      </c>
    </row>
    <row r="40" spans="1:14" x14ac:dyDescent="0.25">
      <c r="A40" s="36">
        <v>39</v>
      </c>
      <c r="B40" s="36" t="s">
        <v>67</v>
      </c>
      <c r="C40" s="38">
        <f>VLOOKUP(B:B,Courts!B:C,2,FALSE())</f>
        <v>3</v>
      </c>
      <c r="D40" s="38">
        <f>VLOOKUP(B:B,Courts!B:E,4,FALSE())</f>
        <v>1</v>
      </c>
      <c r="E40" s="38">
        <f>VLOOKUP(B:B,Courts!B:D,3,FALSE())</f>
        <v>0</v>
      </c>
      <c r="F40" s="18">
        <v>2</v>
      </c>
      <c r="G40" s="18">
        <v>0</v>
      </c>
      <c r="H40" s="18">
        <v>1</v>
      </c>
      <c r="I40" s="18">
        <v>2</v>
      </c>
      <c r="J40" s="18">
        <v>1</v>
      </c>
      <c r="K40" s="38">
        <f t="shared" si="4"/>
        <v>5</v>
      </c>
      <c r="L40" s="18">
        <f t="shared" si="5"/>
        <v>4</v>
      </c>
      <c r="M40" s="52">
        <f t="shared" si="3"/>
        <v>1</v>
      </c>
      <c r="N40" s="18">
        <v>0</v>
      </c>
    </row>
    <row r="41" spans="1:14" x14ac:dyDescent="0.25">
      <c r="A41" s="36">
        <v>40</v>
      </c>
      <c r="B41" s="37" t="s">
        <v>68</v>
      </c>
      <c r="C41" s="38">
        <f>VLOOKUP(B:B,Courts!B:C,2,FALSE())</f>
        <v>15</v>
      </c>
      <c r="D41" s="38">
        <f>VLOOKUP(B:B,Courts!B:E,4,FALSE())</f>
        <v>0</v>
      </c>
      <c r="E41" s="38">
        <f>VLOOKUP(B:B,Courts!B:D,3,FALSE())</f>
        <v>0</v>
      </c>
      <c r="F41" s="18">
        <v>13</v>
      </c>
      <c r="G41" s="18">
        <v>0</v>
      </c>
      <c r="H41" s="18">
        <v>1</v>
      </c>
      <c r="I41" s="18">
        <v>1</v>
      </c>
      <c r="J41" s="18">
        <v>1</v>
      </c>
      <c r="K41" s="38">
        <f t="shared" si="4"/>
        <v>15</v>
      </c>
      <c r="L41" s="18">
        <f t="shared" si="5"/>
        <v>15</v>
      </c>
      <c r="M41" s="52">
        <f t="shared" si="3"/>
        <v>0</v>
      </c>
      <c r="N41" s="18">
        <v>0</v>
      </c>
    </row>
    <row r="42" spans="1:14" x14ac:dyDescent="0.25">
      <c r="A42" s="36">
        <v>41</v>
      </c>
      <c r="B42" s="36" t="s">
        <v>69</v>
      </c>
      <c r="C42" s="38">
        <f>VLOOKUP(B:B,Courts!B:C,2,FALSE())</f>
        <v>2</v>
      </c>
      <c r="D42" s="38">
        <f>VLOOKUP(B:B,Courts!B:E,4,FALSE())</f>
        <v>1</v>
      </c>
      <c r="E42" s="38">
        <f>VLOOKUP(B:B,Courts!B:D,3,FALSE())</f>
        <v>0</v>
      </c>
      <c r="F42" s="18">
        <v>1</v>
      </c>
      <c r="G42" s="18">
        <v>0</v>
      </c>
      <c r="H42" s="18">
        <v>0</v>
      </c>
      <c r="I42" s="18">
        <v>2</v>
      </c>
      <c r="J42" s="18">
        <v>1</v>
      </c>
      <c r="K42" s="38">
        <f t="shared" si="4"/>
        <v>3</v>
      </c>
      <c r="L42" s="18">
        <f t="shared" si="5"/>
        <v>3</v>
      </c>
      <c r="M42" s="52">
        <f t="shared" si="3"/>
        <v>0</v>
      </c>
      <c r="N42" s="18">
        <v>0</v>
      </c>
    </row>
    <row r="43" spans="1:14" x14ac:dyDescent="0.25">
      <c r="A43" s="36">
        <v>42</v>
      </c>
      <c r="B43" s="36" t="s">
        <v>70</v>
      </c>
      <c r="C43" s="38">
        <f>VLOOKUP(B:B,Courts!B:C,2,FALSE())</f>
        <v>2</v>
      </c>
      <c r="D43" s="38">
        <f>VLOOKUP(B:B,Courts!B:E,4,FALSE())</f>
        <v>1</v>
      </c>
      <c r="E43" s="38">
        <f>VLOOKUP(B:B,Courts!B:D,3,FALSE())</f>
        <v>0</v>
      </c>
      <c r="F43" s="18">
        <v>1</v>
      </c>
      <c r="G43" s="18">
        <v>0</v>
      </c>
      <c r="H43" s="18">
        <v>1</v>
      </c>
      <c r="I43" s="18">
        <v>1</v>
      </c>
      <c r="J43" s="18">
        <v>1</v>
      </c>
      <c r="K43" s="38">
        <f t="shared" si="4"/>
        <v>3</v>
      </c>
      <c r="L43" s="18">
        <f t="shared" si="5"/>
        <v>3</v>
      </c>
      <c r="M43" s="52">
        <f t="shared" si="3"/>
        <v>0</v>
      </c>
      <c r="N43" s="18">
        <v>0</v>
      </c>
    </row>
    <row r="44" spans="1:14" x14ac:dyDescent="0.25">
      <c r="A44" s="36">
        <v>43</v>
      </c>
      <c r="B44" s="36" t="s">
        <v>71</v>
      </c>
      <c r="C44" s="38">
        <f>VLOOKUP(B:B,Courts!B:C,2,FALSE())</f>
        <v>0</v>
      </c>
      <c r="D44" s="38">
        <f>VLOOKUP(B:B,Courts!B:E,4,FALSE())</f>
        <v>1</v>
      </c>
      <c r="E44" s="38">
        <f>VLOOKUP(B:B,Courts!B:D,3,FALSE())</f>
        <v>0</v>
      </c>
      <c r="F44" s="18">
        <v>0</v>
      </c>
      <c r="G44" s="18">
        <v>0</v>
      </c>
      <c r="H44" s="18">
        <v>0</v>
      </c>
      <c r="I44" s="18">
        <v>1</v>
      </c>
      <c r="J44" s="18">
        <v>0</v>
      </c>
      <c r="K44" s="38">
        <f t="shared" si="4"/>
        <v>1</v>
      </c>
      <c r="L44" s="18">
        <f t="shared" si="5"/>
        <v>1</v>
      </c>
      <c r="M44" s="52">
        <f t="shared" si="3"/>
        <v>0</v>
      </c>
      <c r="N44" s="18">
        <v>0</v>
      </c>
    </row>
    <row r="45" spans="1:14" x14ac:dyDescent="0.25">
      <c r="A45" s="36">
        <v>44</v>
      </c>
      <c r="B45" s="37" t="s">
        <v>72</v>
      </c>
      <c r="C45" s="38">
        <f>VLOOKUP(B:B,Courts!B:C,2,FALSE())</f>
        <v>13</v>
      </c>
      <c r="D45" s="38">
        <f>VLOOKUP(B:B,Courts!B:E,4,FALSE())</f>
        <v>0</v>
      </c>
      <c r="E45" s="38">
        <f>VLOOKUP(B:B,Courts!B:D,3,FALSE())</f>
        <v>0</v>
      </c>
      <c r="F45" s="18">
        <v>9</v>
      </c>
      <c r="G45" s="18">
        <v>1</v>
      </c>
      <c r="H45" s="18">
        <v>0</v>
      </c>
      <c r="I45" s="18">
        <v>3</v>
      </c>
      <c r="J45" s="18">
        <v>1</v>
      </c>
      <c r="K45" s="38">
        <f t="shared" si="4"/>
        <v>13</v>
      </c>
      <c r="L45" s="18">
        <f t="shared" si="5"/>
        <v>13</v>
      </c>
      <c r="M45" s="52">
        <f t="shared" si="3"/>
        <v>0</v>
      </c>
      <c r="N45" s="18">
        <v>0</v>
      </c>
    </row>
    <row r="46" spans="1:14" x14ac:dyDescent="0.25">
      <c r="A46" s="36">
        <v>45</v>
      </c>
      <c r="B46" s="37" t="s">
        <v>73</v>
      </c>
      <c r="C46" s="38">
        <f>VLOOKUP(B:B,Courts!B:C,2,FALSE())</f>
        <v>35</v>
      </c>
      <c r="D46" s="38">
        <f>VLOOKUP(B:B,Courts!B:E,4,FALSE())</f>
        <v>0</v>
      </c>
      <c r="E46" s="38">
        <f>VLOOKUP(B:B,Courts!B:D,3,FALSE())</f>
        <v>0</v>
      </c>
      <c r="F46" s="18">
        <v>26</v>
      </c>
      <c r="G46" s="18">
        <v>2</v>
      </c>
      <c r="H46" s="18">
        <v>0</v>
      </c>
      <c r="I46" s="18">
        <v>8</v>
      </c>
      <c r="J46" s="18">
        <v>1</v>
      </c>
      <c r="K46" s="38">
        <f t="shared" si="4"/>
        <v>36</v>
      </c>
      <c r="L46" s="18">
        <f t="shared" si="5"/>
        <v>35</v>
      </c>
      <c r="M46" s="52">
        <f t="shared" si="3"/>
        <v>1</v>
      </c>
      <c r="N46" s="18">
        <v>0</v>
      </c>
    </row>
    <row r="47" spans="1:14" x14ac:dyDescent="0.25">
      <c r="A47" s="36">
        <v>46</v>
      </c>
      <c r="B47" s="36" t="s">
        <v>74</v>
      </c>
      <c r="C47" s="38">
        <f>VLOOKUP(B:B,Courts!B:C,2,FALSE())</f>
        <v>5</v>
      </c>
      <c r="D47" s="38">
        <f>VLOOKUP(B:B,Courts!B:E,4,FALSE())</f>
        <v>1</v>
      </c>
      <c r="E47" s="38">
        <f>VLOOKUP(B:B,Courts!B:D,3,FALSE())</f>
        <v>0</v>
      </c>
      <c r="F47" s="18">
        <v>3</v>
      </c>
      <c r="G47" s="18">
        <v>2</v>
      </c>
      <c r="H47" s="18">
        <v>0</v>
      </c>
      <c r="I47" s="18">
        <v>3</v>
      </c>
      <c r="J47" s="18">
        <v>1</v>
      </c>
      <c r="K47" s="38">
        <f t="shared" si="4"/>
        <v>8</v>
      </c>
      <c r="L47" s="18">
        <f t="shared" si="5"/>
        <v>6</v>
      </c>
      <c r="M47" s="52">
        <f t="shared" si="3"/>
        <v>2</v>
      </c>
      <c r="N47" s="18">
        <v>0</v>
      </c>
    </row>
    <row r="48" spans="1:14" x14ac:dyDescent="0.25">
      <c r="A48" s="36">
        <v>47</v>
      </c>
      <c r="B48" s="36" t="s">
        <v>75</v>
      </c>
      <c r="C48" s="38">
        <f>VLOOKUP(B:B,Courts!B:C,2,FALSE())</f>
        <v>6</v>
      </c>
      <c r="D48" s="38">
        <f>VLOOKUP(B:B,Courts!B:E,4,FALSE())</f>
        <v>1</v>
      </c>
      <c r="E48" s="38">
        <f>VLOOKUP(B:B,Courts!B:D,3,FALSE())</f>
        <v>0</v>
      </c>
      <c r="F48" s="18">
        <v>5</v>
      </c>
      <c r="G48" s="18">
        <v>1</v>
      </c>
      <c r="H48" s="18">
        <v>0</v>
      </c>
      <c r="I48" s="18">
        <v>2</v>
      </c>
      <c r="J48" s="18">
        <v>1</v>
      </c>
      <c r="K48" s="38">
        <f t="shared" si="4"/>
        <v>8</v>
      </c>
      <c r="L48" s="18">
        <f t="shared" si="5"/>
        <v>7</v>
      </c>
      <c r="M48" s="52">
        <f t="shared" si="3"/>
        <v>1</v>
      </c>
      <c r="N48" s="18">
        <v>0</v>
      </c>
    </row>
    <row r="49" spans="1:14" x14ac:dyDescent="0.25">
      <c r="A49" s="36">
        <v>48</v>
      </c>
      <c r="B49" s="36" t="s">
        <v>76</v>
      </c>
      <c r="C49" s="38">
        <f>VLOOKUP(B:B,Courts!B:C,2,FALSE())</f>
        <v>6</v>
      </c>
      <c r="D49" s="38">
        <f>VLOOKUP(B:B,Courts!B:E,4,FALSE())</f>
        <v>1</v>
      </c>
      <c r="E49" s="38">
        <f>VLOOKUP(B:B,Courts!B:D,3,FALSE())</f>
        <v>0</v>
      </c>
      <c r="F49" s="18">
        <v>3</v>
      </c>
      <c r="G49" s="18">
        <v>2</v>
      </c>
      <c r="H49" s="18">
        <v>0</v>
      </c>
      <c r="I49" s="18">
        <v>2</v>
      </c>
      <c r="J49" s="18">
        <v>1</v>
      </c>
      <c r="K49" s="38">
        <f t="shared" si="4"/>
        <v>7</v>
      </c>
      <c r="L49" s="18">
        <f t="shared" si="5"/>
        <v>7</v>
      </c>
      <c r="M49" s="52">
        <f t="shared" si="3"/>
        <v>0</v>
      </c>
      <c r="N49" s="18">
        <v>0</v>
      </c>
    </row>
    <row r="50" spans="1:14" x14ac:dyDescent="0.25">
      <c r="A50" s="36">
        <v>49</v>
      </c>
      <c r="B50" s="37" t="s">
        <v>77</v>
      </c>
      <c r="C50" s="38">
        <f>VLOOKUP(B:B,Courts!B:C,2,FALSE())</f>
        <v>14</v>
      </c>
      <c r="D50" s="38">
        <f>VLOOKUP(B:B,Courts!B:E,4,FALSE())</f>
        <v>0</v>
      </c>
      <c r="E50" s="38">
        <f>VLOOKUP(B:B,Courts!B:D,3,FALSE())</f>
        <v>0</v>
      </c>
      <c r="F50" s="18">
        <v>13</v>
      </c>
      <c r="G50" s="18">
        <v>1</v>
      </c>
      <c r="H50" s="18">
        <v>1</v>
      </c>
      <c r="I50" s="18">
        <v>0</v>
      </c>
      <c r="J50" s="18">
        <v>1</v>
      </c>
      <c r="K50" s="38">
        <f t="shared" si="4"/>
        <v>15</v>
      </c>
      <c r="L50" s="18">
        <f t="shared" si="5"/>
        <v>14</v>
      </c>
      <c r="M50" s="52">
        <f t="shared" si="3"/>
        <v>1</v>
      </c>
      <c r="N50" s="18">
        <v>0</v>
      </c>
    </row>
    <row r="51" spans="1:14" x14ac:dyDescent="0.25">
      <c r="A51" s="36">
        <v>50</v>
      </c>
      <c r="B51" s="36" t="s">
        <v>78</v>
      </c>
      <c r="C51" s="38">
        <f>VLOOKUP(B:B,Courts!B:C,2,FALSE())</f>
        <v>3</v>
      </c>
      <c r="D51" s="38">
        <f>VLOOKUP(B:B,Courts!B:E,4,FALSE())</f>
        <v>1</v>
      </c>
      <c r="E51" s="38">
        <f>VLOOKUP(B:B,Courts!B:D,3,FALSE())</f>
        <v>0</v>
      </c>
      <c r="F51" s="18">
        <v>3</v>
      </c>
      <c r="G51" s="18">
        <v>1</v>
      </c>
      <c r="H51" s="18">
        <v>0</v>
      </c>
      <c r="I51" s="18">
        <v>1</v>
      </c>
      <c r="J51" s="18">
        <v>1</v>
      </c>
      <c r="K51" s="38">
        <f t="shared" si="4"/>
        <v>5</v>
      </c>
      <c r="L51" s="18">
        <f t="shared" si="5"/>
        <v>4</v>
      </c>
      <c r="M51" s="52">
        <f t="shared" si="3"/>
        <v>1</v>
      </c>
      <c r="N51" s="18">
        <v>0</v>
      </c>
    </row>
    <row r="52" spans="1:14" x14ac:dyDescent="0.25">
      <c r="A52" s="36">
        <v>51</v>
      </c>
      <c r="B52" s="36" t="s">
        <v>79</v>
      </c>
      <c r="C52" s="38">
        <f>VLOOKUP(B:B,Courts!B:C,2,FALSE())</f>
        <v>2</v>
      </c>
      <c r="D52" s="38">
        <f>VLOOKUP(B:B,Courts!B:E,4,FALSE())</f>
        <v>1</v>
      </c>
      <c r="E52" s="38">
        <f>VLOOKUP(B:B,Courts!B:D,3,FALSE())</f>
        <v>0</v>
      </c>
      <c r="F52" s="18">
        <v>0</v>
      </c>
      <c r="G52" s="18">
        <v>0</v>
      </c>
      <c r="H52" s="18">
        <v>3</v>
      </c>
      <c r="I52" s="18">
        <v>0</v>
      </c>
      <c r="J52" s="18">
        <v>1</v>
      </c>
      <c r="K52" s="38">
        <f t="shared" si="4"/>
        <v>3</v>
      </c>
      <c r="L52" s="18">
        <f t="shared" si="5"/>
        <v>3</v>
      </c>
      <c r="M52" s="52">
        <f t="shared" si="3"/>
        <v>0</v>
      </c>
      <c r="N52" s="18">
        <v>0</v>
      </c>
    </row>
    <row r="53" spans="1:14" x14ac:dyDescent="0.25">
      <c r="A53" s="36">
        <v>52</v>
      </c>
      <c r="B53" s="36" t="s">
        <v>80</v>
      </c>
      <c r="C53" s="38">
        <f>VLOOKUP(B:B,Courts!B:C,2,FALSE())</f>
        <v>0</v>
      </c>
      <c r="D53" s="38">
        <f>VLOOKUP(B:B,Courts!B:E,4,FALSE())</f>
        <v>1</v>
      </c>
      <c r="E53" s="38">
        <f>VLOOKUP(B:B,Courts!B:D,3,FALSE())</f>
        <v>0</v>
      </c>
      <c r="F53" s="18">
        <v>0</v>
      </c>
      <c r="G53" s="18">
        <v>1</v>
      </c>
      <c r="H53" s="18">
        <v>0</v>
      </c>
      <c r="I53" s="18">
        <v>0</v>
      </c>
      <c r="J53" s="18">
        <v>0</v>
      </c>
      <c r="K53" s="38">
        <f t="shared" si="4"/>
        <v>1</v>
      </c>
      <c r="L53" s="18">
        <f t="shared" si="5"/>
        <v>1</v>
      </c>
      <c r="M53" s="52">
        <f t="shared" si="3"/>
        <v>0</v>
      </c>
      <c r="N53" s="18">
        <v>0</v>
      </c>
    </row>
    <row r="54" spans="1:14" x14ac:dyDescent="0.25">
      <c r="A54" s="36">
        <v>53</v>
      </c>
      <c r="B54" s="37" t="s">
        <v>81</v>
      </c>
      <c r="C54" s="38">
        <f>VLOOKUP(B:B,Courts!B:C,2,FALSE())</f>
        <v>22</v>
      </c>
      <c r="D54" s="38">
        <f>VLOOKUP(B:B,Courts!B:E,4,FALSE())</f>
        <v>0</v>
      </c>
      <c r="E54" s="38">
        <f>VLOOKUP(B:B,Courts!B:D,3,FALSE())</f>
        <v>0</v>
      </c>
      <c r="F54" s="18">
        <v>15</v>
      </c>
      <c r="G54" s="18">
        <v>1</v>
      </c>
      <c r="H54" s="18">
        <v>4</v>
      </c>
      <c r="I54" s="18">
        <v>2</v>
      </c>
      <c r="J54" s="18">
        <v>1</v>
      </c>
      <c r="K54" s="38">
        <f t="shared" si="4"/>
        <v>22</v>
      </c>
      <c r="L54" s="18">
        <f t="shared" si="5"/>
        <v>22</v>
      </c>
      <c r="M54" s="52">
        <f t="shared" si="3"/>
        <v>0</v>
      </c>
      <c r="N54" s="18">
        <v>0</v>
      </c>
    </row>
    <row r="55" spans="1:14" x14ac:dyDescent="0.25">
      <c r="A55" s="36">
        <v>54</v>
      </c>
      <c r="B55" s="36" t="s">
        <v>82</v>
      </c>
      <c r="C55" s="38">
        <f>VLOOKUP(B:B,Courts!B:C,2,FALSE())</f>
        <v>9</v>
      </c>
      <c r="D55" s="38">
        <f>VLOOKUP(B:B,Courts!B:E,4,FALSE())</f>
        <v>1</v>
      </c>
      <c r="E55" s="38">
        <f>VLOOKUP(B:B,Courts!B:D,3,FALSE())</f>
        <v>0</v>
      </c>
      <c r="F55" s="18">
        <v>3</v>
      </c>
      <c r="G55" s="18">
        <v>1</v>
      </c>
      <c r="H55" s="18">
        <v>0</v>
      </c>
      <c r="I55" s="18">
        <v>6</v>
      </c>
      <c r="J55" s="18">
        <v>1</v>
      </c>
      <c r="K55" s="38">
        <f t="shared" si="4"/>
        <v>10</v>
      </c>
      <c r="L55" s="18">
        <f t="shared" si="5"/>
        <v>10</v>
      </c>
      <c r="M55" s="52">
        <f t="shared" si="3"/>
        <v>0</v>
      </c>
      <c r="N55" s="18">
        <v>0</v>
      </c>
    </row>
    <row r="56" spans="1:14" x14ac:dyDescent="0.25">
      <c r="A56" s="36">
        <v>55</v>
      </c>
      <c r="B56" s="36" t="s">
        <v>83</v>
      </c>
      <c r="C56" s="38">
        <f>VLOOKUP(B:B,Courts!B:C,2,FALSE())</f>
        <v>8</v>
      </c>
      <c r="D56" s="38">
        <f>VLOOKUP(B:B,Courts!B:E,4,FALSE())</f>
        <v>1</v>
      </c>
      <c r="E56" s="38">
        <f>VLOOKUP(B:B,Courts!B:D,3,FALSE())</f>
        <v>0</v>
      </c>
      <c r="F56" s="18">
        <v>5</v>
      </c>
      <c r="G56" s="18">
        <v>1</v>
      </c>
      <c r="H56" s="18">
        <v>0</v>
      </c>
      <c r="I56" s="18">
        <v>3</v>
      </c>
      <c r="J56" s="18">
        <v>1</v>
      </c>
      <c r="K56" s="38">
        <f t="shared" si="4"/>
        <v>9</v>
      </c>
      <c r="L56" s="18">
        <f t="shared" si="5"/>
        <v>9</v>
      </c>
      <c r="M56" s="52">
        <f t="shared" si="3"/>
        <v>0</v>
      </c>
      <c r="N56" s="18">
        <v>0</v>
      </c>
    </row>
    <row r="57" spans="1:14" x14ac:dyDescent="0.25">
      <c r="A57" s="36">
        <v>56</v>
      </c>
      <c r="B57" s="37" t="s">
        <v>84</v>
      </c>
      <c r="C57" s="38">
        <f>VLOOKUP(B:B,Courts!B:C,2,FALSE())</f>
        <v>17</v>
      </c>
      <c r="D57" s="38">
        <f>VLOOKUP(B:B,Courts!B:E,4,FALSE())</f>
        <v>0</v>
      </c>
      <c r="E57" s="38">
        <f>VLOOKUP(B:B,Courts!B:D,3,FALSE())</f>
        <v>0</v>
      </c>
      <c r="F57" s="18">
        <v>15</v>
      </c>
      <c r="G57" s="18">
        <v>2</v>
      </c>
      <c r="H57" s="18">
        <v>0</v>
      </c>
      <c r="I57" s="18">
        <v>0</v>
      </c>
      <c r="J57" s="18">
        <v>1</v>
      </c>
      <c r="K57" s="38">
        <f t="shared" si="4"/>
        <v>17</v>
      </c>
      <c r="L57" s="18">
        <f t="shared" si="5"/>
        <v>17</v>
      </c>
      <c r="M57" s="52">
        <f t="shared" si="3"/>
        <v>0</v>
      </c>
      <c r="N57" s="18">
        <v>0</v>
      </c>
    </row>
    <row r="58" spans="1:14" x14ac:dyDescent="0.25">
      <c r="A58" s="36">
        <v>57</v>
      </c>
      <c r="B58" s="36" t="s">
        <v>85</v>
      </c>
      <c r="C58" s="38">
        <f>VLOOKUP(B:B,Courts!B:C,2,FALSE())</f>
        <v>7</v>
      </c>
      <c r="D58" s="38">
        <f>VLOOKUP(B:B,Courts!B:E,4,FALSE())</f>
        <v>1</v>
      </c>
      <c r="E58" s="38">
        <f>VLOOKUP(B:B,Courts!B:D,3,FALSE())</f>
        <v>0</v>
      </c>
      <c r="F58" s="18">
        <v>5</v>
      </c>
      <c r="G58" s="18">
        <v>0</v>
      </c>
      <c r="H58" s="18">
        <v>1</v>
      </c>
      <c r="I58" s="18">
        <v>1</v>
      </c>
      <c r="J58" s="18">
        <v>1</v>
      </c>
      <c r="K58" s="38">
        <f t="shared" si="4"/>
        <v>7</v>
      </c>
      <c r="L58" s="18">
        <f t="shared" si="5"/>
        <v>8</v>
      </c>
      <c r="M58" s="52">
        <f t="shared" ref="M58:M91" si="6">K58-L58</f>
        <v>-1</v>
      </c>
      <c r="N58" s="18">
        <v>1</v>
      </c>
    </row>
    <row r="59" spans="1:14" x14ac:dyDescent="0.25">
      <c r="A59" s="36">
        <v>58</v>
      </c>
      <c r="B59" s="36" t="s">
        <v>86</v>
      </c>
      <c r="C59" s="38">
        <f>VLOOKUP(B:B,Courts!B:C,2,FALSE())</f>
        <v>5</v>
      </c>
      <c r="D59" s="38">
        <f>VLOOKUP(B:B,Courts!B:E,4,FALSE())</f>
        <v>1</v>
      </c>
      <c r="E59" s="38">
        <f>VLOOKUP(B:B,Courts!B:D,3,FALSE())</f>
        <v>0</v>
      </c>
      <c r="F59" s="18">
        <v>3</v>
      </c>
      <c r="G59" s="18">
        <v>1</v>
      </c>
      <c r="H59" s="18">
        <v>1</v>
      </c>
      <c r="I59" s="18">
        <v>0</v>
      </c>
      <c r="J59" s="18">
        <v>1</v>
      </c>
      <c r="K59" s="38">
        <f t="shared" si="4"/>
        <v>5</v>
      </c>
      <c r="L59" s="18">
        <f t="shared" si="5"/>
        <v>6</v>
      </c>
      <c r="M59" s="52">
        <f t="shared" si="6"/>
        <v>-1</v>
      </c>
      <c r="N59" s="18">
        <v>0</v>
      </c>
    </row>
    <row r="60" spans="1:14" x14ac:dyDescent="0.25">
      <c r="A60" s="36">
        <v>59</v>
      </c>
      <c r="B60" s="36" t="s">
        <v>87</v>
      </c>
      <c r="C60" s="38">
        <f>VLOOKUP(B:B,Courts!B:C,2,FALSE())</f>
        <v>3</v>
      </c>
      <c r="D60" s="38">
        <f>VLOOKUP(B:B,Courts!B:E,4,FALSE())</f>
        <v>1</v>
      </c>
      <c r="E60" s="38">
        <f>VLOOKUP(B:B,Courts!B:D,3,FALSE())</f>
        <v>0</v>
      </c>
      <c r="F60" s="18">
        <v>1</v>
      </c>
      <c r="G60" s="18">
        <v>2</v>
      </c>
      <c r="H60" s="18">
        <v>0</v>
      </c>
      <c r="I60" s="18">
        <v>1</v>
      </c>
      <c r="J60" s="18">
        <v>1</v>
      </c>
      <c r="K60" s="38">
        <f t="shared" si="4"/>
        <v>4</v>
      </c>
      <c r="L60" s="18">
        <f t="shared" si="5"/>
        <v>4</v>
      </c>
      <c r="M60" s="52">
        <f t="shared" si="6"/>
        <v>0</v>
      </c>
      <c r="N60" s="18">
        <v>0</v>
      </c>
    </row>
    <row r="61" spans="1:14" x14ac:dyDescent="0.25">
      <c r="A61" s="36">
        <v>60</v>
      </c>
      <c r="B61" s="36" t="s">
        <v>88</v>
      </c>
      <c r="C61" s="38">
        <f>VLOOKUP(B:B,Courts!B:C,2,FALSE())</f>
        <v>5</v>
      </c>
      <c r="D61" s="38">
        <f>VLOOKUP(B:B,Courts!B:E,4,FALSE())</f>
        <v>1</v>
      </c>
      <c r="E61" s="38">
        <f>VLOOKUP(B:B,Courts!B:D,3,FALSE())</f>
        <v>0</v>
      </c>
      <c r="F61" s="18">
        <v>3</v>
      </c>
      <c r="G61" s="18">
        <v>0</v>
      </c>
      <c r="H61" s="18">
        <v>0</v>
      </c>
      <c r="I61" s="18">
        <v>4</v>
      </c>
      <c r="J61" s="18">
        <v>1</v>
      </c>
      <c r="K61" s="38">
        <f t="shared" si="4"/>
        <v>7</v>
      </c>
      <c r="L61" s="18">
        <f t="shared" si="5"/>
        <v>6</v>
      </c>
      <c r="M61" s="52">
        <f t="shared" si="6"/>
        <v>1</v>
      </c>
      <c r="N61" s="18">
        <v>0</v>
      </c>
    </row>
    <row r="62" spans="1:14" x14ac:dyDescent="0.25">
      <c r="A62" s="36">
        <v>61</v>
      </c>
      <c r="B62" s="37" t="s">
        <v>89</v>
      </c>
      <c r="C62" s="38">
        <f>VLOOKUP(B:B,Courts!B:C,2,FALSE())</f>
        <v>9</v>
      </c>
      <c r="D62" s="38">
        <f>VLOOKUP(B:B,Courts!B:E,4,FALSE())</f>
        <v>0</v>
      </c>
      <c r="E62" s="38">
        <f>VLOOKUP(B:B,Courts!B:D,3,FALSE())</f>
        <v>0</v>
      </c>
      <c r="F62" s="18">
        <v>5</v>
      </c>
      <c r="G62" s="18">
        <v>1</v>
      </c>
      <c r="H62" s="18">
        <v>2</v>
      </c>
      <c r="I62" s="18">
        <v>1</v>
      </c>
      <c r="J62" s="18">
        <v>1</v>
      </c>
      <c r="K62" s="38">
        <f t="shared" si="4"/>
        <v>9</v>
      </c>
      <c r="L62" s="18">
        <f t="shared" si="5"/>
        <v>9</v>
      </c>
      <c r="M62" s="52">
        <f t="shared" si="6"/>
        <v>0</v>
      </c>
      <c r="N62" s="18">
        <v>0</v>
      </c>
    </row>
    <row r="63" spans="1:14" x14ac:dyDescent="0.25">
      <c r="A63" s="36">
        <v>62</v>
      </c>
      <c r="B63" s="36" t="s">
        <v>90</v>
      </c>
      <c r="C63" s="38">
        <f>VLOOKUP(B:B,Courts!B:C,2,FALSE())</f>
        <v>3</v>
      </c>
      <c r="D63" s="38">
        <f>VLOOKUP(B:B,Courts!B:E,4,FALSE())</f>
        <v>1</v>
      </c>
      <c r="E63" s="38">
        <f>VLOOKUP(B:B,Courts!B:D,3,FALSE())</f>
        <v>0</v>
      </c>
      <c r="F63" s="18">
        <v>2</v>
      </c>
      <c r="G63" s="18">
        <v>0</v>
      </c>
      <c r="H63" s="18">
        <v>1</v>
      </c>
      <c r="I63" s="18">
        <v>2</v>
      </c>
      <c r="J63" s="18">
        <v>1</v>
      </c>
      <c r="K63" s="38">
        <f t="shared" si="4"/>
        <v>5</v>
      </c>
      <c r="L63" s="18">
        <f t="shared" si="5"/>
        <v>4</v>
      </c>
      <c r="M63" s="52">
        <f t="shared" si="6"/>
        <v>1</v>
      </c>
      <c r="N63" s="18">
        <v>0</v>
      </c>
    </row>
    <row r="64" spans="1:14" x14ac:dyDescent="0.25">
      <c r="A64" s="36">
        <v>63</v>
      </c>
      <c r="B64" s="36" t="s">
        <v>91</v>
      </c>
      <c r="C64" s="38">
        <f>VLOOKUP(B:B,Courts!B:C,2,FALSE())</f>
        <v>6</v>
      </c>
      <c r="D64" s="38">
        <f>VLOOKUP(B:B,Courts!B:E,4,FALSE())</f>
        <v>1</v>
      </c>
      <c r="E64" s="38">
        <f>VLOOKUP(B:B,Courts!B:D,3,FALSE())</f>
        <v>0</v>
      </c>
      <c r="F64" s="18">
        <v>3</v>
      </c>
      <c r="G64" s="18">
        <v>0</v>
      </c>
      <c r="H64" s="18">
        <v>1</v>
      </c>
      <c r="I64" s="18">
        <v>3</v>
      </c>
      <c r="J64" s="18">
        <v>1</v>
      </c>
      <c r="K64" s="38">
        <f t="shared" si="4"/>
        <v>7</v>
      </c>
      <c r="L64" s="18">
        <f t="shared" si="5"/>
        <v>7</v>
      </c>
      <c r="M64" s="52">
        <f t="shared" si="6"/>
        <v>0</v>
      </c>
      <c r="N64" s="18">
        <v>0</v>
      </c>
    </row>
    <row r="65" spans="1:14" x14ac:dyDescent="0.25">
      <c r="A65" s="36">
        <v>64</v>
      </c>
      <c r="B65" s="37" t="s">
        <v>92</v>
      </c>
      <c r="C65" s="38">
        <f>VLOOKUP(B:B,Courts!B:C,2,FALSE())</f>
        <v>13</v>
      </c>
      <c r="D65" s="38">
        <f>VLOOKUP(B:B,Courts!B:E,4,FALSE())</f>
        <v>0</v>
      </c>
      <c r="E65" s="38">
        <f>VLOOKUP(B:B,Courts!B:D,3,FALSE())</f>
        <v>0</v>
      </c>
      <c r="F65" s="18">
        <v>9</v>
      </c>
      <c r="G65" s="18">
        <v>1</v>
      </c>
      <c r="H65" s="18">
        <v>0</v>
      </c>
      <c r="I65" s="18">
        <v>3</v>
      </c>
      <c r="J65" s="18">
        <v>1</v>
      </c>
      <c r="K65" s="38">
        <f t="shared" si="4"/>
        <v>13</v>
      </c>
      <c r="L65" s="18">
        <f t="shared" si="5"/>
        <v>13</v>
      </c>
      <c r="M65" s="52">
        <f t="shared" si="6"/>
        <v>0</v>
      </c>
      <c r="N65" s="18">
        <v>0</v>
      </c>
    </row>
    <row r="66" spans="1:14" x14ac:dyDescent="0.25">
      <c r="A66" s="36">
        <v>65</v>
      </c>
      <c r="B66" s="36" t="s">
        <v>93</v>
      </c>
      <c r="C66" s="38">
        <f>VLOOKUP(B:B,Courts!B:C,2,FALSE())</f>
        <v>2</v>
      </c>
      <c r="D66" s="38">
        <f>VLOOKUP(B:B,Courts!B:E,4,FALSE())</f>
        <v>1</v>
      </c>
      <c r="E66" s="38">
        <f>VLOOKUP(B:B,Courts!B:D,3,FALSE())</f>
        <v>0</v>
      </c>
      <c r="F66" s="18">
        <v>1</v>
      </c>
      <c r="G66" s="18">
        <v>2</v>
      </c>
      <c r="H66" s="18">
        <v>0</v>
      </c>
      <c r="I66" s="18">
        <v>0</v>
      </c>
      <c r="J66" s="18">
        <v>1</v>
      </c>
      <c r="K66" s="38">
        <f t="shared" ref="K66:K99" si="7">SUM(F66:I66)</f>
        <v>3</v>
      </c>
      <c r="L66" s="18">
        <f t="shared" ref="L66:L99" si="8">SUM(C66:E66)*1</f>
        <v>3</v>
      </c>
      <c r="M66" s="52">
        <f t="shared" si="6"/>
        <v>0</v>
      </c>
      <c r="N66" s="18">
        <v>0</v>
      </c>
    </row>
    <row r="67" spans="1:14" x14ac:dyDescent="0.25">
      <c r="A67" s="36">
        <v>66</v>
      </c>
      <c r="B67" s="37" t="s">
        <v>94</v>
      </c>
      <c r="C67" s="38">
        <f>VLOOKUP(B:B,Courts!B:C,2,FALSE())</f>
        <v>10</v>
      </c>
      <c r="D67" s="38">
        <f>VLOOKUP(B:B,Courts!B:E,4,FALSE())</f>
        <v>0</v>
      </c>
      <c r="E67" s="38">
        <f>VLOOKUP(B:B,Courts!B:D,3,FALSE())</f>
        <v>0</v>
      </c>
      <c r="F67" s="18">
        <v>9</v>
      </c>
      <c r="G67" s="18">
        <v>0</v>
      </c>
      <c r="H67" s="18">
        <v>0</v>
      </c>
      <c r="I67" s="18">
        <v>2</v>
      </c>
      <c r="J67" s="18">
        <v>1</v>
      </c>
      <c r="K67" s="38">
        <f t="shared" si="7"/>
        <v>11</v>
      </c>
      <c r="L67" s="18">
        <f t="shared" si="8"/>
        <v>10</v>
      </c>
      <c r="M67" s="52">
        <f t="shared" si="6"/>
        <v>1</v>
      </c>
      <c r="N67" s="18">
        <v>0</v>
      </c>
    </row>
    <row r="68" spans="1:14" x14ac:dyDescent="0.25">
      <c r="A68" s="36">
        <v>67</v>
      </c>
      <c r="B68" s="36" t="s">
        <v>95</v>
      </c>
      <c r="C68" s="38">
        <f>VLOOKUP(B:B,Courts!B:C,2,FALSE())</f>
        <v>6</v>
      </c>
      <c r="D68" s="38">
        <f>VLOOKUP(B:B,Courts!B:E,4,FALSE())</f>
        <v>1</v>
      </c>
      <c r="E68" s="38">
        <f>VLOOKUP(B:B,Courts!B:D,3,FALSE())</f>
        <v>0</v>
      </c>
      <c r="F68" s="18">
        <v>3</v>
      </c>
      <c r="G68" s="18">
        <v>0</v>
      </c>
      <c r="H68" s="18">
        <v>1</v>
      </c>
      <c r="I68" s="18">
        <v>3</v>
      </c>
      <c r="J68" s="18">
        <v>1</v>
      </c>
      <c r="K68" s="38">
        <f t="shared" si="7"/>
        <v>7</v>
      </c>
      <c r="L68" s="18">
        <f t="shared" si="8"/>
        <v>7</v>
      </c>
      <c r="M68" s="52">
        <f t="shared" si="6"/>
        <v>0</v>
      </c>
      <c r="N68" s="18">
        <v>0</v>
      </c>
    </row>
    <row r="69" spans="1:14" x14ac:dyDescent="0.25">
      <c r="A69" s="36">
        <v>68</v>
      </c>
      <c r="B69" s="36" t="s">
        <v>96</v>
      </c>
      <c r="C69" s="38">
        <f>VLOOKUP(B:B,Courts!B:C,2,FALSE())</f>
        <v>2</v>
      </c>
      <c r="D69" s="38">
        <f>VLOOKUP(B:B,Courts!B:E,4,FALSE())</f>
        <v>1</v>
      </c>
      <c r="E69" s="38">
        <f>VLOOKUP(B:B,Courts!B:D,3,FALSE())</f>
        <v>0</v>
      </c>
      <c r="F69" s="18">
        <v>1</v>
      </c>
      <c r="G69" s="18">
        <v>0</v>
      </c>
      <c r="H69" s="18">
        <v>1</v>
      </c>
      <c r="I69" s="18">
        <v>1</v>
      </c>
      <c r="J69" s="18">
        <v>1</v>
      </c>
      <c r="K69" s="38">
        <f t="shared" si="7"/>
        <v>3</v>
      </c>
      <c r="L69" s="18">
        <f t="shared" si="8"/>
        <v>3</v>
      </c>
      <c r="M69" s="52">
        <f t="shared" si="6"/>
        <v>0</v>
      </c>
      <c r="N69" s="18">
        <v>0</v>
      </c>
    </row>
    <row r="70" spans="1:14" x14ac:dyDescent="0.25">
      <c r="A70" s="36">
        <v>69</v>
      </c>
      <c r="B70" s="37" t="s">
        <v>97</v>
      </c>
      <c r="C70" s="38">
        <f>VLOOKUP(B:B,Courts!B:C,2,FALSE())</f>
        <v>28</v>
      </c>
      <c r="D70" s="38">
        <f>VLOOKUP(B:B,Courts!B:E,4,FALSE())</f>
        <v>0</v>
      </c>
      <c r="E70" s="38">
        <f>VLOOKUP(B:B,Courts!B:D,3,FALSE())</f>
        <v>0</v>
      </c>
      <c r="F70" s="18">
        <v>29</v>
      </c>
      <c r="G70" s="18">
        <v>0</v>
      </c>
      <c r="H70" s="18">
        <v>1</v>
      </c>
      <c r="I70" s="18">
        <v>1</v>
      </c>
      <c r="J70" s="18">
        <v>1</v>
      </c>
      <c r="K70" s="38">
        <f t="shared" si="7"/>
        <v>31</v>
      </c>
      <c r="L70" s="18">
        <f t="shared" si="8"/>
        <v>28</v>
      </c>
      <c r="M70" s="52">
        <f t="shared" si="6"/>
        <v>3</v>
      </c>
      <c r="N70" s="18">
        <v>0</v>
      </c>
    </row>
    <row r="71" spans="1:14" x14ac:dyDescent="0.25">
      <c r="A71" s="36">
        <v>70</v>
      </c>
      <c r="B71" s="37" t="s">
        <v>98</v>
      </c>
      <c r="C71" s="38">
        <f>VLOOKUP(B:B,Courts!B:C,2,FALSE())</f>
        <v>22</v>
      </c>
      <c r="D71" s="38">
        <f>VLOOKUP(B:B,Courts!B:E,4,FALSE())</f>
        <v>0</v>
      </c>
      <c r="E71" s="38">
        <f>VLOOKUP(B:B,Courts!B:D,3,FALSE())</f>
        <v>5</v>
      </c>
      <c r="F71" s="18">
        <v>18</v>
      </c>
      <c r="G71" s="18">
        <v>0</v>
      </c>
      <c r="H71" s="18">
        <v>0</v>
      </c>
      <c r="I71" s="18">
        <v>6</v>
      </c>
      <c r="J71" s="18">
        <v>1</v>
      </c>
      <c r="K71" s="38">
        <f t="shared" si="7"/>
        <v>24</v>
      </c>
      <c r="L71" s="18">
        <f t="shared" si="8"/>
        <v>27</v>
      </c>
      <c r="M71" s="52">
        <f t="shared" si="6"/>
        <v>-3</v>
      </c>
      <c r="N71" s="18">
        <v>3</v>
      </c>
    </row>
    <row r="72" spans="1:14" x14ac:dyDescent="0.25">
      <c r="A72" s="36">
        <v>71</v>
      </c>
      <c r="B72" s="36" t="s">
        <v>99</v>
      </c>
      <c r="C72" s="38">
        <f>VLOOKUP(B:B,Courts!B:C,2,FALSE())</f>
        <v>2</v>
      </c>
      <c r="D72" s="38">
        <f>VLOOKUP(B:B,Courts!B:E,4,FALSE())</f>
        <v>1</v>
      </c>
      <c r="E72" s="38">
        <f>VLOOKUP(B:B,Courts!B:D,3,FALSE())</f>
        <v>1</v>
      </c>
      <c r="F72" s="18">
        <v>3</v>
      </c>
      <c r="G72" s="18">
        <v>0</v>
      </c>
      <c r="H72" s="18">
        <v>0</v>
      </c>
      <c r="I72" s="18">
        <v>0</v>
      </c>
      <c r="J72" s="18">
        <v>1</v>
      </c>
      <c r="K72" s="38">
        <f t="shared" si="7"/>
        <v>3</v>
      </c>
      <c r="L72" s="18">
        <f t="shared" si="8"/>
        <v>4</v>
      </c>
      <c r="M72" s="52">
        <f t="shared" si="6"/>
        <v>-1</v>
      </c>
      <c r="N72" s="18">
        <v>1</v>
      </c>
    </row>
    <row r="73" spans="1:14" x14ac:dyDescent="0.25">
      <c r="A73" s="36">
        <v>72</v>
      </c>
      <c r="B73" s="37" t="s">
        <v>100</v>
      </c>
      <c r="C73" s="38">
        <f>VLOOKUP(B:B,Courts!B:C,2,FALSE())</f>
        <v>15</v>
      </c>
      <c r="D73" s="38">
        <f>VLOOKUP(B:B,Courts!B:E,4,FALSE())</f>
        <v>0</v>
      </c>
      <c r="E73" s="38">
        <f>VLOOKUP(B:B,Courts!B:D,3,FALSE())</f>
        <v>3</v>
      </c>
      <c r="F73" s="18">
        <v>17</v>
      </c>
      <c r="G73" s="18">
        <v>0</v>
      </c>
      <c r="H73" s="18">
        <v>0</v>
      </c>
      <c r="I73" s="18">
        <v>0</v>
      </c>
      <c r="J73" s="18">
        <v>1</v>
      </c>
      <c r="K73" s="38">
        <f t="shared" si="7"/>
        <v>17</v>
      </c>
      <c r="L73" s="18">
        <f t="shared" si="8"/>
        <v>18</v>
      </c>
      <c r="M73" s="52">
        <f t="shared" si="6"/>
        <v>-1</v>
      </c>
      <c r="N73" s="18">
        <v>0</v>
      </c>
    </row>
    <row r="74" spans="1:14" x14ac:dyDescent="0.25">
      <c r="A74" s="36">
        <v>73</v>
      </c>
      <c r="B74" s="36" t="s">
        <v>101</v>
      </c>
      <c r="C74" s="38">
        <f>VLOOKUP(B:B,Courts!B:C,2,FALSE())</f>
        <v>2</v>
      </c>
      <c r="D74" s="38">
        <f>VLOOKUP(B:B,Courts!B:E,4,FALSE())</f>
        <v>1</v>
      </c>
      <c r="E74" s="38">
        <f>VLOOKUP(B:B,Courts!B:D,3,FALSE())</f>
        <v>0</v>
      </c>
      <c r="F74" s="18">
        <v>1</v>
      </c>
      <c r="G74" s="18">
        <v>1</v>
      </c>
      <c r="H74" s="18">
        <v>0</v>
      </c>
      <c r="I74" s="18">
        <v>1</v>
      </c>
      <c r="J74" s="18">
        <v>1</v>
      </c>
      <c r="K74" s="38">
        <f t="shared" si="7"/>
        <v>3</v>
      </c>
      <c r="L74" s="18">
        <f t="shared" si="8"/>
        <v>3</v>
      </c>
      <c r="M74" s="52">
        <f t="shared" si="6"/>
        <v>0</v>
      </c>
      <c r="N74" s="18">
        <v>0</v>
      </c>
    </row>
    <row r="75" spans="1:14" x14ac:dyDescent="0.25">
      <c r="A75" s="36">
        <v>74</v>
      </c>
      <c r="B75" s="36" t="s">
        <v>102</v>
      </c>
      <c r="C75" s="38">
        <f>VLOOKUP(B:B,Courts!B:C,2,FALSE())</f>
        <v>1</v>
      </c>
      <c r="D75" s="38">
        <f>VLOOKUP(B:B,Courts!B:E,4,FALSE())</f>
        <v>1</v>
      </c>
      <c r="E75" s="38">
        <f>VLOOKUP(B:B,Courts!B:D,3,FALSE())</f>
        <v>0</v>
      </c>
      <c r="F75" s="18">
        <v>1</v>
      </c>
      <c r="G75" s="18">
        <v>0</v>
      </c>
      <c r="H75" s="18">
        <v>0</v>
      </c>
      <c r="I75" s="18">
        <v>1</v>
      </c>
      <c r="J75" s="18">
        <v>1</v>
      </c>
      <c r="K75" s="38">
        <f t="shared" si="7"/>
        <v>2</v>
      </c>
      <c r="L75" s="18">
        <f t="shared" si="8"/>
        <v>2</v>
      </c>
      <c r="M75" s="52">
        <f t="shared" si="6"/>
        <v>0</v>
      </c>
      <c r="N75" s="18">
        <v>0</v>
      </c>
    </row>
    <row r="76" spans="1:14" x14ac:dyDescent="0.25">
      <c r="A76" s="36">
        <v>75</v>
      </c>
      <c r="B76" s="36" t="s">
        <v>103</v>
      </c>
      <c r="C76" s="38">
        <f>VLOOKUP(B:B,Courts!B:C,2,FALSE())</f>
        <v>1</v>
      </c>
      <c r="D76" s="38">
        <f>VLOOKUP(B:B,Courts!B:E,4,FALSE())</f>
        <v>1</v>
      </c>
      <c r="E76" s="38">
        <f>VLOOKUP(B:B,Courts!B:D,3,FALSE())</f>
        <v>0</v>
      </c>
      <c r="F76" s="18">
        <v>1</v>
      </c>
      <c r="G76" s="18">
        <v>0</v>
      </c>
      <c r="H76" s="18">
        <v>0</v>
      </c>
      <c r="I76" s="18">
        <v>2</v>
      </c>
      <c r="J76" s="18">
        <v>1</v>
      </c>
      <c r="K76" s="38">
        <f t="shared" si="7"/>
        <v>3</v>
      </c>
      <c r="L76" s="18">
        <f t="shared" si="8"/>
        <v>2</v>
      </c>
      <c r="M76" s="52">
        <f t="shared" si="6"/>
        <v>1</v>
      </c>
      <c r="N76" s="18">
        <v>0</v>
      </c>
    </row>
    <row r="77" spans="1:14" x14ac:dyDescent="0.25">
      <c r="A77" s="36">
        <v>76</v>
      </c>
      <c r="B77" s="37" t="s">
        <v>104</v>
      </c>
      <c r="C77" s="38">
        <f>VLOOKUP(B:B,Courts!B:C,2,FALSE())</f>
        <v>8</v>
      </c>
      <c r="D77" s="38">
        <f>VLOOKUP(B:B,Courts!B:E,4,FALSE())</f>
        <v>0</v>
      </c>
      <c r="E77" s="38">
        <f>VLOOKUP(B:B,Courts!B:D,3,FALSE())</f>
        <v>1</v>
      </c>
      <c r="F77" s="18">
        <v>4</v>
      </c>
      <c r="G77" s="18">
        <v>1</v>
      </c>
      <c r="H77" s="18">
        <v>0</v>
      </c>
      <c r="I77" s="18">
        <v>4</v>
      </c>
      <c r="J77" s="18">
        <v>1</v>
      </c>
      <c r="K77" s="38">
        <f t="shared" si="7"/>
        <v>9</v>
      </c>
      <c r="L77" s="18">
        <f t="shared" si="8"/>
        <v>9</v>
      </c>
      <c r="M77" s="52">
        <f t="shared" si="6"/>
        <v>0</v>
      </c>
      <c r="N77" s="18">
        <v>0</v>
      </c>
    </row>
    <row r="78" spans="1:14" x14ac:dyDescent="0.25">
      <c r="A78" s="36">
        <v>77</v>
      </c>
      <c r="B78" s="37" t="s">
        <v>105</v>
      </c>
      <c r="C78" s="38">
        <f>VLOOKUP(B:B,Courts!B:C,2,FALSE())</f>
        <v>39</v>
      </c>
      <c r="D78" s="38">
        <f>VLOOKUP(B:B,Courts!B:E,4,FALSE())</f>
        <v>0</v>
      </c>
      <c r="E78" s="38">
        <f>VLOOKUP(B:B,Courts!B:D,3,FALSE())</f>
        <v>10</v>
      </c>
      <c r="F78" s="18">
        <v>35</v>
      </c>
      <c r="G78" s="18">
        <v>0</v>
      </c>
      <c r="H78" s="18">
        <v>0</v>
      </c>
      <c r="I78" s="18">
        <v>3</v>
      </c>
      <c r="J78" s="18">
        <v>1</v>
      </c>
      <c r="K78" s="38">
        <f t="shared" si="7"/>
        <v>38</v>
      </c>
      <c r="L78" s="18">
        <f t="shared" si="8"/>
        <v>49</v>
      </c>
      <c r="M78" s="52">
        <f t="shared" si="6"/>
        <v>-11</v>
      </c>
      <c r="N78" s="18">
        <v>11</v>
      </c>
    </row>
    <row r="79" spans="1:14" x14ac:dyDescent="0.25">
      <c r="A79" s="36">
        <v>78</v>
      </c>
      <c r="B79" s="37" t="s">
        <v>106</v>
      </c>
      <c r="C79" s="38">
        <f>VLOOKUP(B:B,Courts!B:C,2,FALSE())</f>
        <v>11</v>
      </c>
      <c r="D79" s="38">
        <f>VLOOKUP(B:B,Courts!B:E,4,FALSE())</f>
        <v>0</v>
      </c>
      <c r="E79" s="38">
        <f>VLOOKUP(B:B,Courts!B:D,3,FALSE())</f>
        <v>1</v>
      </c>
      <c r="F79" s="18">
        <v>7</v>
      </c>
      <c r="G79" s="18">
        <v>3</v>
      </c>
      <c r="H79" s="18">
        <v>1</v>
      </c>
      <c r="I79" s="18">
        <v>1</v>
      </c>
      <c r="J79" s="18">
        <v>1</v>
      </c>
      <c r="K79" s="38">
        <f t="shared" si="7"/>
        <v>12</v>
      </c>
      <c r="L79" s="18">
        <f t="shared" si="8"/>
        <v>12</v>
      </c>
      <c r="M79" s="52">
        <f t="shared" si="6"/>
        <v>0</v>
      </c>
      <c r="N79" s="18">
        <v>0</v>
      </c>
    </row>
    <row r="80" spans="1:14" x14ac:dyDescent="0.25">
      <c r="A80" s="36">
        <v>79</v>
      </c>
      <c r="B80" s="36" t="s">
        <v>107</v>
      </c>
      <c r="C80" s="38">
        <f>VLOOKUP(B:B,Courts!B:C,2,FALSE())</f>
        <v>2</v>
      </c>
      <c r="D80" s="38">
        <f>VLOOKUP(B:B,Courts!B:E,4,FALSE())</f>
        <v>1</v>
      </c>
      <c r="E80" s="38">
        <f>VLOOKUP(B:B,Courts!B:D,3,FALSE())</f>
        <v>0</v>
      </c>
      <c r="F80" s="18">
        <v>3</v>
      </c>
      <c r="G80" s="18">
        <v>1</v>
      </c>
      <c r="H80" s="18">
        <v>0</v>
      </c>
      <c r="I80" s="18">
        <v>0</v>
      </c>
      <c r="J80" s="18">
        <v>1</v>
      </c>
      <c r="K80" s="38">
        <f t="shared" si="7"/>
        <v>4</v>
      </c>
      <c r="L80" s="18">
        <f t="shared" si="8"/>
        <v>3</v>
      </c>
      <c r="M80" s="52">
        <f t="shared" si="6"/>
        <v>1</v>
      </c>
      <c r="N80" s="18">
        <v>0</v>
      </c>
    </row>
    <row r="81" spans="1:14" x14ac:dyDescent="0.25">
      <c r="A81" s="36">
        <v>80</v>
      </c>
      <c r="B81" s="36" t="s">
        <v>108</v>
      </c>
      <c r="C81" s="38">
        <f>VLOOKUP(B:B,Courts!B:C,2,FALSE())</f>
        <v>2</v>
      </c>
      <c r="D81" s="38">
        <f>VLOOKUP(B:B,Courts!B:E,4,FALSE())</f>
        <v>1</v>
      </c>
      <c r="E81" s="38">
        <f>VLOOKUP(B:B,Courts!B:D,3,FALSE())</f>
        <v>1</v>
      </c>
      <c r="F81" s="18">
        <v>1</v>
      </c>
      <c r="G81" s="18">
        <v>1</v>
      </c>
      <c r="H81" s="18">
        <v>0</v>
      </c>
      <c r="I81" s="18">
        <v>1</v>
      </c>
      <c r="J81" s="18">
        <v>1</v>
      </c>
      <c r="K81" s="38">
        <f t="shared" si="7"/>
        <v>3</v>
      </c>
      <c r="L81" s="18">
        <f t="shared" si="8"/>
        <v>4</v>
      </c>
      <c r="M81" s="52">
        <f t="shared" si="6"/>
        <v>-1</v>
      </c>
      <c r="N81" s="18">
        <v>0</v>
      </c>
    </row>
    <row r="82" spans="1:14" x14ac:dyDescent="0.25">
      <c r="A82" s="36">
        <v>81</v>
      </c>
      <c r="B82" s="37" t="s">
        <v>109</v>
      </c>
      <c r="C82" s="38">
        <f>VLOOKUP(B:B,Courts!B:C,2,FALSE())</f>
        <v>48</v>
      </c>
      <c r="D82" s="38">
        <f>VLOOKUP(B:B,Courts!B:E,4,FALSE())</f>
        <v>0</v>
      </c>
      <c r="E82" s="38">
        <f>VLOOKUP(B:B,Courts!B:D,3,FALSE())</f>
        <v>14</v>
      </c>
      <c r="F82" s="18">
        <v>34</v>
      </c>
      <c r="G82" s="18">
        <v>5</v>
      </c>
      <c r="H82" s="18">
        <v>0</v>
      </c>
      <c r="I82" s="18">
        <v>10</v>
      </c>
      <c r="J82" s="18">
        <v>1</v>
      </c>
      <c r="K82" s="38">
        <f t="shared" si="7"/>
        <v>49</v>
      </c>
      <c r="L82" s="18">
        <f t="shared" si="8"/>
        <v>62</v>
      </c>
      <c r="M82" s="52">
        <f t="shared" si="6"/>
        <v>-13</v>
      </c>
      <c r="N82" s="18">
        <v>13</v>
      </c>
    </row>
    <row r="83" spans="1:14" x14ac:dyDescent="0.25">
      <c r="A83" s="36">
        <v>82</v>
      </c>
      <c r="B83" s="36" t="s">
        <v>110</v>
      </c>
      <c r="C83" s="38">
        <f>VLOOKUP(B:B,Courts!B:C,2,FALSE())</f>
        <v>3</v>
      </c>
      <c r="D83" s="38">
        <f>VLOOKUP(B:B,Courts!B:E,4,FALSE())</f>
        <v>1</v>
      </c>
      <c r="E83" s="38">
        <f>VLOOKUP(B:B,Courts!B:D,3,FALSE())</f>
        <v>1</v>
      </c>
      <c r="F83" s="18">
        <v>3</v>
      </c>
      <c r="G83" s="18">
        <v>1</v>
      </c>
      <c r="H83" s="18">
        <v>0</v>
      </c>
      <c r="I83" s="18">
        <v>0</v>
      </c>
      <c r="J83" s="18">
        <v>1</v>
      </c>
      <c r="K83" s="38">
        <f t="shared" si="7"/>
        <v>4</v>
      </c>
      <c r="L83" s="18">
        <f t="shared" si="8"/>
        <v>5</v>
      </c>
      <c r="M83" s="52">
        <f t="shared" si="6"/>
        <v>-1</v>
      </c>
      <c r="N83" s="18">
        <v>1</v>
      </c>
    </row>
    <row r="84" spans="1:14" x14ac:dyDescent="0.25">
      <c r="A84" s="36">
        <v>83</v>
      </c>
      <c r="B84" s="36" t="s">
        <v>111</v>
      </c>
      <c r="C84" s="38">
        <f>VLOOKUP(B:B,Courts!B:C,2,FALSE())</f>
        <v>3</v>
      </c>
      <c r="D84" s="38">
        <f>VLOOKUP(B:B,Courts!B:E,4,FALSE())</f>
        <v>1</v>
      </c>
      <c r="E84" s="38">
        <f>VLOOKUP(B:B,Courts!B:D,3,FALSE())</f>
        <v>1</v>
      </c>
      <c r="F84" s="18">
        <v>3</v>
      </c>
      <c r="G84" s="18">
        <v>1</v>
      </c>
      <c r="H84" s="18">
        <v>0</v>
      </c>
      <c r="I84" s="18">
        <v>0</v>
      </c>
      <c r="J84" s="18">
        <v>1</v>
      </c>
      <c r="K84" s="38">
        <f t="shared" si="7"/>
        <v>4</v>
      </c>
      <c r="L84" s="18">
        <f t="shared" si="8"/>
        <v>5</v>
      </c>
      <c r="M84" s="52">
        <f t="shared" si="6"/>
        <v>-1</v>
      </c>
      <c r="N84" s="18">
        <v>1</v>
      </c>
    </row>
    <row r="85" spans="1:14" x14ac:dyDescent="0.25">
      <c r="A85" s="36">
        <v>84</v>
      </c>
      <c r="B85" s="37" t="s">
        <v>112</v>
      </c>
      <c r="C85" s="38">
        <f>VLOOKUP(B:B,Courts!B:C,2,FALSE())</f>
        <v>23</v>
      </c>
      <c r="D85" s="38">
        <f>VLOOKUP(B:B,Courts!B:E,4,FALSE())</f>
        <v>0</v>
      </c>
      <c r="E85" s="38">
        <f>VLOOKUP(B:B,Courts!B:D,3,FALSE())</f>
        <v>9</v>
      </c>
      <c r="F85" s="18">
        <v>22</v>
      </c>
      <c r="G85" s="18">
        <v>0</v>
      </c>
      <c r="H85" s="18">
        <v>0</v>
      </c>
      <c r="I85" s="18">
        <v>0</v>
      </c>
      <c r="J85" s="18">
        <v>1</v>
      </c>
      <c r="K85" s="38">
        <f t="shared" si="7"/>
        <v>22</v>
      </c>
      <c r="L85" s="18">
        <f t="shared" si="8"/>
        <v>32</v>
      </c>
      <c r="M85" s="52">
        <f t="shared" si="6"/>
        <v>-10</v>
      </c>
      <c r="N85" s="18">
        <v>10</v>
      </c>
    </row>
    <row r="86" spans="1:14" x14ac:dyDescent="0.25">
      <c r="A86" s="36">
        <v>85</v>
      </c>
      <c r="B86" s="36" t="s">
        <v>113</v>
      </c>
      <c r="C86" s="38">
        <f>VLOOKUP(B:B,Courts!B:C,2,FALSE())</f>
        <v>3</v>
      </c>
      <c r="D86" s="38">
        <f>VLOOKUP(B:B,Courts!B:E,4,FALSE())</f>
        <v>1</v>
      </c>
      <c r="E86" s="38">
        <f>VLOOKUP(B:B,Courts!B:D,3,FALSE())</f>
        <v>1</v>
      </c>
      <c r="F86" s="18">
        <v>4</v>
      </c>
      <c r="G86" s="18">
        <v>0</v>
      </c>
      <c r="H86" s="18">
        <v>0</v>
      </c>
      <c r="I86" s="18">
        <v>1</v>
      </c>
      <c r="J86" s="18">
        <v>1</v>
      </c>
      <c r="K86" s="38">
        <f t="shared" si="7"/>
        <v>5</v>
      </c>
      <c r="L86" s="18">
        <f t="shared" si="8"/>
        <v>5</v>
      </c>
      <c r="M86" s="52">
        <f t="shared" si="6"/>
        <v>0</v>
      </c>
      <c r="N86" s="18">
        <v>0</v>
      </c>
    </row>
    <row r="87" spans="1:14" x14ac:dyDescent="0.25">
      <c r="A87" s="36">
        <v>86</v>
      </c>
      <c r="B87" s="19" t="s">
        <v>221</v>
      </c>
      <c r="C87" s="38">
        <f>VLOOKUP(B:B,Courts!B:C,2,FALSE())</f>
        <v>1</v>
      </c>
      <c r="D87" s="38">
        <f>VLOOKUP(B:B,Courts!B:E,4,FALSE())</f>
        <v>1</v>
      </c>
      <c r="E87" s="38">
        <f>VLOOKUP(B:B,Courts!B:D,3,FALSE())</f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38">
        <f t="shared" si="7"/>
        <v>0</v>
      </c>
      <c r="L87" s="18">
        <f t="shared" si="8"/>
        <v>2</v>
      </c>
      <c r="M87" s="52">
        <f t="shared" si="6"/>
        <v>-2</v>
      </c>
      <c r="N87" s="18">
        <v>2</v>
      </c>
    </row>
    <row r="88" spans="1:14" x14ac:dyDescent="0.25">
      <c r="A88" s="36">
        <v>87</v>
      </c>
      <c r="B88" s="19" t="s">
        <v>222</v>
      </c>
      <c r="C88" s="38">
        <f>VLOOKUP(B:B,Courts!B:C,2,FALSE())</f>
        <v>2</v>
      </c>
      <c r="D88" s="38">
        <f>VLOOKUP(B:B,Courts!B:E,4,FALSE())</f>
        <v>1</v>
      </c>
      <c r="E88" s="38">
        <f>VLOOKUP(B:B,Courts!B:D,3,FALSE())</f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38">
        <f t="shared" si="7"/>
        <v>0</v>
      </c>
      <c r="L88" s="18">
        <f t="shared" si="8"/>
        <v>3</v>
      </c>
      <c r="M88" s="52">
        <f t="shared" si="6"/>
        <v>-3</v>
      </c>
      <c r="N88" s="18">
        <v>3</v>
      </c>
    </row>
    <row r="89" spans="1:14" x14ac:dyDescent="0.25">
      <c r="A89" s="36">
        <v>88</v>
      </c>
      <c r="B89" s="37" t="s">
        <v>114</v>
      </c>
      <c r="C89" s="38">
        <f>VLOOKUP(B:B,Courts!B:C,2,FALSE())</f>
        <v>11</v>
      </c>
      <c r="D89" s="38">
        <f>VLOOKUP(B:B,Courts!B:E,4,FALSE())</f>
        <v>0</v>
      </c>
      <c r="E89" s="38">
        <f>VLOOKUP(B:B,Courts!B:D,3,FALSE())</f>
        <v>2</v>
      </c>
      <c r="F89" s="18">
        <v>14</v>
      </c>
      <c r="G89" s="18">
        <v>0</v>
      </c>
      <c r="H89" s="18">
        <v>0</v>
      </c>
      <c r="I89" s="18">
        <v>0</v>
      </c>
      <c r="J89" s="18">
        <v>1</v>
      </c>
      <c r="K89" s="38">
        <f t="shared" si="7"/>
        <v>14</v>
      </c>
      <c r="L89" s="18">
        <f t="shared" si="8"/>
        <v>13</v>
      </c>
      <c r="M89" s="52">
        <f t="shared" si="6"/>
        <v>1</v>
      </c>
      <c r="N89" s="18">
        <v>0</v>
      </c>
    </row>
    <row r="90" spans="1:14" x14ac:dyDescent="0.25">
      <c r="A90" s="36">
        <v>89</v>
      </c>
      <c r="B90" s="36" t="s">
        <v>115</v>
      </c>
      <c r="C90" s="38">
        <f>VLOOKUP(B:B,Courts!B:C,2,FALSE())</f>
        <v>4</v>
      </c>
      <c r="D90" s="38">
        <f>VLOOKUP(B:B,Courts!B:E,4,FALSE())</f>
        <v>1</v>
      </c>
      <c r="E90" s="38">
        <f>VLOOKUP(B:B,Courts!B:D,3,FALSE())</f>
        <v>2</v>
      </c>
      <c r="F90" s="18">
        <v>5</v>
      </c>
      <c r="G90" s="18">
        <v>1</v>
      </c>
      <c r="H90" s="18">
        <v>0</v>
      </c>
      <c r="I90" s="18">
        <v>0</v>
      </c>
      <c r="J90" s="18">
        <v>1</v>
      </c>
      <c r="K90" s="38">
        <f t="shared" si="7"/>
        <v>6</v>
      </c>
      <c r="L90" s="18">
        <f t="shared" si="8"/>
        <v>7</v>
      </c>
      <c r="M90" s="52">
        <f t="shared" si="6"/>
        <v>-1</v>
      </c>
      <c r="N90" s="18">
        <v>0</v>
      </c>
    </row>
    <row r="91" spans="1:14" x14ac:dyDescent="0.25">
      <c r="A91" s="36">
        <v>90</v>
      </c>
      <c r="B91" s="37" t="s">
        <v>116</v>
      </c>
      <c r="C91" s="38">
        <f>VLOOKUP(B:B,Courts!B:C,2,FALSE())</f>
        <v>10</v>
      </c>
      <c r="D91" s="38">
        <f>VLOOKUP(B:B,Courts!B:E,4,FALSE())</f>
        <v>0</v>
      </c>
      <c r="E91" s="38">
        <f>VLOOKUP(B:B,Courts!B:D,3,FALSE())</f>
        <v>3</v>
      </c>
      <c r="F91" s="18">
        <v>11</v>
      </c>
      <c r="G91" s="18">
        <v>1</v>
      </c>
      <c r="H91" s="18">
        <v>0</v>
      </c>
      <c r="I91" s="18">
        <v>0</v>
      </c>
      <c r="J91" s="18">
        <v>1</v>
      </c>
      <c r="K91" s="38">
        <f t="shared" si="7"/>
        <v>12</v>
      </c>
      <c r="L91" s="18">
        <f t="shared" si="8"/>
        <v>13</v>
      </c>
      <c r="M91" s="52">
        <f t="shared" si="6"/>
        <v>-1</v>
      </c>
      <c r="N91" s="18">
        <v>1</v>
      </c>
    </row>
    <row r="92" spans="1:14" x14ac:dyDescent="0.25">
      <c r="A92" s="36">
        <v>91</v>
      </c>
      <c r="B92" s="36" t="s">
        <v>117</v>
      </c>
      <c r="C92" s="38">
        <f>VLOOKUP(B:B,Courts!B:C,2,FALSE())</f>
        <v>2</v>
      </c>
      <c r="D92" s="38">
        <f>VLOOKUP(B:B,Courts!B:E,4,FALSE())</f>
        <v>1</v>
      </c>
      <c r="E92" s="38">
        <f>VLOOKUP(B:B,Courts!B:D,3,FALSE())</f>
        <v>1</v>
      </c>
      <c r="F92" s="18">
        <v>3</v>
      </c>
      <c r="G92" s="18">
        <v>1</v>
      </c>
      <c r="H92" s="18">
        <v>0</v>
      </c>
      <c r="I92" s="18">
        <v>0</v>
      </c>
      <c r="J92" s="18">
        <v>1</v>
      </c>
      <c r="K92" s="38">
        <f t="shared" si="7"/>
        <v>4</v>
      </c>
      <c r="L92" s="18">
        <f t="shared" si="8"/>
        <v>4</v>
      </c>
      <c r="M92" s="52">
        <f t="shared" ref="M92:M123" si="9">K92-L92</f>
        <v>0</v>
      </c>
      <c r="N92" s="18">
        <v>0</v>
      </c>
    </row>
    <row r="93" spans="1:14" x14ac:dyDescent="0.25">
      <c r="A93" s="36">
        <v>92</v>
      </c>
      <c r="B93" s="36" t="s">
        <v>118</v>
      </c>
      <c r="C93" s="38">
        <f>VLOOKUP(B:B,Courts!B:C,2,FALSE())</f>
        <v>2</v>
      </c>
      <c r="D93" s="38">
        <f>VLOOKUP(B:B,Courts!B:E,4,FALSE())</f>
        <v>1</v>
      </c>
      <c r="E93" s="38">
        <f>VLOOKUP(B:B,Courts!B:D,3,FALSE())</f>
        <v>1</v>
      </c>
      <c r="F93" s="18">
        <v>2</v>
      </c>
      <c r="G93" s="18">
        <v>1</v>
      </c>
      <c r="H93" s="18">
        <v>0</v>
      </c>
      <c r="I93" s="18">
        <v>0</v>
      </c>
      <c r="J93" s="18">
        <v>1</v>
      </c>
      <c r="K93" s="38">
        <f t="shared" si="7"/>
        <v>3</v>
      </c>
      <c r="L93" s="18">
        <f t="shared" si="8"/>
        <v>4</v>
      </c>
      <c r="M93" s="52">
        <f t="shared" si="9"/>
        <v>-1</v>
      </c>
      <c r="N93" s="18">
        <v>1</v>
      </c>
    </row>
    <row r="94" spans="1:14" x14ac:dyDescent="0.25">
      <c r="A94" s="36">
        <v>93</v>
      </c>
      <c r="B94" s="37" t="s">
        <v>119</v>
      </c>
      <c r="C94" s="38">
        <f>VLOOKUP(B:B,Courts!B:C,2,FALSE())</f>
        <v>15</v>
      </c>
      <c r="D94" s="38">
        <f>VLOOKUP(B:B,Courts!B:E,4,FALSE())</f>
        <v>0</v>
      </c>
      <c r="E94" s="38">
        <f>VLOOKUP(B:B,Courts!B:D,3,FALSE())</f>
        <v>4</v>
      </c>
      <c r="F94" s="18">
        <v>14</v>
      </c>
      <c r="G94" s="18">
        <v>0</v>
      </c>
      <c r="H94" s="18">
        <v>0</v>
      </c>
      <c r="I94" s="18">
        <v>2</v>
      </c>
      <c r="J94" s="18">
        <v>1</v>
      </c>
      <c r="K94" s="38">
        <f t="shared" si="7"/>
        <v>16</v>
      </c>
      <c r="L94" s="18">
        <f t="shared" si="8"/>
        <v>19</v>
      </c>
      <c r="M94" s="52">
        <f t="shared" si="9"/>
        <v>-3</v>
      </c>
      <c r="N94" s="18">
        <v>3</v>
      </c>
    </row>
    <row r="95" spans="1:14" x14ac:dyDescent="0.25">
      <c r="A95" s="36">
        <v>94</v>
      </c>
      <c r="B95" s="36" t="s">
        <v>120</v>
      </c>
      <c r="C95" s="38">
        <f>VLOOKUP(B:B,Courts!B:C,2,FALSE())</f>
        <v>2</v>
      </c>
      <c r="D95" s="38">
        <f>VLOOKUP(B:B,Courts!B:E,4,FALSE())</f>
        <v>1</v>
      </c>
      <c r="E95" s="38">
        <f>VLOOKUP(B:B,Courts!B:D,3,FALSE())</f>
        <v>0</v>
      </c>
      <c r="F95" s="18">
        <v>1</v>
      </c>
      <c r="G95" s="18">
        <v>1</v>
      </c>
      <c r="H95" s="18">
        <v>0</v>
      </c>
      <c r="I95" s="18">
        <v>1</v>
      </c>
      <c r="J95" s="18">
        <v>1</v>
      </c>
      <c r="K95" s="38">
        <f t="shared" si="7"/>
        <v>3</v>
      </c>
      <c r="L95" s="18">
        <f t="shared" si="8"/>
        <v>3</v>
      </c>
      <c r="M95" s="52">
        <f t="shared" si="9"/>
        <v>0</v>
      </c>
      <c r="N95" s="18">
        <v>0</v>
      </c>
    </row>
    <row r="96" spans="1:14" x14ac:dyDescent="0.25">
      <c r="A96" s="36">
        <v>95</v>
      </c>
      <c r="B96" s="37" t="s">
        <v>121</v>
      </c>
      <c r="C96" s="38">
        <f>VLOOKUP(B:B,Courts!B:C,2,FALSE())</f>
        <v>26</v>
      </c>
      <c r="D96" s="38">
        <f>VLOOKUP(B:B,Courts!B:E,4,FALSE())</f>
        <v>0</v>
      </c>
      <c r="E96" s="38">
        <f>VLOOKUP(B:B,Courts!B:D,3,FALSE())</f>
        <v>7</v>
      </c>
      <c r="F96" s="18">
        <v>22</v>
      </c>
      <c r="G96" s="18">
        <v>0</v>
      </c>
      <c r="H96" s="18">
        <v>0</v>
      </c>
      <c r="I96" s="18">
        <v>6</v>
      </c>
      <c r="J96" s="18">
        <v>1</v>
      </c>
      <c r="K96" s="38">
        <f t="shared" si="7"/>
        <v>28</v>
      </c>
      <c r="L96" s="18">
        <f t="shared" si="8"/>
        <v>33</v>
      </c>
      <c r="M96" s="52">
        <f t="shared" si="9"/>
        <v>-5</v>
      </c>
      <c r="N96" s="18">
        <v>4</v>
      </c>
    </row>
    <row r="97" spans="1:14" x14ac:dyDescent="0.25">
      <c r="A97" s="36">
        <v>96</v>
      </c>
      <c r="B97" s="36" t="s">
        <v>122</v>
      </c>
      <c r="C97" s="38">
        <f>VLOOKUP(B:B,Courts!B:C,2,FALSE())</f>
        <v>2</v>
      </c>
      <c r="D97" s="38">
        <f>VLOOKUP(B:B,Courts!B:E,4,FALSE())</f>
        <v>1</v>
      </c>
      <c r="E97" s="38">
        <f>VLOOKUP(B:B,Courts!B:D,3,FALSE())</f>
        <v>0</v>
      </c>
      <c r="F97" s="18">
        <v>2</v>
      </c>
      <c r="G97" s="18">
        <v>1</v>
      </c>
      <c r="H97" s="18">
        <v>0</v>
      </c>
      <c r="I97" s="18">
        <v>1</v>
      </c>
      <c r="J97" s="18">
        <v>1</v>
      </c>
      <c r="K97" s="38">
        <f t="shared" si="7"/>
        <v>4</v>
      </c>
      <c r="L97" s="18">
        <f t="shared" si="8"/>
        <v>3</v>
      </c>
      <c r="M97" s="52">
        <f t="shared" si="9"/>
        <v>1</v>
      </c>
      <c r="N97" s="18">
        <v>0</v>
      </c>
    </row>
    <row r="98" spans="1:14" x14ac:dyDescent="0.25">
      <c r="A98" s="36">
        <v>97</v>
      </c>
      <c r="B98" s="36" t="s">
        <v>123</v>
      </c>
      <c r="C98" s="38">
        <f>VLOOKUP(B:B,Courts!B:C,2,FALSE())</f>
        <v>1</v>
      </c>
      <c r="D98" s="38">
        <f>VLOOKUP(B:B,Courts!B:E,4,FALSE())</f>
        <v>0</v>
      </c>
      <c r="E98" s="38">
        <f>VLOOKUP(B:B,Courts!B:D,3,FALSE())</f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38">
        <f t="shared" si="7"/>
        <v>0</v>
      </c>
      <c r="L98" s="18">
        <f t="shared" si="8"/>
        <v>1</v>
      </c>
      <c r="M98" s="52">
        <f t="shared" si="9"/>
        <v>-1</v>
      </c>
      <c r="N98" s="75">
        <v>2</v>
      </c>
    </row>
    <row r="99" spans="1:14" x14ac:dyDescent="0.25">
      <c r="A99" s="36">
        <v>98</v>
      </c>
      <c r="B99" s="36" t="s">
        <v>124</v>
      </c>
      <c r="C99" s="38">
        <f>VLOOKUP(B:B,Courts!B:C,2,FALSE())</f>
        <v>1</v>
      </c>
      <c r="D99" s="38">
        <f>VLOOKUP(B:B,Courts!B:E,4,FALSE())</f>
        <v>1</v>
      </c>
      <c r="E99" s="38">
        <f>VLOOKUP(B:B,Courts!B:D,3,FALSE())</f>
        <v>0</v>
      </c>
      <c r="F99" s="18">
        <v>2</v>
      </c>
      <c r="G99" s="18">
        <v>0</v>
      </c>
      <c r="H99" s="18">
        <v>0</v>
      </c>
      <c r="I99" s="18">
        <v>1</v>
      </c>
      <c r="J99" s="18">
        <v>1</v>
      </c>
      <c r="K99" s="38">
        <f t="shared" si="7"/>
        <v>3</v>
      </c>
      <c r="L99" s="18">
        <f t="shared" si="8"/>
        <v>2</v>
      </c>
      <c r="M99" s="52">
        <f t="shared" si="9"/>
        <v>1</v>
      </c>
      <c r="N99" s="18">
        <v>0</v>
      </c>
    </row>
    <row r="100" spans="1:14" x14ac:dyDescent="0.25">
      <c r="A100" s="36">
        <v>99</v>
      </c>
      <c r="B100" s="37" t="s">
        <v>125</v>
      </c>
      <c r="C100" s="38">
        <f>VLOOKUP(B:B,Courts!B:C,2,FALSE())</f>
        <v>15</v>
      </c>
      <c r="D100" s="38">
        <f>VLOOKUP(B:B,Courts!B:E,4,FALSE())</f>
        <v>0</v>
      </c>
      <c r="E100" s="38">
        <f>VLOOKUP(B:B,Courts!B:D,3,FALSE())</f>
        <v>1</v>
      </c>
      <c r="F100" s="18">
        <v>16</v>
      </c>
      <c r="G100" s="18">
        <v>0</v>
      </c>
      <c r="H100" s="18">
        <v>0</v>
      </c>
      <c r="I100" s="18">
        <v>3</v>
      </c>
      <c r="J100" s="18">
        <v>1</v>
      </c>
      <c r="K100" s="38">
        <f t="shared" ref="K100:K131" si="10">SUM(F100:I100)</f>
        <v>19</v>
      </c>
      <c r="L100" s="18">
        <f t="shared" ref="L100:L131" si="11">SUM(C100:E100)*1</f>
        <v>16</v>
      </c>
      <c r="M100" s="52">
        <f t="shared" si="9"/>
        <v>3</v>
      </c>
      <c r="N100" s="18">
        <v>0</v>
      </c>
    </row>
    <row r="101" spans="1:14" x14ac:dyDescent="0.25">
      <c r="A101" s="36">
        <v>100</v>
      </c>
      <c r="B101" s="36" t="s">
        <v>126</v>
      </c>
      <c r="C101" s="38">
        <f>VLOOKUP(B:B,Courts!B:C,2,FALSE())</f>
        <v>2</v>
      </c>
      <c r="D101" s="38">
        <f>VLOOKUP(B:B,Courts!B:E,4,FALSE())</f>
        <v>1</v>
      </c>
      <c r="E101" s="38">
        <f>VLOOKUP(B:B,Courts!B:D,3,FALSE())</f>
        <v>1</v>
      </c>
      <c r="F101" s="18">
        <v>3</v>
      </c>
      <c r="G101" s="18">
        <v>1</v>
      </c>
      <c r="H101" s="18">
        <v>0</v>
      </c>
      <c r="I101" s="18">
        <v>0</v>
      </c>
      <c r="J101" s="18">
        <v>1</v>
      </c>
      <c r="K101" s="38">
        <f t="shared" si="10"/>
        <v>4</v>
      </c>
      <c r="L101" s="18">
        <f t="shared" si="11"/>
        <v>4</v>
      </c>
      <c r="M101" s="52">
        <f t="shared" si="9"/>
        <v>0</v>
      </c>
      <c r="N101" s="18">
        <v>0</v>
      </c>
    </row>
    <row r="102" spans="1:14" x14ac:dyDescent="0.25">
      <c r="A102" s="36">
        <v>101</v>
      </c>
      <c r="B102" s="36" t="s">
        <v>127</v>
      </c>
      <c r="C102" s="38">
        <f>VLOOKUP(B:B,Courts!B:C,2,FALSE())</f>
        <v>2</v>
      </c>
      <c r="D102" s="38">
        <f>VLOOKUP(B:B,Courts!B:E,4,FALSE())</f>
        <v>1</v>
      </c>
      <c r="E102" s="38">
        <f>VLOOKUP(B:B,Courts!B:D,3,FALSE())</f>
        <v>0</v>
      </c>
      <c r="F102" s="18">
        <v>2</v>
      </c>
      <c r="G102" s="18">
        <v>0</v>
      </c>
      <c r="H102" s="18">
        <v>0</v>
      </c>
      <c r="I102" s="18">
        <v>1</v>
      </c>
      <c r="J102" s="18">
        <v>1</v>
      </c>
      <c r="K102" s="38">
        <f t="shared" si="10"/>
        <v>3</v>
      </c>
      <c r="L102" s="18">
        <f t="shared" si="11"/>
        <v>3</v>
      </c>
      <c r="M102" s="52">
        <f t="shared" si="9"/>
        <v>0</v>
      </c>
      <c r="N102" s="18">
        <v>0</v>
      </c>
    </row>
    <row r="103" spans="1:14" x14ac:dyDescent="0.25">
      <c r="A103" s="36">
        <v>102</v>
      </c>
      <c r="B103" s="36" t="s">
        <v>128</v>
      </c>
      <c r="C103" s="38">
        <f>VLOOKUP(B:B,Courts!B:C,2,FALSE())</f>
        <v>0</v>
      </c>
      <c r="D103" s="38">
        <f>VLOOKUP(B:B,Courts!B:E,4,FALSE())</f>
        <v>1</v>
      </c>
      <c r="E103" s="38">
        <f>VLOOKUP(B:B,Courts!B:D,3,FALSE())</f>
        <v>0</v>
      </c>
      <c r="F103" s="18">
        <v>0</v>
      </c>
      <c r="G103" s="18">
        <v>0</v>
      </c>
      <c r="H103" s="18">
        <v>0</v>
      </c>
      <c r="I103" s="18">
        <v>1</v>
      </c>
      <c r="J103" s="18">
        <v>0</v>
      </c>
      <c r="K103" s="38">
        <f t="shared" si="10"/>
        <v>1</v>
      </c>
      <c r="L103" s="18">
        <f t="shared" si="11"/>
        <v>1</v>
      </c>
      <c r="M103" s="52">
        <f t="shared" si="9"/>
        <v>0</v>
      </c>
      <c r="N103" s="18">
        <v>0</v>
      </c>
    </row>
    <row r="104" spans="1:14" x14ac:dyDescent="0.25">
      <c r="A104" s="36">
        <v>103</v>
      </c>
      <c r="B104" s="37" t="s">
        <v>129</v>
      </c>
      <c r="C104" s="38">
        <f>VLOOKUP(B:B,Courts!B:C,2,FALSE())</f>
        <v>12</v>
      </c>
      <c r="D104" s="38">
        <f>VLOOKUP(B:B,Courts!B:E,4,FALSE())</f>
        <v>0</v>
      </c>
      <c r="E104" s="38">
        <f>VLOOKUP(B:B,Courts!B:D,3,FALSE())</f>
        <v>3</v>
      </c>
      <c r="F104" s="18">
        <v>14</v>
      </c>
      <c r="G104" s="18">
        <v>0</v>
      </c>
      <c r="H104" s="18">
        <v>0</v>
      </c>
      <c r="I104" s="18">
        <v>0</v>
      </c>
      <c r="J104" s="18">
        <v>1</v>
      </c>
      <c r="K104" s="38">
        <f t="shared" si="10"/>
        <v>14</v>
      </c>
      <c r="L104" s="18">
        <f t="shared" si="11"/>
        <v>15</v>
      </c>
      <c r="M104" s="52">
        <f t="shared" si="9"/>
        <v>-1</v>
      </c>
      <c r="N104" s="18">
        <v>1</v>
      </c>
    </row>
    <row r="105" spans="1:14" x14ac:dyDescent="0.25">
      <c r="A105" s="36">
        <v>104</v>
      </c>
      <c r="B105" s="36" t="s">
        <v>130</v>
      </c>
      <c r="C105" s="38">
        <f>VLOOKUP(B:B,Courts!B:C,2,FALSE())</f>
        <v>3</v>
      </c>
      <c r="D105" s="38">
        <f>VLOOKUP(B:B,Courts!B:E,4,FALSE())</f>
        <v>1</v>
      </c>
      <c r="E105" s="38">
        <f>VLOOKUP(B:B,Courts!B:D,3,FALSE())</f>
        <v>1</v>
      </c>
      <c r="F105" s="18">
        <v>3</v>
      </c>
      <c r="G105" s="18">
        <v>1</v>
      </c>
      <c r="H105" s="18">
        <v>0</v>
      </c>
      <c r="I105" s="18">
        <v>0</v>
      </c>
      <c r="J105" s="18">
        <v>1</v>
      </c>
      <c r="K105" s="38">
        <f t="shared" si="10"/>
        <v>4</v>
      </c>
      <c r="L105" s="18">
        <f t="shared" si="11"/>
        <v>5</v>
      </c>
      <c r="M105" s="52">
        <f t="shared" si="9"/>
        <v>-1</v>
      </c>
      <c r="N105" s="18">
        <v>1</v>
      </c>
    </row>
    <row r="106" spans="1:14" x14ac:dyDescent="0.25">
      <c r="A106" s="36">
        <v>105</v>
      </c>
      <c r="B106" s="36" t="s">
        <v>131</v>
      </c>
      <c r="C106" s="38">
        <f>VLOOKUP(B:B,Courts!B:C,2,FALSE())</f>
        <v>2</v>
      </c>
      <c r="D106" s="38">
        <f>VLOOKUP(B:B,Courts!B:E,4,FALSE())</f>
        <v>1</v>
      </c>
      <c r="E106" s="38">
        <f>VLOOKUP(B:B,Courts!B:D,3,FALSE())</f>
        <v>1</v>
      </c>
      <c r="F106" s="18">
        <v>1</v>
      </c>
      <c r="G106" s="18">
        <v>1</v>
      </c>
      <c r="H106" s="18">
        <v>0</v>
      </c>
      <c r="I106" s="18">
        <v>1</v>
      </c>
      <c r="J106" s="18">
        <v>1</v>
      </c>
      <c r="K106" s="38">
        <f t="shared" si="10"/>
        <v>3</v>
      </c>
      <c r="L106" s="18">
        <f t="shared" si="11"/>
        <v>4</v>
      </c>
      <c r="M106" s="52">
        <f t="shared" si="9"/>
        <v>-1</v>
      </c>
      <c r="N106" s="18">
        <v>1</v>
      </c>
    </row>
    <row r="107" spans="1:14" x14ac:dyDescent="0.25">
      <c r="A107" s="36">
        <v>106</v>
      </c>
      <c r="B107" s="37" t="s">
        <v>132</v>
      </c>
      <c r="C107" s="38">
        <f>VLOOKUP(B:B,Courts!B:C,2,FALSE())</f>
        <v>13</v>
      </c>
      <c r="D107" s="38">
        <f>VLOOKUP(B:B,Courts!B:E,4,FALSE())</f>
        <v>0</v>
      </c>
      <c r="E107" s="38">
        <f>VLOOKUP(B:B,Courts!B:D,3,FALSE())</f>
        <v>1</v>
      </c>
      <c r="F107" s="18">
        <v>9</v>
      </c>
      <c r="G107" s="18">
        <v>0</v>
      </c>
      <c r="H107" s="18">
        <v>1</v>
      </c>
      <c r="I107" s="18">
        <v>4</v>
      </c>
      <c r="J107" s="18">
        <v>1</v>
      </c>
      <c r="K107" s="38">
        <f t="shared" si="10"/>
        <v>14</v>
      </c>
      <c r="L107" s="18">
        <f t="shared" si="11"/>
        <v>14</v>
      </c>
      <c r="M107" s="52">
        <f t="shared" si="9"/>
        <v>0</v>
      </c>
      <c r="N107" s="18">
        <v>0</v>
      </c>
    </row>
    <row r="108" spans="1:14" x14ac:dyDescent="0.25">
      <c r="A108" s="36">
        <v>107</v>
      </c>
      <c r="B108" s="36" t="s">
        <v>133</v>
      </c>
      <c r="C108" s="38">
        <f>VLOOKUP(B:B,Courts!B:C,2,FALSE())</f>
        <v>2</v>
      </c>
      <c r="D108" s="38">
        <f>VLOOKUP(B:B,Courts!B:E,4,FALSE())</f>
        <v>1</v>
      </c>
      <c r="E108" s="38">
        <f>VLOOKUP(B:B,Courts!B:D,3,FALSE())</f>
        <v>0</v>
      </c>
      <c r="F108" s="18">
        <v>3</v>
      </c>
      <c r="G108" s="18">
        <v>1</v>
      </c>
      <c r="H108" s="18">
        <v>1</v>
      </c>
      <c r="I108" s="18">
        <v>0</v>
      </c>
      <c r="J108" s="18">
        <v>1</v>
      </c>
      <c r="K108" s="38">
        <f t="shared" si="10"/>
        <v>5</v>
      </c>
      <c r="L108" s="18">
        <f t="shared" si="11"/>
        <v>3</v>
      </c>
      <c r="M108" s="52">
        <f t="shared" si="9"/>
        <v>2</v>
      </c>
      <c r="N108" s="18">
        <v>0</v>
      </c>
    </row>
    <row r="109" spans="1:14" x14ac:dyDescent="0.25">
      <c r="A109" s="36">
        <v>108</v>
      </c>
      <c r="B109" s="36" t="s">
        <v>134</v>
      </c>
      <c r="C109" s="38">
        <f>VLOOKUP(B:B,Courts!B:C,2,FALSE())</f>
        <v>3</v>
      </c>
      <c r="D109" s="38">
        <f>VLOOKUP(B:B,Courts!B:E,4,FALSE())</f>
        <v>0</v>
      </c>
      <c r="E109" s="38">
        <f>VLOOKUP(B:B,Courts!B:D,3,FALSE())</f>
        <v>2</v>
      </c>
      <c r="F109" s="18">
        <v>0</v>
      </c>
      <c r="G109" s="18">
        <v>0</v>
      </c>
      <c r="H109" s="18">
        <v>0</v>
      </c>
      <c r="I109" s="18">
        <v>2</v>
      </c>
      <c r="J109" s="18">
        <v>1</v>
      </c>
      <c r="K109" s="38">
        <f t="shared" si="10"/>
        <v>2</v>
      </c>
      <c r="L109" s="18">
        <f t="shared" si="11"/>
        <v>5</v>
      </c>
      <c r="M109" s="52">
        <f t="shared" si="9"/>
        <v>-3</v>
      </c>
      <c r="N109" s="18">
        <v>1</v>
      </c>
    </row>
    <row r="110" spans="1:14" x14ac:dyDescent="0.25">
      <c r="A110" s="36">
        <v>109</v>
      </c>
      <c r="B110" s="37" t="s">
        <v>135</v>
      </c>
      <c r="C110" s="38">
        <f>VLOOKUP(B:B,Courts!B:C,2,FALSE())</f>
        <v>13</v>
      </c>
      <c r="D110" s="38">
        <f>VLOOKUP(B:B,Courts!B:E,4,FALSE())</f>
        <v>0</v>
      </c>
      <c r="E110" s="38">
        <f>VLOOKUP(B:B,Courts!B:D,3,FALSE())</f>
        <v>4</v>
      </c>
      <c r="F110" s="18">
        <v>11</v>
      </c>
      <c r="G110" s="18">
        <v>0</v>
      </c>
      <c r="H110" s="18">
        <v>2</v>
      </c>
      <c r="I110" s="18">
        <v>0</v>
      </c>
      <c r="J110" s="18">
        <v>1</v>
      </c>
      <c r="K110" s="38">
        <f t="shared" si="10"/>
        <v>13</v>
      </c>
      <c r="L110" s="18">
        <f t="shared" si="11"/>
        <v>17</v>
      </c>
      <c r="M110" s="52">
        <f t="shared" si="9"/>
        <v>-4</v>
      </c>
      <c r="N110" s="18">
        <v>3</v>
      </c>
    </row>
    <row r="111" spans="1:14" x14ac:dyDescent="0.25">
      <c r="A111" s="36">
        <v>110</v>
      </c>
      <c r="B111" s="36" t="s">
        <v>136</v>
      </c>
      <c r="C111" s="38">
        <f>VLOOKUP(B:B,Courts!B:C,2,FALSE())</f>
        <v>2</v>
      </c>
      <c r="D111" s="38">
        <f>VLOOKUP(B:B,Courts!B:E,4,FALSE())</f>
        <v>1</v>
      </c>
      <c r="E111" s="38">
        <f>VLOOKUP(B:B,Courts!B:D,3,FALSE())</f>
        <v>1</v>
      </c>
      <c r="F111" s="18">
        <v>2</v>
      </c>
      <c r="G111" s="18">
        <v>1</v>
      </c>
      <c r="H111" s="18">
        <v>1</v>
      </c>
      <c r="I111" s="18">
        <v>0</v>
      </c>
      <c r="J111" s="18">
        <v>1</v>
      </c>
      <c r="K111" s="38">
        <f t="shared" si="10"/>
        <v>4</v>
      </c>
      <c r="L111" s="18">
        <f t="shared" si="11"/>
        <v>4</v>
      </c>
      <c r="M111" s="52">
        <f t="shared" si="9"/>
        <v>0</v>
      </c>
      <c r="N111" s="18">
        <v>0</v>
      </c>
    </row>
    <row r="112" spans="1:14" x14ac:dyDescent="0.25">
      <c r="A112" s="36">
        <v>111</v>
      </c>
      <c r="B112" s="36" t="s">
        <v>137</v>
      </c>
      <c r="C112" s="38">
        <f>VLOOKUP(B:B,Courts!B:C,2,FALSE())</f>
        <v>2</v>
      </c>
      <c r="D112" s="38">
        <f>VLOOKUP(B:B,Courts!B:E,4,FALSE())</f>
        <v>1</v>
      </c>
      <c r="E112" s="38">
        <f>VLOOKUP(B:B,Courts!B:D,3,FALSE())</f>
        <v>0</v>
      </c>
      <c r="F112" s="18">
        <v>2</v>
      </c>
      <c r="G112" s="18">
        <v>1</v>
      </c>
      <c r="H112" s="18">
        <v>0</v>
      </c>
      <c r="I112" s="18">
        <v>1</v>
      </c>
      <c r="J112" s="18">
        <v>1</v>
      </c>
      <c r="K112" s="38">
        <f t="shared" si="10"/>
        <v>4</v>
      </c>
      <c r="L112" s="18">
        <f t="shared" si="11"/>
        <v>3</v>
      </c>
      <c r="M112" s="52">
        <f t="shared" si="9"/>
        <v>1</v>
      </c>
      <c r="N112" s="18">
        <v>0</v>
      </c>
    </row>
    <row r="113" spans="1:14" x14ac:dyDescent="0.25">
      <c r="A113" s="36">
        <v>112</v>
      </c>
      <c r="B113" s="37" t="s">
        <v>138</v>
      </c>
      <c r="C113" s="38">
        <f>VLOOKUP(B:B,Courts!B:C,2,FALSE())</f>
        <v>19</v>
      </c>
      <c r="D113" s="38">
        <f>VLOOKUP(B:B,Courts!B:E,4,FALSE())</f>
        <v>0</v>
      </c>
      <c r="E113" s="38">
        <f>VLOOKUP(B:B,Courts!B:D,3,FALSE())</f>
        <v>3</v>
      </c>
      <c r="F113" s="18">
        <v>16</v>
      </c>
      <c r="G113" s="18">
        <v>1</v>
      </c>
      <c r="H113" s="18">
        <v>1</v>
      </c>
      <c r="I113" s="18">
        <v>1</v>
      </c>
      <c r="J113" s="18">
        <v>1</v>
      </c>
      <c r="K113" s="38">
        <f t="shared" si="10"/>
        <v>19</v>
      </c>
      <c r="L113" s="18">
        <f t="shared" si="11"/>
        <v>22</v>
      </c>
      <c r="M113" s="52">
        <f t="shared" si="9"/>
        <v>-3</v>
      </c>
      <c r="N113" s="18">
        <v>3</v>
      </c>
    </row>
    <row r="114" spans="1:14" x14ac:dyDescent="0.25">
      <c r="A114" s="36">
        <v>113</v>
      </c>
      <c r="B114" s="36" t="s">
        <v>139</v>
      </c>
      <c r="C114" s="38">
        <f>VLOOKUP(B:B,Courts!B:C,2,FALSE())</f>
        <v>3</v>
      </c>
      <c r="D114" s="38">
        <f>VLOOKUP(B:B,Courts!B:E,4,FALSE())</f>
        <v>1</v>
      </c>
      <c r="E114" s="38">
        <f>VLOOKUP(B:B,Courts!B:D,3,FALSE())</f>
        <v>1</v>
      </c>
      <c r="F114" s="18">
        <v>1</v>
      </c>
      <c r="G114" s="18">
        <v>2</v>
      </c>
      <c r="H114" s="18">
        <v>0</v>
      </c>
      <c r="I114" s="18">
        <v>1</v>
      </c>
      <c r="J114" s="18">
        <v>1</v>
      </c>
      <c r="K114" s="38">
        <f t="shared" si="10"/>
        <v>4</v>
      </c>
      <c r="L114" s="18">
        <f t="shared" si="11"/>
        <v>5</v>
      </c>
      <c r="M114" s="52">
        <f t="shared" si="9"/>
        <v>-1</v>
      </c>
      <c r="N114" s="18">
        <v>1</v>
      </c>
    </row>
    <row r="115" spans="1:14" x14ac:dyDescent="0.25">
      <c r="A115" s="36">
        <v>114</v>
      </c>
      <c r="B115" s="37" t="s">
        <v>140</v>
      </c>
      <c r="C115" s="38">
        <f>VLOOKUP(B:B,Courts!B:C,2,FALSE())</f>
        <v>11</v>
      </c>
      <c r="D115" s="38">
        <f>VLOOKUP(B:B,Courts!B:E,4,FALSE())</f>
        <v>0</v>
      </c>
      <c r="E115" s="38">
        <f>VLOOKUP(B:B,Courts!B:D,3,FALSE())</f>
        <v>1</v>
      </c>
      <c r="F115" s="18">
        <v>10</v>
      </c>
      <c r="G115" s="18">
        <v>0</v>
      </c>
      <c r="H115" s="18">
        <v>0</v>
      </c>
      <c r="I115" s="18">
        <v>0</v>
      </c>
      <c r="J115" s="18">
        <v>1</v>
      </c>
      <c r="K115" s="38">
        <f t="shared" si="10"/>
        <v>10</v>
      </c>
      <c r="L115" s="18">
        <f t="shared" si="11"/>
        <v>12</v>
      </c>
      <c r="M115" s="52">
        <f t="shared" si="9"/>
        <v>-2</v>
      </c>
      <c r="N115" s="18">
        <v>1</v>
      </c>
    </row>
    <row r="116" spans="1:14" x14ac:dyDescent="0.25">
      <c r="A116" s="36">
        <v>115</v>
      </c>
      <c r="B116" s="36" t="s">
        <v>141</v>
      </c>
      <c r="C116" s="38">
        <f>VLOOKUP(B:B,Courts!B:C,2,FALSE())</f>
        <v>2</v>
      </c>
      <c r="D116" s="38">
        <f>VLOOKUP(B:B,Courts!B:E,4,FALSE())</f>
        <v>0</v>
      </c>
      <c r="E116" s="38">
        <f>VLOOKUP(B:B,Courts!B:D,3,FALSE())</f>
        <v>0</v>
      </c>
      <c r="F116" s="18">
        <v>2</v>
      </c>
      <c r="G116" s="18">
        <v>1</v>
      </c>
      <c r="H116" s="18">
        <v>0</v>
      </c>
      <c r="I116" s="18">
        <v>0</v>
      </c>
      <c r="J116" s="18">
        <v>1</v>
      </c>
      <c r="K116" s="38">
        <f t="shared" si="10"/>
        <v>3</v>
      </c>
      <c r="L116" s="18">
        <f t="shared" si="11"/>
        <v>2</v>
      </c>
      <c r="M116" s="52">
        <f t="shared" si="9"/>
        <v>1</v>
      </c>
      <c r="N116" s="18">
        <v>0</v>
      </c>
    </row>
    <row r="117" spans="1:14" x14ac:dyDescent="0.25">
      <c r="A117" s="36">
        <v>116</v>
      </c>
      <c r="B117" s="37" t="s">
        <v>1</v>
      </c>
      <c r="C117" s="38">
        <f>VLOOKUP(B:B,Courts!B:C,2,FALSE())</f>
        <v>18</v>
      </c>
      <c r="D117" s="38">
        <f>VLOOKUP(B:B,Courts!B:E,4,FALSE())</f>
        <v>0</v>
      </c>
      <c r="E117" s="38">
        <f>VLOOKUP(B:B,Courts!B:D,3,FALSE())</f>
        <v>3</v>
      </c>
      <c r="F117" s="18">
        <v>16</v>
      </c>
      <c r="G117" s="18">
        <v>0</v>
      </c>
      <c r="H117" s="18">
        <v>0</v>
      </c>
      <c r="I117" s="18">
        <v>2</v>
      </c>
      <c r="J117" s="18">
        <v>1</v>
      </c>
      <c r="K117" s="38">
        <f t="shared" si="10"/>
        <v>18</v>
      </c>
      <c r="L117" s="18">
        <f t="shared" si="11"/>
        <v>21</v>
      </c>
      <c r="M117" s="52">
        <f t="shared" si="9"/>
        <v>-3</v>
      </c>
      <c r="N117" s="18">
        <v>3</v>
      </c>
    </row>
    <row r="118" spans="1:14" x14ac:dyDescent="0.25">
      <c r="A118" s="36">
        <v>117</v>
      </c>
      <c r="B118" s="36" t="s">
        <v>142</v>
      </c>
      <c r="C118" s="38">
        <f>VLOOKUP(B:B,Courts!B:C,2,FALSE())</f>
        <v>2</v>
      </c>
      <c r="D118" s="38">
        <f>VLOOKUP(B:B,Courts!B:E,4,FALSE())</f>
        <v>1</v>
      </c>
      <c r="E118" s="38">
        <f>VLOOKUP(B:B,Courts!B:D,3,FALSE())</f>
        <v>0</v>
      </c>
      <c r="F118" s="18">
        <v>1</v>
      </c>
      <c r="G118" s="18">
        <v>1</v>
      </c>
      <c r="H118" s="18">
        <v>0</v>
      </c>
      <c r="I118" s="18">
        <v>1</v>
      </c>
      <c r="J118" s="18">
        <v>1</v>
      </c>
      <c r="K118" s="38">
        <f t="shared" si="10"/>
        <v>3</v>
      </c>
      <c r="L118" s="18">
        <f t="shared" si="11"/>
        <v>3</v>
      </c>
      <c r="M118" s="52">
        <f t="shared" si="9"/>
        <v>0</v>
      </c>
      <c r="N118" s="18">
        <v>0</v>
      </c>
    </row>
    <row r="119" spans="1:14" x14ac:dyDescent="0.25">
      <c r="A119" s="36">
        <v>118</v>
      </c>
      <c r="B119" s="36" t="s">
        <v>143</v>
      </c>
      <c r="C119" s="38">
        <f>VLOOKUP(B:B,Courts!B:C,2,FALSE())</f>
        <v>2</v>
      </c>
      <c r="D119" s="38">
        <f>VLOOKUP(B:B,Courts!B:E,4,FALSE())</f>
        <v>1</v>
      </c>
      <c r="E119" s="38">
        <f>VLOOKUP(B:B,Courts!B:D,3,FALSE())</f>
        <v>0</v>
      </c>
      <c r="F119" s="18">
        <v>1</v>
      </c>
      <c r="G119" s="18">
        <v>1</v>
      </c>
      <c r="H119" s="18">
        <v>0</v>
      </c>
      <c r="I119" s="18">
        <v>1</v>
      </c>
      <c r="J119" s="18">
        <v>1</v>
      </c>
      <c r="K119" s="38">
        <f t="shared" si="10"/>
        <v>3</v>
      </c>
      <c r="L119" s="18">
        <f t="shared" si="11"/>
        <v>3</v>
      </c>
      <c r="M119" s="52">
        <f t="shared" si="9"/>
        <v>0</v>
      </c>
      <c r="N119" s="18">
        <v>0</v>
      </c>
    </row>
    <row r="120" spans="1:14" x14ac:dyDescent="0.25">
      <c r="A120" s="36">
        <v>119</v>
      </c>
      <c r="B120" s="37" t="s">
        <v>144</v>
      </c>
      <c r="C120" s="38">
        <f>VLOOKUP(B:B,Courts!B:C,2,FALSE())</f>
        <v>19</v>
      </c>
      <c r="D120" s="38">
        <f>VLOOKUP(B:B,Courts!B:E,4,FALSE())</f>
        <v>0</v>
      </c>
      <c r="E120" s="38">
        <f>VLOOKUP(B:B,Courts!B:D,3,FALSE())</f>
        <v>5</v>
      </c>
      <c r="F120" s="18">
        <v>18</v>
      </c>
      <c r="G120" s="18">
        <v>0</v>
      </c>
      <c r="H120" s="18">
        <v>0</v>
      </c>
      <c r="I120" s="18">
        <v>4</v>
      </c>
      <c r="J120" s="18">
        <v>1</v>
      </c>
      <c r="K120" s="38">
        <f t="shared" si="10"/>
        <v>22</v>
      </c>
      <c r="L120" s="18">
        <f t="shared" si="11"/>
        <v>24</v>
      </c>
      <c r="M120" s="52">
        <f t="shared" si="9"/>
        <v>-2</v>
      </c>
      <c r="N120" s="18">
        <v>1</v>
      </c>
    </row>
    <row r="121" spans="1:14" x14ac:dyDescent="0.25">
      <c r="A121" s="36">
        <v>120</v>
      </c>
      <c r="B121" s="36" t="s">
        <v>145</v>
      </c>
      <c r="C121" s="38">
        <f>VLOOKUP(B:B,Courts!B:C,2,FALSE())</f>
        <v>1</v>
      </c>
      <c r="D121" s="38">
        <f>VLOOKUP(B:B,Courts!B:E,4,FALSE())</f>
        <v>1</v>
      </c>
      <c r="E121" s="38">
        <f>VLOOKUP(B:B,Courts!B:D,3,FALSE())</f>
        <v>0</v>
      </c>
      <c r="F121" s="18">
        <v>1</v>
      </c>
      <c r="G121" s="18">
        <v>1</v>
      </c>
      <c r="H121" s="18">
        <v>0</v>
      </c>
      <c r="I121" s="18">
        <v>1</v>
      </c>
      <c r="J121" s="18">
        <v>1</v>
      </c>
      <c r="K121" s="38">
        <f t="shared" si="10"/>
        <v>3</v>
      </c>
      <c r="L121" s="18">
        <f t="shared" si="11"/>
        <v>2</v>
      </c>
      <c r="M121" s="52">
        <f t="shared" si="9"/>
        <v>1</v>
      </c>
      <c r="N121" s="18">
        <v>0</v>
      </c>
    </row>
    <row r="122" spans="1:14" x14ac:dyDescent="0.25">
      <c r="A122" s="36">
        <v>121</v>
      </c>
      <c r="B122" s="37" t="s">
        <v>146</v>
      </c>
      <c r="C122" s="38">
        <f>VLOOKUP(B:B,Courts!B:C,2,FALSE())</f>
        <v>15</v>
      </c>
      <c r="D122" s="38">
        <f>VLOOKUP(B:B,Courts!B:E,4,FALSE())</f>
        <v>0</v>
      </c>
      <c r="E122" s="38">
        <f>VLOOKUP(B:B,Courts!B:D,3,FALSE())</f>
        <v>2</v>
      </c>
      <c r="F122" s="18">
        <v>14</v>
      </c>
      <c r="G122" s="18">
        <v>0</v>
      </c>
      <c r="H122" s="18">
        <v>0</v>
      </c>
      <c r="I122" s="18">
        <v>1</v>
      </c>
      <c r="J122" s="18">
        <v>1</v>
      </c>
      <c r="K122" s="38">
        <f t="shared" si="10"/>
        <v>15</v>
      </c>
      <c r="L122" s="18">
        <f t="shared" si="11"/>
        <v>17</v>
      </c>
      <c r="M122" s="52">
        <f t="shared" si="9"/>
        <v>-2</v>
      </c>
      <c r="N122" s="18">
        <v>2</v>
      </c>
    </row>
    <row r="123" spans="1:14" x14ac:dyDescent="0.25">
      <c r="A123" s="36">
        <v>122</v>
      </c>
      <c r="B123" s="36" t="s">
        <v>147</v>
      </c>
      <c r="C123" s="38">
        <f>VLOOKUP(B:B,Courts!B:C,2,FALSE())</f>
        <v>2</v>
      </c>
      <c r="D123" s="38">
        <f>VLOOKUP(B:B,Courts!B:E,4,FALSE())</f>
        <v>1</v>
      </c>
      <c r="E123" s="38">
        <f>VLOOKUP(B:B,Courts!B:D,3,FALSE())</f>
        <v>1</v>
      </c>
      <c r="F123" s="18">
        <v>3</v>
      </c>
      <c r="G123" s="18">
        <v>0</v>
      </c>
      <c r="H123" s="18">
        <v>0</v>
      </c>
      <c r="I123" s="18">
        <v>0</v>
      </c>
      <c r="J123" s="18">
        <v>1</v>
      </c>
      <c r="K123" s="38">
        <f t="shared" si="10"/>
        <v>3</v>
      </c>
      <c r="L123" s="18">
        <f t="shared" si="11"/>
        <v>4</v>
      </c>
      <c r="M123" s="52">
        <f t="shared" si="9"/>
        <v>-1</v>
      </c>
      <c r="N123" s="18">
        <v>1</v>
      </c>
    </row>
    <row r="124" spans="1:14" x14ac:dyDescent="0.25">
      <c r="A124" s="36">
        <v>123</v>
      </c>
      <c r="B124" s="36" t="s">
        <v>148</v>
      </c>
      <c r="C124" s="38">
        <f>VLOOKUP(B:B,Courts!B:C,2,FALSE())</f>
        <v>2</v>
      </c>
      <c r="D124" s="38">
        <f>VLOOKUP(B:B,Courts!B:E,4,FALSE())</f>
        <v>1</v>
      </c>
      <c r="E124" s="38">
        <f>VLOOKUP(B:B,Courts!B:D,3,FALSE())</f>
        <v>0</v>
      </c>
      <c r="F124" s="18">
        <v>2</v>
      </c>
      <c r="G124" s="18">
        <v>1</v>
      </c>
      <c r="H124" s="18">
        <v>0</v>
      </c>
      <c r="I124" s="18">
        <v>0</v>
      </c>
      <c r="J124" s="18">
        <v>1</v>
      </c>
      <c r="K124" s="38">
        <f t="shared" si="10"/>
        <v>3</v>
      </c>
      <c r="L124" s="18">
        <f t="shared" si="11"/>
        <v>3</v>
      </c>
      <c r="M124" s="52">
        <f t="shared" ref="M124:M131" si="12">K124-L124</f>
        <v>0</v>
      </c>
      <c r="N124" s="18">
        <v>0</v>
      </c>
    </row>
    <row r="125" spans="1:14" x14ac:dyDescent="0.25">
      <c r="A125" s="36">
        <v>124</v>
      </c>
      <c r="B125" s="36" t="s">
        <v>149</v>
      </c>
      <c r="C125" s="38">
        <f>VLOOKUP(B:B,Courts!B:C,2,FALSE())</f>
        <v>0</v>
      </c>
      <c r="D125" s="38">
        <f>VLOOKUP(B:B,Courts!B:E,4,FALSE())</f>
        <v>1</v>
      </c>
      <c r="E125" s="38">
        <f>VLOOKUP(B:B,Courts!B:D,3,FALSE())</f>
        <v>0</v>
      </c>
      <c r="F125" s="18">
        <v>0</v>
      </c>
      <c r="G125" s="18">
        <v>0</v>
      </c>
      <c r="H125" s="18">
        <v>0</v>
      </c>
      <c r="I125" s="18">
        <v>1</v>
      </c>
      <c r="J125" s="18">
        <v>0</v>
      </c>
      <c r="K125" s="38">
        <f t="shared" si="10"/>
        <v>1</v>
      </c>
      <c r="L125" s="18">
        <f t="shared" si="11"/>
        <v>1</v>
      </c>
      <c r="M125" s="52">
        <f t="shared" si="12"/>
        <v>0</v>
      </c>
      <c r="N125" s="18">
        <v>0</v>
      </c>
    </row>
    <row r="126" spans="1:14" x14ac:dyDescent="0.25">
      <c r="A126" s="36">
        <v>125</v>
      </c>
      <c r="B126" s="37" t="s">
        <v>150</v>
      </c>
      <c r="C126" s="38">
        <f>VLOOKUP(B:B,Courts!B:C,2,FALSE())</f>
        <v>18</v>
      </c>
      <c r="D126" s="38">
        <f>VLOOKUP(B:B,Courts!B:E,4,FALSE())</f>
        <v>0</v>
      </c>
      <c r="E126" s="38">
        <f>VLOOKUP(B:B,Courts!B:D,3,FALSE())</f>
        <v>3</v>
      </c>
      <c r="F126" s="18">
        <v>17</v>
      </c>
      <c r="G126" s="18">
        <v>0</v>
      </c>
      <c r="H126" s="18">
        <v>1</v>
      </c>
      <c r="I126" s="18">
        <v>1</v>
      </c>
      <c r="J126" s="18">
        <v>1</v>
      </c>
      <c r="K126" s="38">
        <f t="shared" si="10"/>
        <v>19</v>
      </c>
      <c r="L126" s="18">
        <f t="shared" si="11"/>
        <v>21</v>
      </c>
      <c r="M126" s="52">
        <f t="shared" si="12"/>
        <v>-2</v>
      </c>
      <c r="N126" s="18">
        <v>2</v>
      </c>
    </row>
    <row r="127" spans="1:14" x14ac:dyDescent="0.25">
      <c r="A127" s="36">
        <v>126</v>
      </c>
      <c r="B127" s="36" t="s">
        <v>151</v>
      </c>
      <c r="C127" s="38">
        <f>VLOOKUP(B:B,Courts!B:C,2,FALSE())</f>
        <v>2</v>
      </c>
      <c r="D127" s="38">
        <f>VLOOKUP(B:B,Courts!B:E,4,FALSE())</f>
        <v>1</v>
      </c>
      <c r="E127" s="38">
        <f>VLOOKUP(B:B,Courts!B:D,3,FALSE())</f>
        <v>0</v>
      </c>
      <c r="F127" s="18">
        <v>1</v>
      </c>
      <c r="G127" s="18">
        <v>1</v>
      </c>
      <c r="H127" s="18">
        <v>1</v>
      </c>
      <c r="I127" s="18">
        <v>0</v>
      </c>
      <c r="J127" s="18">
        <v>1</v>
      </c>
      <c r="K127" s="38">
        <f t="shared" si="10"/>
        <v>3</v>
      </c>
      <c r="L127" s="18">
        <f t="shared" si="11"/>
        <v>3</v>
      </c>
      <c r="M127" s="52">
        <f t="shared" si="12"/>
        <v>0</v>
      </c>
      <c r="N127" s="18">
        <v>0</v>
      </c>
    </row>
    <row r="128" spans="1:14" x14ac:dyDescent="0.25">
      <c r="A128" s="36">
        <v>127</v>
      </c>
      <c r="B128" s="36" t="s">
        <v>152</v>
      </c>
      <c r="C128" s="38">
        <f>VLOOKUP(B:B,Courts!B:C,2,FALSE())</f>
        <v>3</v>
      </c>
      <c r="D128" s="38">
        <f>VLOOKUP(B:B,Courts!B:E,4,FALSE())</f>
        <v>1</v>
      </c>
      <c r="E128" s="38">
        <f>VLOOKUP(B:B,Courts!B:D,3,FALSE())</f>
        <v>1</v>
      </c>
      <c r="F128" s="18">
        <v>2</v>
      </c>
      <c r="G128" s="18">
        <v>1</v>
      </c>
      <c r="H128" s="18">
        <v>0</v>
      </c>
      <c r="I128" s="18">
        <v>1</v>
      </c>
      <c r="J128" s="18">
        <v>1</v>
      </c>
      <c r="K128" s="38">
        <f t="shared" si="10"/>
        <v>4</v>
      </c>
      <c r="L128" s="18">
        <f t="shared" si="11"/>
        <v>5</v>
      </c>
      <c r="M128" s="52">
        <f t="shared" si="12"/>
        <v>-1</v>
      </c>
      <c r="N128" s="18">
        <v>1</v>
      </c>
    </row>
    <row r="129" spans="1:14" x14ac:dyDescent="0.25">
      <c r="A129" s="36">
        <v>128</v>
      </c>
      <c r="B129" s="36" t="s">
        <v>153</v>
      </c>
      <c r="C129" s="38">
        <f>VLOOKUP(B:B,Courts!B:C,2,FALSE())</f>
        <v>2</v>
      </c>
      <c r="D129" s="38">
        <f>VLOOKUP(B:B,Courts!B:E,4,FALSE())</f>
        <v>1</v>
      </c>
      <c r="E129" s="38">
        <f>VLOOKUP(B:B,Courts!B:D,3,FALSE())</f>
        <v>0</v>
      </c>
      <c r="F129" s="18">
        <v>1</v>
      </c>
      <c r="G129" s="18">
        <v>1</v>
      </c>
      <c r="H129" s="18">
        <v>0</v>
      </c>
      <c r="I129" s="18">
        <v>1</v>
      </c>
      <c r="J129" s="18">
        <v>1</v>
      </c>
      <c r="K129" s="38">
        <f t="shared" si="10"/>
        <v>3</v>
      </c>
      <c r="L129" s="18">
        <f t="shared" si="11"/>
        <v>3</v>
      </c>
      <c r="M129" s="52">
        <f t="shared" si="12"/>
        <v>0</v>
      </c>
      <c r="N129" s="18">
        <v>0</v>
      </c>
    </row>
    <row r="130" spans="1:14" x14ac:dyDescent="0.25">
      <c r="A130" s="36">
        <v>129</v>
      </c>
      <c r="B130" s="37" t="s">
        <v>154</v>
      </c>
      <c r="C130" s="38">
        <f>VLOOKUP(B:B,Courts!B:C,2,FALSE())</f>
        <v>19</v>
      </c>
      <c r="D130" s="38">
        <f>VLOOKUP(B:B,Courts!B:E,4,FALSE())</f>
        <v>0</v>
      </c>
      <c r="E130" s="38">
        <f>VLOOKUP(B:B,Courts!B:D,3,FALSE())</f>
        <v>3</v>
      </c>
      <c r="F130" s="18">
        <v>18</v>
      </c>
      <c r="G130" s="18">
        <v>0</v>
      </c>
      <c r="H130" s="18">
        <v>0</v>
      </c>
      <c r="I130" s="18">
        <v>4</v>
      </c>
      <c r="J130" s="18">
        <v>1</v>
      </c>
      <c r="K130" s="38">
        <f t="shared" si="10"/>
        <v>22</v>
      </c>
      <c r="L130" s="18">
        <f t="shared" si="11"/>
        <v>22</v>
      </c>
      <c r="M130" s="52">
        <f t="shared" si="12"/>
        <v>0</v>
      </c>
      <c r="N130" s="18">
        <v>0</v>
      </c>
    </row>
    <row r="131" spans="1:14" x14ac:dyDescent="0.25">
      <c r="A131" s="36">
        <v>130</v>
      </c>
      <c r="B131" s="36" t="s">
        <v>155</v>
      </c>
      <c r="C131" s="38">
        <f>VLOOKUP(B:B,Courts!B:C,2,FALSE())</f>
        <v>4</v>
      </c>
      <c r="D131" s="38">
        <f>VLOOKUP(B:B,Courts!B:E,4,FALSE())</f>
        <v>1</v>
      </c>
      <c r="E131" s="38">
        <f>VLOOKUP(B:B,Courts!B:D,3,FALSE())</f>
        <v>2</v>
      </c>
      <c r="F131" s="18">
        <v>3</v>
      </c>
      <c r="G131" s="18">
        <v>2</v>
      </c>
      <c r="H131" s="18">
        <v>0</v>
      </c>
      <c r="I131" s="18">
        <v>0</v>
      </c>
      <c r="J131" s="18">
        <v>1</v>
      </c>
      <c r="K131" s="38">
        <f t="shared" si="10"/>
        <v>5</v>
      </c>
      <c r="L131" s="18">
        <f t="shared" si="11"/>
        <v>7</v>
      </c>
      <c r="M131" s="52">
        <f t="shared" si="12"/>
        <v>-2</v>
      </c>
      <c r="N131" s="18">
        <v>2</v>
      </c>
    </row>
    <row r="132" spans="1:14" x14ac:dyDescent="0.25">
      <c r="G132" s="43"/>
      <c r="H132" s="43"/>
      <c r="I132" s="43"/>
      <c r="J132" s="43"/>
      <c r="M132" s="66"/>
    </row>
    <row r="133" spans="1:14" ht="15.75" x14ac:dyDescent="0.25">
      <c r="B133" s="44" t="s">
        <v>156</v>
      </c>
      <c r="C133" s="45">
        <f t="shared" ref="C133:N133" si="13">SUM(C2:C131)</f>
        <v>1147</v>
      </c>
      <c r="D133" s="45">
        <f t="shared" si="13"/>
        <v>81</v>
      </c>
      <c r="E133" s="45">
        <f t="shared" si="13"/>
        <v>108</v>
      </c>
      <c r="F133" s="45">
        <f t="shared" si="13"/>
        <v>931</v>
      </c>
      <c r="G133" s="45">
        <f t="shared" si="13"/>
        <v>96</v>
      </c>
      <c r="H133" s="45">
        <f t="shared" si="13"/>
        <v>55</v>
      </c>
      <c r="I133" s="45">
        <f t="shared" si="13"/>
        <v>214</v>
      </c>
      <c r="J133" s="45">
        <f t="shared" si="13"/>
        <v>123</v>
      </c>
      <c r="K133" s="45">
        <f t="shared" si="13"/>
        <v>1296</v>
      </c>
      <c r="L133" s="45">
        <f t="shared" si="13"/>
        <v>1336</v>
      </c>
      <c r="M133" s="45">
        <f t="shared" si="13"/>
        <v>-40</v>
      </c>
      <c r="N133" s="45">
        <f t="shared" si="13"/>
        <v>83</v>
      </c>
    </row>
    <row r="134" spans="1:14" ht="15.75" x14ac:dyDescent="0.25"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</row>
    <row r="135" spans="1:14" ht="15.75" x14ac:dyDescent="0.25">
      <c r="A135" s="49">
        <v>1</v>
      </c>
      <c r="B135" s="50" t="s">
        <v>157</v>
      </c>
      <c r="C135" s="45">
        <f t="shared" ref="C135:N135" si="14">SUM(C2:C69)</f>
        <v>640</v>
      </c>
      <c r="D135" s="45">
        <f t="shared" si="14"/>
        <v>45</v>
      </c>
      <c r="E135" s="45">
        <f t="shared" si="14"/>
        <v>0</v>
      </c>
      <c r="F135" s="45">
        <f t="shared" si="14"/>
        <v>476</v>
      </c>
      <c r="G135" s="45">
        <f t="shared" si="14"/>
        <v>57</v>
      </c>
      <c r="H135" s="45">
        <f t="shared" si="14"/>
        <v>45</v>
      </c>
      <c r="I135" s="45">
        <f t="shared" si="14"/>
        <v>139</v>
      </c>
      <c r="J135" s="45">
        <f t="shared" si="14"/>
        <v>66</v>
      </c>
      <c r="K135" s="45">
        <f t="shared" si="14"/>
        <v>717</v>
      </c>
      <c r="L135" s="45">
        <f t="shared" si="14"/>
        <v>685</v>
      </c>
      <c r="M135" s="45">
        <f t="shared" si="14"/>
        <v>32</v>
      </c>
      <c r="N135" s="45">
        <f t="shared" si="14"/>
        <v>3</v>
      </c>
    </row>
    <row r="136" spans="1:14" ht="15.75" x14ac:dyDescent="0.25">
      <c r="A136" s="49">
        <v>2</v>
      </c>
      <c r="B136" s="50" t="s">
        <v>158</v>
      </c>
      <c r="C136" s="45">
        <f t="shared" ref="C136:N136" si="15">SUM(C71:C131)</f>
        <v>479</v>
      </c>
      <c r="D136" s="45">
        <f t="shared" si="15"/>
        <v>36</v>
      </c>
      <c r="E136" s="45">
        <f t="shared" si="15"/>
        <v>108</v>
      </c>
      <c r="F136" s="45">
        <f t="shared" si="15"/>
        <v>426</v>
      </c>
      <c r="G136" s="45">
        <f t="shared" si="15"/>
        <v>39</v>
      </c>
      <c r="H136" s="45">
        <f t="shared" si="15"/>
        <v>9</v>
      </c>
      <c r="I136" s="45">
        <f t="shared" si="15"/>
        <v>74</v>
      </c>
      <c r="J136" s="45">
        <f t="shared" si="15"/>
        <v>56</v>
      </c>
      <c r="K136" s="45">
        <f t="shared" si="15"/>
        <v>548</v>
      </c>
      <c r="L136" s="45">
        <f t="shared" si="15"/>
        <v>623</v>
      </c>
      <c r="M136" s="45">
        <f t="shared" si="15"/>
        <v>-75</v>
      </c>
      <c r="N136" s="45">
        <f t="shared" si="15"/>
        <v>80</v>
      </c>
    </row>
    <row r="137" spans="1:14" ht="15.75" x14ac:dyDescent="0.25">
      <c r="A137" s="49">
        <v>3</v>
      </c>
      <c r="B137" s="50" t="s">
        <v>97</v>
      </c>
      <c r="C137" s="45">
        <f t="shared" ref="C137:N137" si="16">SUM(C70)</f>
        <v>28</v>
      </c>
      <c r="D137" s="45">
        <f t="shared" si="16"/>
        <v>0</v>
      </c>
      <c r="E137" s="45">
        <f t="shared" si="16"/>
        <v>0</v>
      </c>
      <c r="F137" s="45">
        <f t="shared" si="16"/>
        <v>29</v>
      </c>
      <c r="G137" s="45">
        <f t="shared" si="16"/>
        <v>0</v>
      </c>
      <c r="H137" s="45">
        <f t="shared" si="16"/>
        <v>1</v>
      </c>
      <c r="I137" s="45">
        <f t="shared" si="16"/>
        <v>1</v>
      </c>
      <c r="J137" s="45">
        <f t="shared" si="16"/>
        <v>1</v>
      </c>
      <c r="K137" s="45">
        <f t="shared" si="16"/>
        <v>31</v>
      </c>
      <c r="L137" s="45">
        <f t="shared" si="16"/>
        <v>28</v>
      </c>
      <c r="M137" s="45">
        <f t="shared" si="16"/>
        <v>3</v>
      </c>
      <c r="N137" s="45">
        <f t="shared" si="16"/>
        <v>0</v>
      </c>
    </row>
    <row r="138" spans="1:14" ht="15.75" x14ac:dyDescent="0.25">
      <c r="A138" s="51"/>
      <c r="B138" s="52" t="str">
        <f t="shared" ref="B138" si="17">B133</f>
        <v>Total</v>
      </c>
      <c r="C138" s="45">
        <f t="shared" ref="C138:N138" si="18">SUM(C135:C137)</f>
        <v>1147</v>
      </c>
      <c r="D138" s="45">
        <f t="shared" si="18"/>
        <v>81</v>
      </c>
      <c r="E138" s="45">
        <f t="shared" si="18"/>
        <v>108</v>
      </c>
      <c r="F138" s="45">
        <f t="shared" si="18"/>
        <v>931</v>
      </c>
      <c r="G138" s="45">
        <f t="shared" si="18"/>
        <v>96</v>
      </c>
      <c r="H138" s="45">
        <f t="shared" si="18"/>
        <v>55</v>
      </c>
      <c r="I138" s="45">
        <f t="shared" si="18"/>
        <v>214</v>
      </c>
      <c r="J138" s="45">
        <f t="shared" si="18"/>
        <v>123</v>
      </c>
      <c r="K138" s="45">
        <f t="shared" si="18"/>
        <v>1296</v>
      </c>
      <c r="L138" s="45">
        <f t="shared" si="18"/>
        <v>1336</v>
      </c>
      <c r="M138" s="45">
        <f t="shared" si="18"/>
        <v>-40</v>
      </c>
      <c r="N138" s="45">
        <f t="shared" si="18"/>
        <v>83</v>
      </c>
    </row>
  </sheetData>
  <pageMargins left="0.25" right="0.25" top="0.75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9"/>
  <sheetViews>
    <sheetView workbookViewId="0">
      <pane ySplit="1" topLeftCell="A75" activePane="bottomLeft" state="frozen"/>
      <selection pane="bottomLeft" activeCell="U86" sqref="U86:U88"/>
    </sheetView>
  </sheetViews>
  <sheetFormatPr defaultColWidth="8.7109375" defaultRowHeight="15" customHeight="1" x14ac:dyDescent="0.25"/>
  <cols>
    <col min="1" max="1" width="7.7109375" style="5" customWidth="1"/>
    <col min="2" max="2" width="26.85546875" customWidth="1"/>
    <col min="3" max="3" width="27" style="5" customWidth="1"/>
    <col min="4" max="4" width="5.42578125" style="5" customWidth="1"/>
    <col min="5" max="5" width="24" style="5" customWidth="1"/>
    <col min="6" max="6" width="6.42578125" customWidth="1"/>
    <col min="7" max="7" width="5" customWidth="1"/>
    <col min="8" max="8" width="6.42578125" customWidth="1"/>
    <col min="9" max="9" width="5" customWidth="1"/>
    <col min="10" max="10" width="8" customWidth="1"/>
    <col min="11" max="16" width="6.42578125" customWidth="1"/>
    <col min="17" max="17" width="6.5703125" customWidth="1"/>
    <col min="18" max="18" width="5.140625" customWidth="1"/>
    <col min="19" max="19" width="6.5703125" customWidth="1"/>
    <col min="20" max="20" width="8.42578125" customWidth="1"/>
    <col min="21" max="21" width="7.140625" customWidth="1"/>
  </cols>
  <sheetData>
    <row r="1" spans="1:22" ht="257.25" x14ac:dyDescent="0.25">
      <c r="A1" s="6" t="s">
        <v>15</v>
      </c>
      <c r="B1" s="7" t="s">
        <v>16</v>
      </c>
      <c r="C1" s="8" t="s">
        <v>194</v>
      </c>
      <c r="D1" s="8" t="s">
        <v>4</v>
      </c>
      <c r="E1" s="8" t="s">
        <v>198</v>
      </c>
      <c r="F1" s="9">
        <v>2016</v>
      </c>
      <c r="G1" s="9">
        <v>2018</v>
      </c>
      <c r="H1" s="94">
        <v>2020</v>
      </c>
      <c r="I1" s="10" t="s">
        <v>17</v>
      </c>
      <c r="J1" s="11">
        <v>2023</v>
      </c>
      <c r="K1" s="12" t="s">
        <v>18</v>
      </c>
      <c r="L1" s="12" t="s">
        <v>19</v>
      </c>
      <c r="M1" s="12" t="s">
        <v>20</v>
      </c>
      <c r="N1" s="12" t="s">
        <v>21</v>
      </c>
      <c r="O1" s="67" t="s">
        <v>22</v>
      </c>
      <c r="P1" s="9" t="s">
        <v>215</v>
      </c>
      <c r="Q1" s="10" t="s">
        <v>23</v>
      </c>
      <c r="R1" s="10" t="s">
        <v>24</v>
      </c>
      <c r="S1" s="10" t="s">
        <v>25</v>
      </c>
      <c r="T1" s="13" t="s">
        <v>26</v>
      </c>
      <c r="U1" s="9" t="s">
        <v>27</v>
      </c>
      <c r="V1" s="14" t="s">
        <v>28</v>
      </c>
    </row>
    <row r="2" spans="1:22" x14ac:dyDescent="0.25">
      <c r="A2" s="15">
        <v>1</v>
      </c>
      <c r="B2" s="16" t="s">
        <v>29</v>
      </c>
      <c r="C2" s="17">
        <f>VLOOKUP(B:B,Courts!B:C,2,FALSE())</f>
        <v>48</v>
      </c>
      <c r="D2" s="17">
        <f>VLOOKUP(B:B,Courts!B:D,3,FALSE())</f>
        <v>0</v>
      </c>
      <c r="E2" s="15">
        <f>VLOOKUP(B:B,Courts!B:E,4,FALSE())</f>
        <v>0</v>
      </c>
      <c r="F2" s="18">
        <v>136</v>
      </c>
      <c r="G2" s="18">
        <v>0</v>
      </c>
      <c r="H2" s="18">
        <v>29</v>
      </c>
      <c r="I2" s="18">
        <v>0</v>
      </c>
      <c r="J2" s="18">
        <v>96</v>
      </c>
      <c r="K2" s="18">
        <v>4</v>
      </c>
      <c r="L2" s="18">
        <v>4</v>
      </c>
      <c r="M2" s="18">
        <v>0</v>
      </c>
      <c r="N2" s="18">
        <v>19</v>
      </c>
      <c r="O2" s="18">
        <f t="shared" ref="O2:O33" si="0">SUM(J2:N2)</f>
        <v>123</v>
      </c>
      <c r="P2" s="18">
        <f>F2+G2+H2+I2+J2+M2+N2</f>
        <v>280</v>
      </c>
      <c r="Q2" s="18">
        <f t="shared" ref="Q2:Q33" si="1">C2*8</f>
        <v>384</v>
      </c>
      <c r="R2" s="18">
        <f t="shared" ref="R2:R33" si="2">D2*8</f>
        <v>0</v>
      </c>
      <c r="S2" s="18">
        <f t="shared" ref="S2:S33" si="3">E2*4</f>
        <v>0</v>
      </c>
      <c r="T2" s="18">
        <f t="shared" ref="T2:T33" si="4">SUM(Q2:S2)</f>
        <v>384</v>
      </c>
      <c r="U2" s="18">
        <f t="shared" ref="U2:U33" si="5">P2-T2</f>
        <v>-104</v>
      </c>
      <c r="V2">
        <v>-104</v>
      </c>
    </row>
    <row r="3" spans="1:22" x14ac:dyDescent="0.25">
      <c r="A3" s="15">
        <v>2</v>
      </c>
      <c r="B3" s="19" t="s">
        <v>30</v>
      </c>
      <c r="C3" s="17">
        <f>VLOOKUP(B:B,Courts!B:C,2,FALSE())</f>
        <v>5</v>
      </c>
      <c r="D3" s="17">
        <f>VLOOKUP(B:B,Courts!B:D,3,FALSE())</f>
        <v>0</v>
      </c>
      <c r="E3" s="15">
        <f>VLOOKUP(B:B,Courts!B:E,4,FALSE())</f>
        <v>1</v>
      </c>
      <c r="F3" s="18">
        <v>16</v>
      </c>
      <c r="G3" s="18">
        <v>0</v>
      </c>
      <c r="H3" s="18">
        <v>7</v>
      </c>
      <c r="I3" s="18">
        <v>0</v>
      </c>
      <c r="J3" s="18">
        <v>9</v>
      </c>
      <c r="K3" s="18">
        <v>1</v>
      </c>
      <c r="L3" s="18">
        <v>0</v>
      </c>
      <c r="M3" s="18">
        <v>4</v>
      </c>
      <c r="N3" s="18">
        <v>0</v>
      </c>
      <c r="O3" s="18">
        <f t="shared" si="0"/>
        <v>14</v>
      </c>
      <c r="P3" s="18">
        <f t="shared" ref="P3:P66" si="6">F3+G3+H3+I3+J3+M3+N3</f>
        <v>36</v>
      </c>
      <c r="Q3" s="18">
        <f t="shared" si="1"/>
        <v>40</v>
      </c>
      <c r="R3" s="18">
        <f t="shared" si="2"/>
        <v>0</v>
      </c>
      <c r="S3" s="18">
        <f t="shared" si="3"/>
        <v>4</v>
      </c>
      <c r="T3" s="18">
        <f t="shared" si="4"/>
        <v>44</v>
      </c>
      <c r="U3" s="18">
        <f t="shared" si="5"/>
        <v>-8</v>
      </c>
      <c r="V3">
        <v>-8</v>
      </c>
    </row>
    <row r="4" spans="1:22" x14ac:dyDescent="0.25">
      <c r="A4" s="15">
        <v>3</v>
      </c>
      <c r="B4" s="19" t="s">
        <v>31</v>
      </c>
      <c r="C4" s="17">
        <f>VLOOKUP(B:B,Courts!B:C,2,FALSE())</f>
        <v>4</v>
      </c>
      <c r="D4" s="17">
        <f>VLOOKUP(B:B,Courts!B:D,3,FALSE())</f>
        <v>0</v>
      </c>
      <c r="E4" s="15">
        <f>VLOOKUP(B:B,Courts!B:E,4,FALSE())</f>
        <v>1</v>
      </c>
      <c r="F4" s="18">
        <v>4</v>
      </c>
      <c r="G4" s="18">
        <v>0</v>
      </c>
      <c r="H4" s="18">
        <v>11</v>
      </c>
      <c r="I4" s="18">
        <v>0</v>
      </c>
      <c r="J4" s="18">
        <v>0</v>
      </c>
      <c r="K4" s="18">
        <v>1</v>
      </c>
      <c r="L4" s="18">
        <v>0</v>
      </c>
      <c r="M4" s="18">
        <v>4</v>
      </c>
      <c r="N4" s="18">
        <v>2</v>
      </c>
      <c r="O4" s="18">
        <f t="shared" si="0"/>
        <v>7</v>
      </c>
      <c r="P4" s="18">
        <f t="shared" si="6"/>
        <v>21</v>
      </c>
      <c r="Q4" s="18">
        <f t="shared" si="1"/>
        <v>32</v>
      </c>
      <c r="R4" s="18">
        <f t="shared" si="2"/>
        <v>0</v>
      </c>
      <c r="S4" s="18">
        <f t="shared" si="3"/>
        <v>4</v>
      </c>
      <c r="T4" s="18">
        <f t="shared" si="4"/>
        <v>36</v>
      </c>
      <c r="U4" s="18">
        <f t="shared" si="5"/>
        <v>-15</v>
      </c>
      <c r="V4">
        <v>-15</v>
      </c>
    </row>
    <row r="5" spans="1:22" x14ac:dyDescent="0.25">
      <c r="A5" s="15">
        <v>4</v>
      </c>
      <c r="B5" s="16" t="s">
        <v>32</v>
      </c>
      <c r="C5" s="17">
        <f>VLOOKUP(B:B,Courts!B:C,2,FALSE())</f>
        <v>11</v>
      </c>
      <c r="D5" s="17">
        <f>VLOOKUP(B:B,Courts!B:D,3,FALSE())</f>
        <v>0</v>
      </c>
      <c r="E5" s="15">
        <f>VLOOKUP(B:B,Courts!B:E,4,FALSE())</f>
        <v>0</v>
      </c>
      <c r="F5" s="18">
        <v>32</v>
      </c>
      <c r="G5" s="18">
        <v>0</v>
      </c>
      <c r="H5" s="18">
        <v>17</v>
      </c>
      <c r="I5" s="18">
        <v>0</v>
      </c>
      <c r="J5" s="18">
        <v>25</v>
      </c>
      <c r="K5" s="18">
        <v>1</v>
      </c>
      <c r="L5" s="18">
        <v>2</v>
      </c>
      <c r="M5" s="18">
        <v>0</v>
      </c>
      <c r="N5" s="18">
        <v>14</v>
      </c>
      <c r="O5" s="18">
        <f t="shared" si="0"/>
        <v>42</v>
      </c>
      <c r="P5" s="18">
        <f t="shared" si="6"/>
        <v>88</v>
      </c>
      <c r="Q5" s="18">
        <f t="shared" si="1"/>
        <v>88</v>
      </c>
      <c r="R5" s="18">
        <f t="shared" si="2"/>
        <v>0</v>
      </c>
      <c r="S5" s="18">
        <f t="shared" si="3"/>
        <v>0</v>
      </c>
      <c r="T5" s="18">
        <f t="shared" si="4"/>
        <v>88</v>
      </c>
      <c r="U5" s="18">
        <f t="shared" si="5"/>
        <v>0</v>
      </c>
      <c r="V5">
        <v>0</v>
      </c>
    </row>
    <row r="6" spans="1:22" x14ac:dyDescent="0.25">
      <c r="A6" s="15">
        <v>5</v>
      </c>
      <c r="B6" s="16" t="s">
        <v>33</v>
      </c>
      <c r="C6" s="17">
        <f>VLOOKUP(B:B,Courts!B:C,2,FALSE())</f>
        <v>25</v>
      </c>
      <c r="D6" s="17">
        <f>VLOOKUP(B:B,Courts!B:D,3,FALSE())</f>
        <v>0</v>
      </c>
      <c r="E6" s="15">
        <f>VLOOKUP(B:B,Courts!B:E,4,FALSE())</f>
        <v>0</v>
      </c>
      <c r="F6" s="18">
        <v>72</v>
      </c>
      <c r="G6" s="18">
        <v>0</v>
      </c>
      <c r="H6" s="18">
        <v>23</v>
      </c>
      <c r="I6" s="18">
        <v>0</v>
      </c>
      <c r="J6" s="18">
        <v>56</v>
      </c>
      <c r="K6" s="18">
        <v>3</v>
      </c>
      <c r="L6" s="18">
        <v>3</v>
      </c>
      <c r="M6" s="18">
        <v>0</v>
      </c>
      <c r="N6" s="18">
        <v>17</v>
      </c>
      <c r="O6" s="18">
        <f t="shared" si="0"/>
        <v>79</v>
      </c>
      <c r="P6" s="18">
        <f t="shared" si="6"/>
        <v>168</v>
      </c>
      <c r="Q6" s="18">
        <f t="shared" si="1"/>
        <v>200</v>
      </c>
      <c r="R6" s="18">
        <f t="shared" si="2"/>
        <v>0</v>
      </c>
      <c r="S6" s="18">
        <f t="shared" si="3"/>
        <v>0</v>
      </c>
      <c r="T6" s="18">
        <f t="shared" si="4"/>
        <v>200</v>
      </c>
      <c r="U6" s="18">
        <f t="shared" si="5"/>
        <v>-32</v>
      </c>
      <c r="V6">
        <v>-32</v>
      </c>
    </row>
    <row r="7" spans="1:22" x14ac:dyDescent="0.25">
      <c r="A7" s="15">
        <v>6</v>
      </c>
      <c r="B7" s="19" t="s">
        <v>34</v>
      </c>
      <c r="C7" s="17">
        <f>VLOOKUP(B:B,Courts!B:C,2,FALSE())</f>
        <v>6</v>
      </c>
      <c r="D7" s="17">
        <f>VLOOKUP(B:B,Courts!B:D,3,FALSE())</f>
        <v>0</v>
      </c>
      <c r="E7" s="15">
        <f>VLOOKUP(B:B,Courts!B:E,4,FALSE())</f>
        <v>1</v>
      </c>
      <c r="F7" s="18">
        <v>8</v>
      </c>
      <c r="G7" s="18">
        <v>0</v>
      </c>
      <c r="H7" s="18">
        <v>12</v>
      </c>
      <c r="I7" s="18">
        <v>0</v>
      </c>
      <c r="J7" s="18">
        <v>1</v>
      </c>
      <c r="K7" s="18">
        <v>1</v>
      </c>
      <c r="L7" s="18">
        <v>0</v>
      </c>
      <c r="M7" s="18">
        <v>4</v>
      </c>
      <c r="N7" s="18">
        <v>3</v>
      </c>
      <c r="O7" s="18">
        <f t="shared" si="0"/>
        <v>9</v>
      </c>
      <c r="P7" s="18">
        <f t="shared" si="6"/>
        <v>28</v>
      </c>
      <c r="Q7" s="18">
        <f t="shared" si="1"/>
        <v>48</v>
      </c>
      <c r="R7" s="18">
        <f t="shared" si="2"/>
        <v>0</v>
      </c>
      <c r="S7" s="18">
        <f t="shared" si="3"/>
        <v>4</v>
      </c>
      <c r="T7" s="18">
        <f t="shared" si="4"/>
        <v>52</v>
      </c>
      <c r="U7" s="18">
        <f t="shared" si="5"/>
        <v>-24</v>
      </c>
      <c r="V7">
        <v>-24</v>
      </c>
    </row>
    <row r="8" spans="1:22" x14ac:dyDescent="0.25">
      <c r="A8" s="15">
        <v>7</v>
      </c>
      <c r="B8" s="19" t="s">
        <v>35</v>
      </c>
      <c r="C8" s="17">
        <f>VLOOKUP(B:B,Courts!B:C,2,FALSE())</f>
        <v>4</v>
      </c>
      <c r="D8" s="17">
        <f>VLOOKUP(B:B,Courts!B:D,3,FALSE())</f>
        <v>0</v>
      </c>
      <c r="E8" s="15">
        <f>VLOOKUP(B:B,Courts!B:E,4,FALSE())</f>
        <v>1</v>
      </c>
      <c r="F8" s="18">
        <v>8</v>
      </c>
      <c r="G8" s="18">
        <v>0</v>
      </c>
      <c r="H8" s="18">
        <v>6</v>
      </c>
      <c r="I8" s="18">
        <v>0</v>
      </c>
      <c r="J8" s="18">
        <v>0</v>
      </c>
      <c r="K8" s="18">
        <v>1</v>
      </c>
      <c r="L8" s="18">
        <v>0</v>
      </c>
      <c r="M8" s="18">
        <v>4</v>
      </c>
      <c r="N8" s="18">
        <v>3</v>
      </c>
      <c r="O8" s="18">
        <f t="shared" si="0"/>
        <v>8</v>
      </c>
      <c r="P8" s="18">
        <f t="shared" si="6"/>
        <v>21</v>
      </c>
      <c r="Q8" s="18">
        <f t="shared" si="1"/>
        <v>32</v>
      </c>
      <c r="R8" s="18">
        <f t="shared" si="2"/>
        <v>0</v>
      </c>
      <c r="S8" s="18">
        <f t="shared" si="3"/>
        <v>4</v>
      </c>
      <c r="T8" s="18">
        <f t="shared" si="4"/>
        <v>36</v>
      </c>
      <c r="U8" s="18">
        <f t="shared" si="5"/>
        <v>-15</v>
      </c>
      <c r="V8">
        <v>-15</v>
      </c>
    </row>
    <row r="9" spans="1:22" x14ac:dyDescent="0.25">
      <c r="A9" s="15">
        <v>8</v>
      </c>
      <c r="B9" s="16" t="s">
        <v>36</v>
      </c>
      <c r="C9" s="17">
        <f>VLOOKUP(B:B,Courts!B:C,2,FALSE())</f>
        <v>12</v>
      </c>
      <c r="D9" s="17">
        <f>VLOOKUP(B:B,Courts!B:D,3,FALSE())</f>
        <v>0</v>
      </c>
      <c r="E9" s="15">
        <f>VLOOKUP(B:B,Courts!B:E,4,FALSE())</f>
        <v>0</v>
      </c>
      <c r="F9" s="18">
        <v>44</v>
      </c>
      <c r="G9" s="18">
        <v>0</v>
      </c>
      <c r="H9" s="18">
        <v>13</v>
      </c>
      <c r="I9" s="18">
        <v>0</v>
      </c>
      <c r="J9" s="18">
        <v>13</v>
      </c>
      <c r="K9" s="18">
        <v>3</v>
      </c>
      <c r="L9" s="18">
        <v>1</v>
      </c>
      <c r="M9" s="18">
        <v>0</v>
      </c>
      <c r="N9" s="18">
        <v>10</v>
      </c>
      <c r="O9" s="18">
        <f t="shared" si="0"/>
        <v>27</v>
      </c>
      <c r="P9" s="18">
        <f t="shared" si="6"/>
        <v>80</v>
      </c>
      <c r="Q9" s="18">
        <f t="shared" si="1"/>
        <v>96</v>
      </c>
      <c r="R9" s="18">
        <f t="shared" si="2"/>
        <v>0</v>
      </c>
      <c r="S9" s="18">
        <f t="shared" si="3"/>
        <v>0</v>
      </c>
      <c r="T9" s="18">
        <f t="shared" si="4"/>
        <v>96</v>
      </c>
      <c r="U9" s="18">
        <f t="shared" si="5"/>
        <v>-16</v>
      </c>
      <c r="V9">
        <v>-16</v>
      </c>
    </row>
    <row r="10" spans="1:22" x14ac:dyDescent="0.25">
      <c r="A10" s="15">
        <v>9</v>
      </c>
      <c r="B10" s="19" t="s">
        <v>37</v>
      </c>
      <c r="C10" s="17">
        <f>VLOOKUP(B:B,Courts!B:C,2,FALSE())</f>
        <v>2</v>
      </c>
      <c r="D10" s="17">
        <f>VLOOKUP(B:B,Courts!B:D,3,FALSE())</f>
        <v>0</v>
      </c>
      <c r="E10" s="15">
        <f>VLOOKUP(B:B,Courts!B:E,4,FALSE())</f>
        <v>0</v>
      </c>
      <c r="F10" s="18">
        <v>4</v>
      </c>
      <c r="G10" s="18">
        <v>0</v>
      </c>
      <c r="H10" s="18">
        <v>1</v>
      </c>
      <c r="I10" s="18">
        <v>0</v>
      </c>
      <c r="J10" s="18">
        <v>2</v>
      </c>
      <c r="K10" s="18">
        <v>2</v>
      </c>
      <c r="L10" s="18">
        <v>0</v>
      </c>
      <c r="M10" s="18">
        <v>0</v>
      </c>
      <c r="N10" s="18">
        <v>1</v>
      </c>
      <c r="O10" s="18">
        <f t="shared" si="0"/>
        <v>5</v>
      </c>
      <c r="P10" s="18">
        <f t="shared" si="6"/>
        <v>8</v>
      </c>
      <c r="Q10" s="18">
        <f t="shared" si="1"/>
        <v>16</v>
      </c>
      <c r="R10" s="18">
        <f t="shared" si="2"/>
        <v>0</v>
      </c>
      <c r="S10" s="18">
        <f t="shared" si="3"/>
        <v>0</v>
      </c>
      <c r="T10" s="18">
        <f t="shared" si="4"/>
        <v>16</v>
      </c>
      <c r="U10" s="18">
        <f t="shared" si="5"/>
        <v>-8</v>
      </c>
      <c r="V10">
        <v>-8</v>
      </c>
    </row>
    <row r="11" spans="1:22" x14ac:dyDescent="0.25">
      <c r="A11" s="15">
        <v>10</v>
      </c>
      <c r="B11" s="16" t="s">
        <v>38</v>
      </c>
      <c r="C11" s="17">
        <f>VLOOKUP(B:B,Courts!B:C,2,FALSE())</f>
        <v>11</v>
      </c>
      <c r="D11" s="17">
        <f>VLOOKUP(B:B,Courts!B:D,3,FALSE())</f>
        <v>0</v>
      </c>
      <c r="E11" s="15">
        <f>VLOOKUP(B:B,Courts!B:E,4,FALSE())</f>
        <v>0</v>
      </c>
      <c r="F11" s="18">
        <v>48</v>
      </c>
      <c r="G11" s="18">
        <v>0</v>
      </c>
      <c r="H11" s="18">
        <v>12</v>
      </c>
      <c r="I11" s="18">
        <v>0</v>
      </c>
      <c r="J11" s="18">
        <v>18</v>
      </c>
      <c r="K11" s="18">
        <v>3</v>
      </c>
      <c r="L11" s="18">
        <v>2</v>
      </c>
      <c r="M11" s="18">
        <v>4</v>
      </c>
      <c r="N11" s="18">
        <v>10</v>
      </c>
      <c r="O11" s="18">
        <f t="shared" si="0"/>
        <v>37</v>
      </c>
      <c r="P11" s="18">
        <f t="shared" si="6"/>
        <v>92</v>
      </c>
      <c r="Q11" s="18">
        <f t="shared" si="1"/>
        <v>88</v>
      </c>
      <c r="R11" s="18">
        <f t="shared" si="2"/>
        <v>0</v>
      </c>
      <c r="S11" s="18">
        <f t="shared" si="3"/>
        <v>0</v>
      </c>
      <c r="T11" s="18">
        <f t="shared" si="4"/>
        <v>88</v>
      </c>
      <c r="U11" s="18">
        <f t="shared" si="5"/>
        <v>4</v>
      </c>
      <c r="V11">
        <v>0</v>
      </c>
    </row>
    <row r="12" spans="1:22" x14ac:dyDescent="0.25">
      <c r="A12" s="15">
        <v>11</v>
      </c>
      <c r="B12" s="19" t="s">
        <v>39</v>
      </c>
      <c r="C12" s="17">
        <f>VLOOKUP(B:B,Courts!B:C,2,FALSE())</f>
        <v>4</v>
      </c>
      <c r="D12" s="17">
        <f>VLOOKUP(B:B,Courts!B:D,3,FALSE())</f>
        <v>0</v>
      </c>
      <c r="E12" s="15">
        <f>VLOOKUP(B:B,Courts!B:E,4,FALSE())</f>
        <v>1</v>
      </c>
      <c r="F12" s="18">
        <v>8</v>
      </c>
      <c r="G12" s="18">
        <v>0</v>
      </c>
      <c r="H12" s="18">
        <v>7</v>
      </c>
      <c r="I12" s="18">
        <v>0</v>
      </c>
      <c r="J12" s="18">
        <v>9</v>
      </c>
      <c r="K12" s="18">
        <v>1</v>
      </c>
      <c r="L12" s="18">
        <v>0</v>
      </c>
      <c r="M12" s="18">
        <v>4</v>
      </c>
      <c r="N12" s="18">
        <v>0</v>
      </c>
      <c r="O12" s="18">
        <f t="shared" si="0"/>
        <v>14</v>
      </c>
      <c r="P12" s="18">
        <f t="shared" si="6"/>
        <v>28</v>
      </c>
      <c r="Q12" s="18">
        <f t="shared" si="1"/>
        <v>32</v>
      </c>
      <c r="R12" s="18">
        <f t="shared" si="2"/>
        <v>0</v>
      </c>
      <c r="S12" s="18">
        <f t="shared" si="3"/>
        <v>4</v>
      </c>
      <c r="T12" s="18">
        <f t="shared" si="4"/>
        <v>36</v>
      </c>
      <c r="U12" s="18">
        <f t="shared" si="5"/>
        <v>-8</v>
      </c>
      <c r="V12">
        <v>-4</v>
      </c>
    </row>
    <row r="13" spans="1:22" x14ac:dyDescent="0.25">
      <c r="A13" s="15">
        <v>12</v>
      </c>
      <c r="B13" s="19" t="s">
        <v>40</v>
      </c>
      <c r="C13" s="17">
        <f>VLOOKUP(B:B,Courts!B:C,2,FALSE())</f>
        <v>2</v>
      </c>
      <c r="D13" s="17">
        <f>VLOOKUP(B:B,Courts!B:D,3,FALSE())</f>
        <v>0</v>
      </c>
      <c r="E13" s="15">
        <f>VLOOKUP(B:B,Courts!B:E,4,FALSE())</f>
        <v>1</v>
      </c>
      <c r="F13" s="18">
        <v>4</v>
      </c>
      <c r="G13" s="18">
        <v>0</v>
      </c>
      <c r="H13" s="18">
        <v>6</v>
      </c>
      <c r="I13" s="18">
        <v>0</v>
      </c>
      <c r="J13" s="18">
        <v>6</v>
      </c>
      <c r="K13" s="18">
        <v>1</v>
      </c>
      <c r="L13" s="18">
        <v>0</v>
      </c>
      <c r="M13" s="18">
        <v>4</v>
      </c>
      <c r="N13" s="18">
        <v>0</v>
      </c>
      <c r="O13" s="18">
        <f t="shared" si="0"/>
        <v>11</v>
      </c>
      <c r="P13" s="18">
        <f t="shared" si="6"/>
        <v>20</v>
      </c>
      <c r="Q13" s="18">
        <f t="shared" si="1"/>
        <v>16</v>
      </c>
      <c r="R13" s="18">
        <f t="shared" si="2"/>
        <v>0</v>
      </c>
      <c r="S13" s="18">
        <f t="shared" si="3"/>
        <v>4</v>
      </c>
      <c r="T13" s="18">
        <f t="shared" si="4"/>
        <v>20</v>
      </c>
      <c r="U13" s="18">
        <f t="shared" si="5"/>
        <v>0</v>
      </c>
      <c r="V13">
        <v>0</v>
      </c>
    </row>
    <row r="14" spans="1:22" x14ac:dyDescent="0.25">
      <c r="A14" s="15">
        <v>13</v>
      </c>
      <c r="B14" s="16" t="s">
        <v>41</v>
      </c>
      <c r="C14" s="17">
        <f>VLOOKUP(B:B,Courts!B:C,2,FALSE())</f>
        <v>12</v>
      </c>
      <c r="D14" s="17">
        <f>VLOOKUP(B:B,Courts!B:D,3,FALSE())</f>
        <v>0</v>
      </c>
      <c r="E14" s="15">
        <f>VLOOKUP(B:B,Courts!B:E,4,FALSE())</f>
        <v>0</v>
      </c>
      <c r="F14" s="18">
        <v>36</v>
      </c>
      <c r="G14" s="18">
        <v>0</v>
      </c>
      <c r="H14" s="18">
        <v>51</v>
      </c>
      <c r="I14" s="18">
        <v>0</v>
      </c>
      <c r="J14" s="18">
        <v>0</v>
      </c>
      <c r="K14" s="18">
        <v>3</v>
      </c>
      <c r="L14" s="18">
        <v>2</v>
      </c>
      <c r="M14" s="18">
        <v>0</v>
      </c>
      <c r="N14" s="18">
        <v>4</v>
      </c>
      <c r="O14" s="18">
        <f t="shared" si="0"/>
        <v>9</v>
      </c>
      <c r="P14" s="18">
        <f t="shared" si="6"/>
        <v>91</v>
      </c>
      <c r="Q14" s="18">
        <f t="shared" si="1"/>
        <v>96</v>
      </c>
      <c r="R14" s="18">
        <f t="shared" si="2"/>
        <v>0</v>
      </c>
      <c r="S14" s="18">
        <f t="shared" si="3"/>
        <v>0</v>
      </c>
      <c r="T14" s="18">
        <f t="shared" si="4"/>
        <v>96</v>
      </c>
      <c r="U14" s="18">
        <f t="shared" si="5"/>
        <v>-5</v>
      </c>
      <c r="V14">
        <v>-5</v>
      </c>
    </row>
    <row r="15" spans="1:22" x14ac:dyDescent="0.25">
      <c r="A15" s="15">
        <v>14</v>
      </c>
      <c r="B15" s="19" t="s">
        <v>42</v>
      </c>
      <c r="C15" s="17">
        <f>VLOOKUP(B:B,Courts!B:C,2,FALSE())</f>
        <v>7</v>
      </c>
      <c r="D15" s="17">
        <f>VLOOKUP(B:B,Courts!B:D,3,FALSE())</f>
        <v>0</v>
      </c>
      <c r="E15" s="15">
        <f>VLOOKUP(B:B,Courts!B:E,4,FALSE())</f>
        <v>1</v>
      </c>
      <c r="F15" s="18">
        <v>16</v>
      </c>
      <c r="G15" s="18">
        <v>0</v>
      </c>
      <c r="H15" s="18">
        <v>21</v>
      </c>
      <c r="I15" s="18">
        <v>0</v>
      </c>
      <c r="J15" s="18">
        <v>1</v>
      </c>
      <c r="K15" s="18">
        <v>1</v>
      </c>
      <c r="L15" s="18">
        <v>1</v>
      </c>
      <c r="M15" s="18">
        <v>4</v>
      </c>
      <c r="N15" s="18">
        <v>2</v>
      </c>
      <c r="O15" s="18">
        <f t="shared" si="0"/>
        <v>9</v>
      </c>
      <c r="P15" s="18">
        <f t="shared" si="6"/>
        <v>44</v>
      </c>
      <c r="Q15" s="18">
        <f t="shared" si="1"/>
        <v>56</v>
      </c>
      <c r="R15" s="18">
        <f t="shared" si="2"/>
        <v>0</v>
      </c>
      <c r="S15" s="18">
        <f t="shared" si="3"/>
        <v>4</v>
      </c>
      <c r="T15" s="18">
        <f t="shared" si="4"/>
        <v>60</v>
      </c>
      <c r="U15" s="18">
        <f t="shared" si="5"/>
        <v>-16</v>
      </c>
      <c r="V15">
        <v>-16</v>
      </c>
    </row>
    <row r="16" spans="1:22" x14ac:dyDescent="0.25">
      <c r="A16" s="15">
        <v>15</v>
      </c>
      <c r="B16" s="19" t="s">
        <v>43</v>
      </c>
      <c r="C16" s="17">
        <f>VLOOKUP(B:B,Courts!B:C,2,FALSE())</f>
        <v>4</v>
      </c>
      <c r="D16" s="17">
        <f>VLOOKUP(B:B,Courts!B:D,3,FALSE())</f>
        <v>0</v>
      </c>
      <c r="E16" s="15">
        <f>VLOOKUP(B:B,Courts!B:E,4,FALSE())</f>
        <v>1</v>
      </c>
      <c r="F16" s="18">
        <v>8</v>
      </c>
      <c r="G16" s="18">
        <v>0</v>
      </c>
      <c r="H16" s="18">
        <v>5</v>
      </c>
      <c r="I16" s="18">
        <v>0</v>
      </c>
      <c r="J16" s="18">
        <v>9</v>
      </c>
      <c r="K16" s="18">
        <v>1</v>
      </c>
      <c r="L16" s="18">
        <v>0</v>
      </c>
      <c r="M16" s="18">
        <v>4</v>
      </c>
      <c r="N16" s="18">
        <v>2</v>
      </c>
      <c r="O16" s="18">
        <f t="shared" si="0"/>
        <v>16</v>
      </c>
      <c r="P16" s="18">
        <f t="shared" si="6"/>
        <v>28</v>
      </c>
      <c r="Q16" s="18">
        <f t="shared" si="1"/>
        <v>32</v>
      </c>
      <c r="R16" s="18">
        <f t="shared" si="2"/>
        <v>0</v>
      </c>
      <c r="S16" s="18">
        <f t="shared" si="3"/>
        <v>4</v>
      </c>
      <c r="T16" s="18">
        <f t="shared" si="4"/>
        <v>36</v>
      </c>
      <c r="U16" s="18">
        <f t="shared" si="5"/>
        <v>-8</v>
      </c>
      <c r="V16">
        <v>-8</v>
      </c>
    </row>
    <row r="17" spans="1:22" x14ac:dyDescent="0.25">
      <c r="A17" s="15">
        <v>16</v>
      </c>
      <c r="B17" s="16" t="s">
        <v>44</v>
      </c>
      <c r="C17" s="17">
        <f>VLOOKUP(B:B,Courts!B:C,2,FALSE())</f>
        <v>16</v>
      </c>
      <c r="D17" s="17">
        <f>VLOOKUP(B:B,Courts!B:D,3,FALSE())</f>
        <v>0</v>
      </c>
      <c r="E17" s="15">
        <f>VLOOKUP(B:B,Courts!B:E,4,FALSE())</f>
        <v>0</v>
      </c>
      <c r="F17" s="18">
        <v>64</v>
      </c>
      <c r="G17" s="18">
        <v>0</v>
      </c>
      <c r="H17" s="18">
        <v>20</v>
      </c>
      <c r="I17" s="18">
        <v>0</v>
      </c>
      <c r="J17" s="18">
        <v>19</v>
      </c>
      <c r="K17" s="18">
        <v>3</v>
      </c>
      <c r="L17" s="18">
        <v>2</v>
      </c>
      <c r="M17" s="18">
        <v>0</v>
      </c>
      <c r="N17" s="18">
        <v>17</v>
      </c>
      <c r="O17" s="18">
        <f t="shared" si="0"/>
        <v>41</v>
      </c>
      <c r="P17" s="18">
        <f t="shared" si="6"/>
        <v>120</v>
      </c>
      <c r="Q17" s="18">
        <f t="shared" si="1"/>
        <v>128</v>
      </c>
      <c r="R17" s="18">
        <f t="shared" si="2"/>
        <v>0</v>
      </c>
      <c r="S17" s="18">
        <f t="shared" si="3"/>
        <v>0</v>
      </c>
      <c r="T17" s="18">
        <f t="shared" si="4"/>
        <v>128</v>
      </c>
      <c r="U17" s="18">
        <f t="shared" si="5"/>
        <v>-8</v>
      </c>
      <c r="V17">
        <v>-8</v>
      </c>
    </row>
    <row r="18" spans="1:22" x14ac:dyDescent="0.25">
      <c r="A18" s="15">
        <v>17</v>
      </c>
      <c r="B18" s="19" t="s">
        <v>45</v>
      </c>
      <c r="C18" s="17">
        <f>VLOOKUP(B:B,Courts!B:C,2,FALSE())</f>
        <v>3</v>
      </c>
      <c r="D18" s="17">
        <f>VLOOKUP(B:B,Courts!B:D,3,FALSE())</f>
        <v>0</v>
      </c>
      <c r="E18" s="15">
        <f>VLOOKUP(B:B,Courts!B:E,4,FALSE())</f>
        <v>1</v>
      </c>
      <c r="F18" s="18">
        <v>8</v>
      </c>
      <c r="G18" s="18">
        <v>0</v>
      </c>
      <c r="H18" s="18">
        <v>1</v>
      </c>
      <c r="I18" s="18">
        <v>0</v>
      </c>
      <c r="J18" s="18">
        <v>5</v>
      </c>
      <c r="K18" s="18">
        <v>1</v>
      </c>
      <c r="L18" s="18">
        <v>0</v>
      </c>
      <c r="M18" s="18">
        <v>4</v>
      </c>
      <c r="N18" s="18">
        <v>2</v>
      </c>
      <c r="O18" s="18">
        <f t="shared" si="0"/>
        <v>12</v>
      </c>
      <c r="P18" s="18">
        <f t="shared" si="6"/>
        <v>20</v>
      </c>
      <c r="Q18" s="18">
        <f t="shared" si="1"/>
        <v>24</v>
      </c>
      <c r="R18" s="18">
        <f t="shared" si="2"/>
        <v>0</v>
      </c>
      <c r="S18" s="18">
        <f t="shared" si="3"/>
        <v>4</v>
      </c>
      <c r="T18" s="18">
        <f t="shared" si="4"/>
        <v>28</v>
      </c>
      <c r="U18" s="18">
        <f t="shared" si="5"/>
        <v>-8</v>
      </c>
      <c r="V18">
        <v>-8</v>
      </c>
    </row>
    <row r="19" spans="1:22" x14ac:dyDescent="0.25">
      <c r="A19" s="15">
        <v>18</v>
      </c>
      <c r="B19" s="19" t="s">
        <v>46</v>
      </c>
      <c r="C19" s="17">
        <f>VLOOKUP(B:B,Courts!B:C,2,FALSE())</f>
        <v>3</v>
      </c>
      <c r="D19" s="17">
        <f>VLOOKUP(B:B,Courts!B:D,3,FALSE())</f>
        <v>0</v>
      </c>
      <c r="E19" s="15">
        <f>VLOOKUP(B:B,Courts!B:E,4,FALSE())</f>
        <v>1</v>
      </c>
      <c r="F19" s="18">
        <v>12</v>
      </c>
      <c r="G19" s="18">
        <v>0</v>
      </c>
      <c r="H19" s="18">
        <v>1</v>
      </c>
      <c r="I19" s="18">
        <v>0</v>
      </c>
      <c r="J19" s="18">
        <v>9</v>
      </c>
      <c r="K19" s="18">
        <v>1</v>
      </c>
      <c r="L19" s="18">
        <v>0</v>
      </c>
      <c r="M19" s="18">
        <v>4</v>
      </c>
      <c r="N19" s="18">
        <v>2</v>
      </c>
      <c r="O19" s="18">
        <f t="shared" si="0"/>
        <v>16</v>
      </c>
      <c r="P19" s="18">
        <f t="shared" si="6"/>
        <v>28</v>
      </c>
      <c r="Q19" s="18">
        <f t="shared" si="1"/>
        <v>24</v>
      </c>
      <c r="R19" s="18">
        <f t="shared" si="2"/>
        <v>0</v>
      </c>
      <c r="S19" s="18">
        <f t="shared" si="3"/>
        <v>4</v>
      </c>
      <c r="T19" s="18">
        <f t="shared" si="4"/>
        <v>28</v>
      </c>
      <c r="U19" s="18">
        <f t="shared" si="5"/>
        <v>0</v>
      </c>
      <c r="V19">
        <v>0</v>
      </c>
    </row>
    <row r="20" spans="1:22" x14ac:dyDescent="0.25">
      <c r="A20" s="15">
        <v>19</v>
      </c>
      <c r="B20" s="16" t="s">
        <v>47</v>
      </c>
      <c r="C20" s="17">
        <f>VLOOKUP(B:B,Courts!B:C,2,FALSE())</f>
        <v>18</v>
      </c>
      <c r="D20" s="17">
        <f>VLOOKUP(B:B,Courts!B:D,3,FALSE())</f>
        <v>0</v>
      </c>
      <c r="E20" s="15">
        <f>VLOOKUP(B:B,Courts!B:E,4,FALSE())</f>
        <v>0</v>
      </c>
      <c r="F20" s="18">
        <v>68</v>
      </c>
      <c r="G20" s="18">
        <v>0</v>
      </c>
      <c r="H20" s="18">
        <v>16</v>
      </c>
      <c r="I20" s="18">
        <v>0</v>
      </c>
      <c r="J20" s="18">
        <v>42</v>
      </c>
      <c r="K20" s="18">
        <v>3</v>
      </c>
      <c r="L20" s="18">
        <v>2</v>
      </c>
      <c r="M20" s="18">
        <v>0</v>
      </c>
      <c r="N20" s="18">
        <v>18</v>
      </c>
      <c r="O20" s="18">
        <f t="shared" si="0"/>
        <v>65</v>
      </c>
      <c r="P20" s="18">
        <f t="shared" si="6"/>
        <v>144</v>
      </c>
      <c r="Q20" s="18">
        <f t="shared" si="1"/>
        <v>144</v>
      </c>
      <c r="R20" s="18">
        <f t="shared" si="2"/>
        <v>0</v>
      </c>
      <c r="S20" s="18">
        <f t="shared" si="3"/>
        <v>0</v>
      </c>
      <c r="T20" s="18">
        <f t="shared" si="4"/>
        <v>144</v>
      </c>
      <c r="U20" s="18">
        <f t="shared" si="5"/>
        <v>0</v>
      </c>
      <c r="V20">
        <v>0</v>
      </c>
    </row>
    <row r="21" spans="1:22" x14ac:dyDescent="0.25">
      <c r="A21" s="15">
        <v>20</v>
      </c>
      <c r="B21" s="19" t="s">
        <v>48</v>
      </c>
      <c r="C21" s="17">
        <f>VLOOKUP(B:B,Courts!B:C,2,FALSE())</f>
        <v>9</v>
      </c>
      <c r="D21" s="17">
        <f>VLOOKUP(B:B,Courts!B:D,3,FALSE())</f>
        <v>0</v>
      </c>
      <c r="E21" s="15">
        <f>VLOOKUP(B:B,Courts!B:E,4,FALSE())</f>
        <v>1</v>
      </c>
      <c r="F21" s="18">
        <v>28</v>
      </c>
      <c r="G21" s="18">
        <v>0</v>
      </c>
      <c r="H21" s="18">
        <v>9</v>
      </c>
      <c r="I21" s="18">
        <v>0</v>
      </c>
      <c r="J21" s="18">
        <v>36</v>
      </c>
      <c r="K21" s="18">
        <v>2</v>
      </c>
      <c r="L21" s="18">
        <v>1</v>
      </c>
      <c r="M21" s="18">
        <v>4</v>
      </c>
      <c r="N21" s="18">
        <v>7</v>
      </c>
      <c r="O21" s="18">
        <f t="shared" si="0"/>
        <v>50</v>
      </c>
      <c r="P21" s="18">
        <f t="shared" si="6"/>
        <v>84</v>
      </c>
      <c r="Q21" s="18">
        <f t="shared" si="1"/>
        <v>72</v>
      </c>
      <c r="R21" s="18">
        <f t="shared" si="2"/>
        <v>0</v>
      </c>
      <c r="S21" s="18">
        <f t="shared" si="3"/>
        <v>4</v>
      </c>
      <c r="T21" s="18">
        <f t="shared" si="4"/>
        <v>76</v>
      </c>
      <c r="U21" s="18">
        <f t="shared" si="5"/>
        <v>8</v>
      </c>
      <c r="V21">
        <v>0</v>
      </c>
    </row>
    <row r="22" spans="1:22" x14ac:dyDescent="0.25">
      <c r="A22" s="15">
        <v>21</v>
      </c>
      <c r="B22" s="16" t="s">
        <v>49</v>
      </c>
      <c r="C22" s="17">
        <f>VLOOKUP(B:B,Courts!B:C,2,FALSE())</f>
        <v>19</v>
      </c>
      <c r="D22" s="17">
        <f>VLOOKUP(B:B,Courts!B:D,3,FALSE())</f>
        <v>0</v>
      </c>
      <c r="E22" s="15">
        <f>VLOOKUP(B:B,Courts!B:E,4,FALSE())</f>
        <v>0</v>
      </c>
      <c r="F22" s="18">
        <v>72</v>
      </c>
      <c r="G22" s="18">
        <v>0</v>
      </c>
      <c r="H22" s="18">
        <v>16</v>
      </c>
      <c r="I22" s="18">
        <v>0</v>
      </c>
      <c r="J22" s="18">
        <v>29</v>
      </c>
      <c r="K22" s="18">
        <v>3</v>
      </c>
      <c r="L22" s="18">
        <v>2</v>
      </c>
      <c r="M22" s="18">
        <v>0</v>
      </c>
      <c r="N22" s="18">
        <v>19</v>
      </c>
      <c r="O22" s="18">
        <f t="shared" si="0"/>
        <v>53</v>
      </c>
      <c r="P22" s="18">
        <f t="shared" si="6"/>
        <v>136</v>
      </c>
      <c r="Q22" s="18">
        <f t="shared" si="1"/>
        <v>152</v>
      </c>
      <c r="R22" s="18">
        <f t="shared" si="2"/>
        <v>0</v>
      </c>
      <c r="S22" s="18">
        <f t="shared" si="3"/>
        <v>0</v>
      </c>
      <c r="T22" s="18">
        <f t="shared" si="4"/>
        <v>152</v>
      </c>
      <c r="U22" s="18">
        <f t="shared" si="5"/>
        <v>-16</v>
      </c>
      <c r="V22">
        <v>-8</v>
      </c>
    </row>
    <row r="23" spans="1:22" x14ac:dyDescent="0.25">
      <c r="A23" s="15">
        <v>22</v>
      </c>
      <c r="B23" s="19" t="s">
        <v>50</v>
      </c>
      <c r="C23" s="17">
        <f>VLOOKUP(B:B,Courts!B:C,2,FALSE())</f>
        <v>4</v>
      </c>
      <c r="D23" s="17">
        <f>VLOOKUP(B:B,Courts!B:D,3,FALSE())</f>
        <v>0</v>
      </c>
      <c r="E23" s="15">
        <f>VLOOKUP(B:B,Courts!B:E,4,FALSE())</f>
        <v>1</v>
      </c>
      <c r="F23" s="18">
        <v>20</v>
      </c>
      <c r="G23" s="18">
        <v>0</v>
      </c>
      <c r="H23" s="18">
        <v>7</v>
      </c>
      <c r="I23" s="18">
        <v>0</v>
      </c>
      <c r="J23" s="18">
        <v>11</v>
      </c>
      <c r="K23" s="18">
        <v>1</v>
      </c>
      <c r="L23" s="18">
        <v>1</v>
      </c>
      <c r="M23" s="18">
        <v>4</v>
      </c>
      <c r="N23" s="18">
        <v>2</v>
      </c>
      <c r="O23" s="18">
        <f t="shared" si="0"/>
        <v>19</v>
      </c>
      <c r="P23" s="18">
        <f t="shared" si="6"/>
        <v>44</v>
      </c>
      <c r="Q23" s="18">
        <f t="shared" si="1"/>
        <v>32</v>
      </c>
      <c r="R23" s="18">
        <f t="shared" si="2"/>
        <v>0</v>
      </c>
      <c r="S23" s="18">
        <f t="shared" si="3"/>
        <v>4</v>
      </c>
      <c r="T23" s="18">
        <f t="shared" si="4"/>
        <v>36</v>
      </c>
      <c r="U23" s="18">
        <f t="shared" si="5"/>
        <v>8</v>
      </c>
      <c r="V23">
        <v>0</v>
      </c>
    </row>
    <row r="24" spans="1:22" x14ac:dyDescent="0.25">
      <c r="A24" s="15">
        <v>23</v>
      </c>
      <c r="B24" s="19" t="s">
        <v>51</v>
      </c>
      <c r="C24" s="17">
        <f>VLOOKUP(B:B,Courts!B:C,2,FALSE())</f>
        <v>3</v>
      </c>
      <c r="D24" s="17">
        <f>VLOOKUP(B:B,Courts!B:D,3,FALSE())</f>
        <v>0</v>
      </c>
      <c r="E24" s="15">
        <f>VLOOKUP(B:B,Courts!B:E,4,FALSE())</f>
        <v>1</v>
      </c>
      <c r="F24" s="18">
        <v>8</v>
      </c>
      <c r="G24" s="18">
        <v>0</v>
      </c>
      <c r="H24" s="18">
        <v>7</v>
      </c>
      <c r="I24" s="18">
        <v>0</v>
      </c>
      <c r="J24" s="18">
        <v>8</v>
      </c>
      <c r="K24" s="18">
        <v>1</v>
      </c>
      <c r="L24" s="18">
        <v>0</v>
      </c>
      <c r="M24" s="18">
        <v>4</v>
      </c>
      <c r="N24" s="18">
        <v>1</v>
      </c>
      <c r="O24" s="18">
        <f t="shared" si="0"/>
        <v>14</v>
      </c>
      <c r="P24" s="18">
        <f t="shared" si="6"/>
        <v>28</v>
      </c>
      <c r="Q24" s="18">
        <f t="shared" si="1"/>
        <v>24</v>
      </c>
      <c r="R24" s="18">
        <f t="shared" si="2"/>
        <v>0</v>
      </c>
      <c r="S24" s="18">
        <f t="shared" si="3"/>
        <v>4</v>
      </c>
      <c r="T24" s="18">
        <f t="shared" si="4"/>
        <v>28</v>
      </c>
      <c r="U24" s="18">
        <f t="shared" si="5"/>
        <v>0</v>
      </c>
      <c r="V24">
        <v>0</v>
      </c>
    </row>
    <row r="25" spans="1:22" x14ac:dyDescent="0.25">
      <c r="A25" s="15">
        <v>24</v>
      </c>
      <c r="B25" s="19" t="s">
        <v>52</v>
      </c>
      <c r="C25" s="17">
        <f>VLOOKUP(B:B,Courts!B:C,2,FALSE())</f>
        <v>3</v>
      </c>
      <c r="D25" s="17">
        <f>VLOOKUP(B:B,Courts!B:D,3,FALSE())</f>
        <v>0</v>
      </c>
      <c r="E25" s="15">
        <f>VLOOKUP(B:B,Courts!B:E,4,FALSE())</f>
        <v>1</v>
      </c>
      <c r="F25" s="18">
        <v>12</v>
      </c>
      <c r="G25" s="18">
        <v>0</v>
      </c>
      <c r="H25" s="18">
        <v>7</v>
      </c>
      <c r="I25" s="18">
        <v>0</v>
      </c>
      <c r="J25" s="18">
        <v>3</v>
      </c>
      <c r="K25" s="18">
        <v>1</v>
      </c>
      <c r="L25" s="18">
        <v>0</v>
      </c>
      <c r="M25" s="18">
        <v>4</v>
      </c>
      <c r="N25" s="18">
        <v>2</v>
      </c>
      <c r="O25" s="18">
        <f t="shared" si="0"/>
        <v>10</v>
      </c>
      <c r="P25" s="18">
        <f t="shared" si="6"/>
        <v>28</v>
      </c>
      <c r="Q25" s="18">
        <f t="shared" si="1"/>
        <v>24</v>
      </c>
      <c r="R25" s="18">
        <f t="shared" si="2"/>
        <v>0</v>
      </c>
      <c r="S25" s="18">
        <f t="shared" si="3"/>
        <v>4</v>
      </c>
      <c r="T25" s="18">
        <f t="shared" si="4"/>
        <v>28</v>
      </c>
      <c r="U25" s="18">
        <f t="shared" si="5"/>
        <v>0</v>
      </c>
      <c r="V25">
        <v>0</v>
      </c>
    </row>
    <row r="26" spans="1:22" x14ac:dyDescent="0.25">
      <c r="A26" s="15">
        <v>25</v>
      </c>
      <c r="B26" s="16" t="s">
        <v>53</v>
      </c>
      <c r="C26" s="17">
        <f>VLOOKUP(B:B,Courts!B:C,2,FALSE())</f>
        <v>45</v>
      </c>
      <c r="D26" s="17">
        <f>VLOOKUP(B:B,Courts!B:D,3,FALSE())</f>
        <v>0</v>
      </c>
      <c r="E26" s="15">
        <f>VLOOKUP(B:B,Courts!B:E,4,FALSE())</f>
        <v>0</v>
      </c>
      <c r="F26" s="18">
        <v>132</v>
      </c>
      <c r="G26" s="18">
        <v>0</v>
      </c>
      <c r="H26" s="18">
        <v>68</v>
      </c>
      <c r="I26" s="18">
        <v>3</v>
      </c>
      <c r="J26" s="18">
        <v>43</v>
      </c>
      <c r="K26" s="18">
        <v>3</v>
      </c>
      <c r="L26" s="18">
        <v>4</v>
      </c>
      <c r="M26" s="18">
        <v>0</v>
      </c>
      <c r="N26" s="18">
        <v>53</v>
      </c>
      <c r="O26" s="18">
        <f t="shared" si="0"/>
        <v>103</v>
      </c>
      <c r="P26" s="18">
        <f t="shared" si="6"/>
        <v>299</v>
      </c>
      <c r="Q26" s="18">
        <f t="shared" si="1"/>
        <v>360</v>
      </c>
      <c r="R26" s="18">
        <f t="shared" si="2"/>
        <v>0</v>
      </c>
      <c r="S26" s="18">
        <f t="shared" si="3"/>
        <v>0</v>
      </c>
      <c r="T26" s="18">
        <f t="shared" si="4"/>
        <v>360</v>
      </c>
      <c r="U26" s="18">
        <f t="shared" si="5"/>
        <v>-61</v>
      </c>
      <c r="V26">
        <v>-61</v>
      </c>
    </row>
    <row r="27" spans="1:22" x14ac:dyDescent="0.25">
      <c r="A27" s="15">
        <v>26</v>
      </c>
      <c r="B27" s="19" t="s">
        <v>54</v>
      </c>
      <c r="C27" s="17">
        <f>VLOOKUP(B:B,Courts!B:C,2,FALSE())</f>
        <v>3</v>
      </c>
      <c r="D27" s="17">
        <f>VLOOKUP(B:B,Courts!B:D,3,FALSE())</f>
        <v>0</v>
      </c>
      <c r="E27" s="15">
        <f>VLOOKUP(B:B,Courts!B:E,4,FALSE())</f>
        <v>1</v>
      </c>
      <c r="F27" s="18">
        <v>16</v>
      </c>
      <c r="G27" s="18">
        <v>0</v>
      </c>
      <c r="H27" s="18">
        <v>7</v>
      </c>
      <c r="I27" s="18">
        <v>0</v>
      </c>
      <c r="J27" s="18">
        <v>7</v>
      </c>
      <c r="K27" s="18">
        <v>1</v>
      </c>
      <c r="L27" s="18">
        <v>0</v>
      </c>
      <c r="M27" s="18">
        <v>4</v>
      </c>
      <c r="N27" s="18">
        <v>2</v>
      </c>
      <c r="O27" s="18">
        <f t="shared" si="0"/>
        <v>14</v>
      </c>
      <c r="P27" s="18">
        <f t="shared" si="6"/>
        <v>36</v>
      </c>
      <c r="Q27" s="18">
        <f t="shared" si="1"/>
        <v>24</v>
      </c>
      <c r="R27" s="18">
        <f t="shared" si="2"/>
        <v>0</v>
      </c>
      <c r="S27" s="18">
        <f t="shared" si="3"/>
        <v>4</v>
      </c>
      <c r="T27" s="18">
        <f t="shared" si="4"/>
        <v>28</v>
      </c>
      <c r="U27" s="18">
        <f t="shared" si="5"/>
        <v>8</v>
      </c>
      <c r="V27">
        <v>0</v>
      </c>
    </row>
    <row r="28" spans="1:22" x14ac:dyDescent="0.25">
      <c r="A28" s="15">
        <v>27</v>
      </c>
      <c r="B28" s="19" t="s">
        <v>55</v>
      </c>
      <c r="C28" s="17">
        <f>VLOOKUP(B:B,Courts!B:C,2,FALSE())</f>
        <v>5</v>
      </c>
      <c r="D28" s="17">
        <f>VLOOKUP(B:B,Courts!B:D,3,FALSE())</f>
        <v>0</v>
      </c>
      <c r="E28" s="15">
        <f>VLOOKUP(B:B,Courts!B:E,4,FALSE())</f>
        <v>1</v>
      </c>
      <c r="F28" s="18">
        <v>16</v>
      </c>
      <c r="G28" s="18">
        <v>0</v>
      </c>
      <c r="H28" s="18">
        <v>8</v>
      </c>
      <c r="I28" s="18">
        <v>0</v>
      </c>
      <c r="J28" s="18">
        <v>5</v>
      </c>
      <c r="K28" s="18">
        <v>1</v>
      </c>
      <c r="L28" s="18">
        <v>0</v>
      </c>
      <c r="M28" s="18">
        <v>4</v>
      </c>
      <c r="N28" s="18">
        <v>3</v>
      </c>
      <c r="O28" s="18">
        <f t="shared" si="0"/>
        <v>13</v>
      </c>
      <c r="P28" s="18">
        <f t="shared" si="6"/>
        <v>36</v>
      </c>
      <c r="Q28" s="18">
        <f t="shared" si="1"/>
        <v>40</v>
      </c>
      <c r="R28" s="18">
        <f t="shared" si="2"/>
        <v>0</v>
      </c>
      <c r="S28" s="18">
        <f t="shared" si="3"/>
        <v>4</v>
      </c>
      <c r="T28" s="18">
        <f t="shared" si="4"/>
        <v>44</v>
      </c>
      <c r="U28" s="18">
        <f t="shared" si="5"/>
        <v>-8</v>
      </c>
      <c r="V28">
        <v>0</v>
      </c>
    </row>
    <row r="29" spans="1:22" x14ac:dyDescent="0.25">
      <c r="A29" s="15">
        <v>28</v>
      </c>
      <c r="B29" s="16" t="s">
        <v>56</v>
      </c>
      <c r="C29" s="17">
        <f>VLOOKUP(B:B,Courts!B:C,2,FALSE())</f>
        <v>10</v>
      </c>
      <c r="D29" s="17">
        <f>VLOOKUP(B:B,Courts!B:D,3,FALSE())</f>
        <v>0</v>
      </c>
      <c r="E29" s="15">
        <f>VLOOKUP(B:B,Courts!B:E,4,FALSE())</f>
        <v>0</v>
      </c>
      <c r="F29" s="18">
        <v>48</v>
      </c>
      <c r="G29" s="18">
        <v>0</v>
      </c>
      <c r="H29" s="18">
        <v>18</v>
      </c>
      <c r="I29" s="18">
        <v>0</v>
      </c>
      <c r="J29" s="18">
        <v>17</v>
      </c>
      <c r="K29" s="18">
        <v>3</v>
      </c>
      <c r="L29" s="18">
        <v>2</v>
      </c>
      <c r="M29" s="18">
        <v>0</v>
      </c>
      <c r="N29" s="18">
        <v>13</v>
      </c>
      <c r="O29" s="18">
        <f t="shared" si="0"/>
        <v>35</v>
      </c>
      <c r="P29" s="18">
        <f t="shared" si="6"/>
        <v>96</v>
      </c>
      <c r="Q29" s="18">
        <f t="shared" si="1"/>
        <v>80</v>
      </c>
      <c r="R29" s="18">
        <f t="shared" si="2"/>
        <v>0</v>
      </c>
      <c r="S29" s="18">
        <f t="shared" si="3"/>
        <v>0</v>
      </c>
      <c r="T29" s="18">
        <f t="shared" si="4"/>
        <v>80</v>
      </c>
      <c r="U29" s="18">
        <f t="shared" si="5"/>
        <v>16</v>
      </c>
      <c r="V29">
        <v>0</v>
      </c>
    </row>
    <row r="30" spans="1:22" x14ac:dyDescent="0.25">
      <c r="A30" s="15">
        <v>29</v>
      </c>
      <c r="B30" s="19" t="s">
        <v>57</v>
      </c>
      <c r="C30" s="17">
        <f>VLOOKUP(B:B,Courts!B:C,2,FALSE())</f>
        <v>4</v>
      </c>
      <c r="D30" s="17">
        <f>VLOOKUP(B:B,Courts!B:D,3,FALSE())</f>
        <v>0</v>
      </c>
      <c r="E30" s="15">
        <f>VLOOKUP(B:B,Courts!B:E,4,FALSE())</f>
        <v>1</v>
      </c>
      <c r="F30" s="18">
        <v>16</v>
      </c>
      <c r="G30" s="18">
        <v>0</v>
      </c>
      <c r="H30" s="18">
        <v>3</v>
      </c>
      <c r="I30" s="18">
        <v>0</v>
      </c>
      <c r="J30" s="18">
        <v>2</v>
      </c>
      <c r="K30" s="18">
        <v>2</v>
      </c>
      <c r="L30" s="18">
        <v>0</v>
      </c>
      <c r="M30" s="18">
        <v>4</v>
      </c>
      <c r="N30" s="18">
        <v>3</v>
      </c>
      <c r="O30" s="18">
        <f t="shared" si="0"/>
        <v>11</v>
      </c>
      <c r="P30" s="18">
        <f t="shared" si="6"/>
        <v>28</v>
      </c>
      <c r="Q30" s="18">
        <f t="shared" si="1"/>
        <v>32</v>
      </c>
      <c r="R30" s="18">
        <f t="shared" si="2"/>
        <v>0</v>
      </c>
      <c r="S30" s="18">
        <f t="shared" si="3"/>
        <v>4</v>
      </c>
      <c r="T30" s="18">
        <f t="shared" si="4"/>
        <v>36</v>
      </c>
      <c r="U30" s="18">
        <f t="shared" si="5"/>
        <v>-8</v>
      </c>
      <c r="V30">
        <v>0</v>
      </c>
    </row>
    <row r="31" spans="1:22" x14ac:dyDescent="0.25">
      <c r="A31" s="15">
        <v>30</v>
      </c>
      <c r="B31" s="19" t="s">
        <v>58</v>
      </c>
      <c r="C31" s="17">
        <f>VLOOKUP(B:B,Courts!B:C,2,FALSE())</f>
        <v>3</v>
      </c>
      <c r="D31" s="17">
        <f>VLOOKUP(B:B,Courts!B:D,3,FALSE())</f>
        <v>0</v>
      </c>
      <c r="E31" s="15">
        <f>VLOOKUP(B:B,Courts!B:E,4,FALSE())</f>
        <v>1</v>
      </c>
      <c r="F31" s="18">
        <v>8</v>
      </c>
      <c r="G31" s="18">
        <v>0</v>
      </c>
      <c r="H31" s="18">
        <v>1</v>
      </c>
      <c r="I31" s="18">
        <v>0</v>
      </c>
      <c r="J31" s="18">
        <v>6</v>
      </c>
      <c r="K31" s="18">
        <v>1</v>
      </c>
      <c r="L31" s="18">
        <v>0</v>
      </c>
      <c r="M31" s="18">
        <v>4</v>
      </c>
      <c r="N31" s="18">
        <v>1</v>
      </c>
      <c r="O31" s="18">
        <f t="shared" si="0"/>
        <v>12</v>
      </c>
      <c r="P31" s="18">
        <f t="shared" si="6"/>
        <v>20</v>
      </c>
      <c r="Q31" s="18">
        <f t="shared" si="1"/>
        <v>24</v>
      </c>
      <c r="R31" s="18">
        <f t="shared" si="2"/>
        <v>0</v>
      </c>
      <c r="S31" s="18">
        <f t="shared" si="3"/>
        <v>4</v>
      </c>
      <c r="T31" s="18">
        <f t="shared" si="4"/>
        <v>28</v>
      </c>
      <c r="U31" s="18">
        <f t="shared" si="5"/>
        <v>-8</v>
      </c>
      <c r="V31">
        <v>0</v>
      </c>
    </row>
    <row r="32" spans="1:22" x14ac:dyDescent="0.25">
      <c r="A32" s="15">
        <v>31</v>
      </c>
      <c r="B32" s="19" t="s">
        <v>59</v>
      </c>
      <c r="C32" s="17">
        <f>VLOOKUP(B:B,Courts!B:C,2,FALSE())</f>
        <v>1</v>
      </c>
      <c r="D32" s="17">
        <f>VLOOKUP(B:B,Courts!B:D,3,FALSE())</f>
        <v>0</v>
      </c>
      <c r="E32" s="15">
        <f>VLOOKUP(B:B,Courts!B:E,4,FALSE())</f>
        <v>1</v>
      </c>
      <c r="F32" s="18">
        <v>0</v>
      </c>
      <c r="G32" s="18">
        <v>0</v>
      </c>
      <c r="H32" s="18">
        <v>10</v>
      </c>
      <c r="I32" s="18">
        <v>0</v>
      </c>
      <c r="J32" s="18">
        <v>0</v>
      </c>
      <c r="K32" s="18">
        <v>1</v>
      </c>
      <c r="L32" s="18">
        <v>0</v>
      </c>
      <c r="M32" s="18">
        <v>4</v>
      </c>
      <c r="N32" s="18">
        <v>0</v>
      </c>
      <c r="O32" s="18">
        <f t="shared" si="0"/>
        <v>5</v>
      </c>
      <c r="P32" s="18">
        <f t="shared" si="6"/>
        <v>14</v>
      </c>
      <c r="Q32" s="18">
        <f t="shared" si="1"/>
        <v>8</v>
      </c>
      <c r="R32" s="18">
        <f t="shared" si="2"/>
        <v>0</v>
      </c>
      <c r="S32" s="18">
        <f t="shared" si="3"/>
        <v>4</v>
      </c>
      <c r="T32" s="18">
        <f t="shared" si="4"/>
        <v>12</v>
      </c>
      <c r="U32" s="18">
        <f t="shared" si="5"/>
        <v>2</v>
      </c>
      <c r="V32">
        <v>0</v>
      </c>
    </row>
    <row r="33" spans="1:22" x14ac:dyDescent="0.25">
      <c r="A33" s="15">
        <v>32</v>
      </c>
      <c r="B33" s="16" t="s">
        <v>60</v>
      </c>
      <c r="C33" s="17">
        <f>VLOOKUP(B:B,Courts!B:C,2,FALSE())</f>
        <v>73</v>
      </c>
      <c r="D33" s="17">
        <f>VLOOKUP(B:B,Courts!B:D,3,FALSE())</f>
        <v>0</v>
      </c>
      <c r="E33" s="15">
        <f>VLOOKUP(B:B,Courts!B:E,4,FALSE())</f>
        <v>0</v>
      </c>
      <c r="F33" s="18">
        <v>224</v>
      </c>
      <c r="G33" s="18">
        <v>0</v>
      </c>
      <c r="H33" s="18">
        <v>71</v>
      </c>
      <c r="I33" s="18">
        <v>3</v>
      </c>
      <c r="J33" s="18">
        <v>199</v>
      </c>
      <c r="K33" s="18">
        <v>5</v>
      </c>
      <c r="L33" s="18">
        <v>7</v>
      </c>
      <c r="M33" s="18">
        <v>0</v>
      </c>
      <c r="N33" s="18">
        <v>55</v>
      </c>
      <c r="O33" s="18">
        <f t="shared" si="0"/>
        <v>266</v>
      </c>
      <c r="P33" s="18">
        <f t="shared" si="6"/>
        <v>552</v>
      </c>
      <c r="Q33" s="18">
        <f t="shared" si="1"/>
        <v>584</v>
      </c>
      <c r="R33" s="18">
        <f t="shared" si="2"/>
        <v>0</v>
      </c>
      <c r="S33" s="18">
        <f t="shared" si="3"/>
        <v>0</v>
      </c>
      <c r="T33" s="18">
        <f t="shared" si="4"/>
        <v>584</v>
      </c>
      <c r="U33" s="18">
        <f t="shared" si="5"/>
        <v>-32</v>
      </c>
      <c r="V33">
        <v>-32</v>
      </c>
    </row>
    <row r="34" spans="1:22" x14ac:dyDescent="0.25">
      <c r="A34" s="15">
        <v>33</v>
      </c>
      <c r="B34" s="19" t="s">
        <v>61</v>
      </c>
      <c r="C34" s="17">
        <f>VLOOKUP(B:B,Courts!B:C,2,FALSE())</f>
        <v>3</v>
      </c>
      <c r="D34" s="17">
        <f>VLOOKUP(B:B,Courts!B:D,3,FALSE())</f>
        <v>0</v>
      </c>
      <c r="E34" s="15">
        <f>VLOOKUP(B:B,Courts!B:E,4,FALSE())</f>
        <v>1</v>
      </c>
      <c r="F34" s="18">
        <v>8</v>
      </c>
      <c r="G34" s="18">
        <v>0</v>
      </c>
      <c r="H34" s="18">
        <v>12</v>
      </c>
      <c r="I34" s="18">
        <v>0</v>
      </c>
      <c r="J34" s="18">
        <v>4</v>
      </c>
      <c r="K34" s="18">
        <v>2</v>
      </c>
      <c r="L34" s="18">
        <v>0</v>
      </c>
      <c r="M34" s="18">
        <v>4</v>
      </c>
      <c r="N34" s="18">
        <v>0</v>
      </c>
      <c r="O34" s="18">
        <f t="shared" ref="O34:O65" si="7">SUM(J34:N34)</f>
        <v>10</v>
      </c>
      <c r="P34" s="18">
        <f t="shared" si="6"/>
        <v>28</v>
      </c>
      <c r="Q34" s="18">
        <f t="shared" ref="Q34:Q65" si="8">C34*8</f>
        <v>24</v>
      </c>
      <c r="R34" s="18">
        <f t="shared" ref="R34:R65" si="9">D34*8</f>
        <v>0</v>
      </c>
      <c r="S34" s="18">
        <f t="shared" ref="S34:S65" si="10">E34*4</f>
        <v>4</v>
      </c>
      <c r="T34" s="18">
        <f t="shared" ref="T34:T65" si="11">SUM(Q34:S34)</f>
        <v>28</v>
      </c>
      <c r="U34" s="18">
        <f t="shared" ref="U34:U65" si="12">P34-T34</f>
        <v>0</v>
      </c>
      <c r="V34">
        <v>0</v>
      </c>
    </row>
    <row r="35" spans="1:22" x14ac:dyDescent="0.25">
      <c r="A35" s="15">
        <v>34</v>
      </c>
      <c r="B35" s="19" t="s">
        <v>62</v>
      </c>
      <c r="C35" s="17">
        <f>VLOOKUP(B:B,Courts!B:C,2,FALSE())</f>
        <v>4</v>
      </c>
      <c r="D35" s="17">
        <f>VLOOKUP(B:B,Courts!B:D,3,FALSE())</f>
        <v>0</v>
      </c>
      <c r="E35" s="15">
        <f>VLOOKUP(B:B,Courts!B:E,4,FALSE())</f>
        <v>1</v>
      </c>
      <c r="F35" s="18">
        <v>12</v>
      </c>
      <c r="G35" s="18">
        <v>0</v>
      </c>
      <c r="H35" s="18">
        <v>13</v>
      </c>
      <c r="I35" s="18">
        <v>0</v>
      </c>
      <c r="J35" s="18">
        <v>0</v>
      </c>
      <c r="K35" s="18">
        <v>2</v>
      </c>
      <c r="L35" s="18">
        <v>0</v>
      </c>
      <c r="M35" s="18">
        <v>4</v>
      </c>
      <c r="N35" s="18">
        <v>0</v>
      </c>
      <c r="O35" s="18">
        <f t="shared" si="7"/>
        <v>6</v>
      </c>
      <c r="P35" s="18">
        <f t="shared" si="6"/>
        <v>29</v>
      </c>
      <c r="Q35" s="18">
        <f t="shared" si="8"/>
        <v>32</v>
      </c>
      <c r="R35" s="18">
        <f t="shared" si="9"/>
        <v>0</v>
      </c>
      <c r="S35" s="18">
        <f t="shared" si="10"/>
        <v>4</v>
      </c>
      <c r="T35" s="18">
        <f t="shared" si="11"/>
        <v>36</v>
      </c>
      <c r="U35" s="18">
        <f t="shared" si="12"/>
        <v>-7</v>
      </c>
      <c r="V35">
        <v>-7</v>
      </c>
    </row>
    <row r="36" spans="1:22" x14ac:dyDescent="0.25">
      <c r="A36" s="15">
        <v>35</v>
      </c>
      <c r="B36" s="19" t="s">
        <v>63</v>
      </c>
      <c r="C36" s="17">
        <f>VLOOKUP(B:B,Courts!B:C,2,FALSE())</f>
        <v>6</v>
      </c>
      <c r="D36" s="17">
        <f>VLOOKUP(B:B,Courts!B:D,3,FALSE())</f>
        <v>0</v>
      </c>
      <c r="E36" s="15">
        <f>VLOOKUP(B:B,Courts!B:E,4,FALSE())</f>
        <v>1</v>
      </c>
      <c r="F36" s="18">
        <v>20</v>
      </c>
      <c r="G36" s="18">
        <v>0</v>
      </c>
      <c r="H36" s="18">
        <v>9</v>
      </c>
      <c r="I36" s="18">
        <v>0</v>
      </c>
      <c r="J36" s="18">
        <v>1</v>
      </c>
      <c r="K36" s="18">
        <v>2</v>
      </c>
      <c r="L36" s="18">
        <v>0</v>
      </c>
      <c r="M36" s="18">
        <v>4</v>
      </c>
      <c r="N36" s="18">
        <v>2</v>
      </c>
      <c r="O36" s="18">
        <f t="shared" si="7"/>
        <v>9</v>
      </c>
      <c r="P36" s="18">
        <f t="shared" si="6"/>
        <v>36</v>
      </c>
      <c r="Q36" s="18">
        <f t="shared" si="8"/>
        <v>48</v>
      </c>
      <c r="R36" s="18">
        <f t="shared" si="9"/>
        <v>0</v>
      </c>
      <c r="S36" s="18">
        <f t="shared" si="10"/>
        <v>4</v>
      </c>
      <c r="T36" s="18">
        <f t="shared" si="11"/>
        <v>52</v>
      </c>
      <c r="U36" s="18">
        <f t="shared" si="12"/>
        <v>-16</v>
      </c>
      <c r="V36">
        <v>-16</v>
      </c>
    </row>
    <row r="37" spans="1:22" x14ac:dyDescent="0.25">
      <c r="A37" s="15">
        <v>36</v>
      </c>
      <c r="B37" s="19" t="s">
        <v>64</v>
      </c>
      <c r="C37" s="17">
        <f>VLOOKUP(B:B,Courts!B:C,2,FALSE())</f>
        <v>3</v>
      </c>
      <c r="D37" s="17">
        <f>VLOOKUP(B:B,Courts!B:D,3,FALSE())</f>
        <v>0</v>
      </c>
      <c r="E37" s="15">
        <f>VLOOKUP(B:B,Courts!B:E,4,FALSE())</f>
        <v>1</v>
      </c>
      <c r="F37" s="18">
        <v>12</v>
      </c>
      <c r="G37" s="18">
        <v>0</v>
      </c>
      <c r="H37" s="18">
        <v>1</v>
      </c>
      <c r="I37" s="18">
        <v>0</v>
      </c>
      <c r="J37" s="18">
        <v>2</v>
      </c>
      <c r="K37" s="18">
        <v>2</v>
      </c>
      <c r="L37" s="18">
        <v>0</v>
      </c>
      <c r="M37" s="18">
        <v>4</v>
      </c>
      <c r="N37" s="18">
        <v>1</v>
      </c>
      <c r="O37" s="18">
        <f t="shared" si="7"/>
        <v>9</v>
      </c>
      <c r="P37" s="18">
        <f t="shared" si="6"/>
        <v>20</v>
      </c>
      <c r="Q37" s="18">
        <f t="shared" si="8"/>
        <v>24</v>
      </c>
      <c r="R37" s="18">
        <f t="shared" si="9"/>
        <v>0</v>
      </c>
      <c r="S37" s="18">
        <f t="shared" si="10"/>
        <v>4</v>
      </c>
      <c r="T37" s="18">
        <f t="shared" si="11"/>
        <v>28</v>
      </c>
      <c r="U37" s="18">
        <f t="shared" si="12"/>
        <v>-8</v>
      </c>
      <c r="V37">
        <v>-8</v>
      </c>
    </row>
    <row r="38" spans="1:22" x14ac:dyDescent="0.25">
      <c r="A38" s="15">
        <v>37</v>
      </c>
      <c r="B38" s="16" t="s">
        <v>65</v>
      </c>
      <c r="C38" s="17">
        <f>VLOOKUP(B:B,Courts!B:C,2,FALSE())</f>
        <v>10</v>
      </c>
      <c r="D38" s="17">
        <f>VLOOKUP(B:B,Courts!B:D,3,FALSE())</f>
        <v>0</v>
      </c>
      <c r="E38" s="15">
        <f>VLOOKUP(B:B,Courts!B:E,4,FALSE())</f>
        <v>0</v>
      </c>
      <c r="F38" s="18">
        <v>32</v>
      </c>
      <c r="G38" s="18">
        <v>0</v>
      </c>
      <c r="H38" s="18">
        <v>11</v>
      </c>
      <c r="I38" s="18">
        <v>0</v>
      </c>
      <c r="J38" s="18">
        <v>12</v>
      </c>
      <c r="K38" s="18">
        <v>2</v>
      </c>
      <c r="L38" s="18">
        <v>1</v>
      </c>
      <c r="M38" s="18">
        <v>0</v>
      </c>
      <c r="N38" s="18">
        <v>9</v>
      </c>
      <c r="O38" s="18">
        <f t="shared" si="7"/>
        <v>24</v>
      </c>
      <c r="P38" s="18">
        <f t="shared" si="6"/>
        <v>64</v>
      </c>
      <c r="Q38" s="18">
        <f t="shared" si="8"/>
        <v>80</v>
      </c>
      <c r="R38" s="18">
        <f t="shared" si="9"/>
        <v>0</v>
      </c>
      <c r="S38" s="18">
        <f t="shared" si="10"/>
        <v>0</v>
      </c>
      <c r="T38" s="18">
        <f t="shared" si="11"/>
        <v>80</v>
      </c>
      <c r="U38" s="18">
        <f t="shared" si="12"/>
        <v>-16</v>
      </c>
      <c r="V38">
        <v>-16</v>
      </c>
    </row>
    <row r="39" spans="1:22" x14ac:dyDescent="0.25">
      <c r="A39" s="15">
        <v>38</v>
      </c>
      <c r="B39" s="19" t="s">
        <v>66</v>
      </c>
      <c r="C39" s="17">
        <f>VLOOKUP(B:B,Courts!B:C,2,FALSE())</f>
        <v>2</v>
      </c>
      <c r="D39" s="17">
        <f>VLOOKUP(B:B,Courts!B:D,3,FALSE())</f>
        <v>0</v>
      </c>
      <c r="E39" s="15">
        <f>VLOOKUP(B:B,Courts!B:E,4,FALSE())</f>
        <v>1</v>
      </c>
      <c r="F39" s="18">
        <v>4</v>
      </c>
      <c r="G39" s="18">
        <v>0</v>
      </c>
      <c r="H39" s="18">
        <v>6</v>
      </c>
      <c r="I39" s="18">
        <v>0</v>
      </c>
      <c r="J39" s="18">
        <v>4</v>
      </c>
      <c r="K39" s="18">
        <v>1</v>
      </c>
      <c r="L39" s="18">
        <v>0</v>
      </c>
      <c r="M39" s="18">
        <v>4</v>
      </c>
      <c r="N39" s="18">
        <v>2</v>
      </c>
      <c r="O39" s="18">
        <f t="shared" si="7"/>
        <v>11</v>
      </c>
      <c r="P39" s="18">
        <f t="shared" si="6"/>
        <v>20</v>
      </c>
      <c r="Q39" s="18">
        <f t="shared" si="8"/>
        <v>16</v>
      </c>
      <c r="R39" s="18">
        <f t="shared" si="9"/>
        <v>0</v>
      </c>
      <c r="S39" s="18">
        <f t="shared" si="10"/>
        <v>4</v>
      </c>
      <c r="T39" s="18">
        <f t="shared" si="11"/>
        <v>20</v>
      </c>
      <c r="U39" s="18">
        <f t="shared" si="12"/>
        <v>0</v>
      </c>
      <c r="V39">
        <v>0</v>
      </c>
    </row>
    <row r="40" spans="1:22" x14ac:dyDescent="0.25">
      <c r="A40" s="15">
        <v>39</v>
      </c>
      <c r="B40" s="19" t="s">
        <v>67</v>
      </c>
      <c r="C40" s="17">
        <f>VLOOKUP(B:B,Courts!B:C,2,FALSE())</f>
        <v>3</v>
      </c>
      <c r="D40" s="17">
        <f>VLOOKUP(B:B,Courts!B:D,3,FALSE())</f>
        <v>0</v>
      </c>
      <c r="E40" s="15">
        <f>VLOOKUP(B:B,Courts!B:E,4,FALSE())</f>
        <v>1</v>
      </c>
      <c r="F40" s="18">
        <v>8</v>
      </c>
      <c r="G40" s="18">
        <v>0</v>
      </c>
      <c r="H40" s="18">
        <v>1</v>
      </c>
      <c r="I40" s="18">
        <v>0</v>
      </c>
      <c r="J40" s="18">
        <v>4</v>
      </c>
      <c r="K40" s="18">
        <v>1</v>
      </c>
      <c r="L40" s="18">
        <v>0</v>
      </c>
      <c r="M40" s="18">
        <v>4</v>
      </c>
      <c r="N40" s="18">
        <v>3</v>
      </c>
      <c r="O40" s="18">
        <f t="shared" si="7"/>
        <v>12</v>
      </c>
      <c r="P40" s="18">
        <f t="shared" si="6"/>
        <v>20</v>
      </c>
      <c r="Q40" s="18">
        <f t="shared" si="8"/>
        <v>24</v>
      </c>
      <c r="R40" s="18">
        <f t="shared" si="9"/>
        <v>0</v>
      </c>
      <c r="S40" s="18">
        <f t="shared" si="10"/>
        <v>4</v>
      </c>
      <c r="T40" s="18">
        <f t="shared" si="11"/>
        <v>28</v>
      </c>
      <c r="U40" s="18">
        <f t="shared" si="12"/>
        <v>-8</v>
      </c>
      <c r="V40">
        <v>-8</v>
      </c>
    </row>
    <row r="41" spans="1:22" x14ac:dyDescent="0.25">
      <c r="A41" s="15">
        <v>40</v>
      </c>
      <c r="B41" s="16" t="s">
        <v>68</v>
      </c>
      <c r="C41" s="17">
        <f>VLOOKUP(B:B,Courts!B:C,2,FALSE())</f>
        <v>15</v>
      </c>
      <c r="D41" s="17">
        <f>VLOOKUP(B:B,Courts!B:D,3,FALSE())</f>
        <v>0</v>
      </c>
      <c r="E41" s="15">
        <f>VLOOKUP(B:B,Courts!B:E,4,FALSE())</f>
        <v>0</v>
      </c>
      <c r="F41" s="18">
        <v>44</v>
      </c>
      <c r="G41" s="18">
        <v>0</v>
      </c>
      <c r="H41" s="18">
        <v>15</v>
      </c>
      <c r="I41" s="18">
        <v>0</v>
      </c>
      <c r="J41" s="18">
        <v>24</v>
      </c>
      <c r="K41" s="18">
        <v>2</v>
      </c>
      <c r="L41" s="18">
        <v>2</v>
      </c>
      <c r="M41" s="18">
        <v>0</v>
      </c>
      <c r="N41" s="18">
        <v>13</v>
      </c>
      <c r="O41" s="18">
        <f t="shared" si="7"/>
        <v>41</v>
      </c>
      <c r="P41" s="18">
        <f t="shared" si="6"/>
        <v>96</v>
      </c>
      <c r="Q41" s="18">
        <f t="shared" si="8"/>
        <v>120</v>
      </c>
      <c r="R41" s="18">
        <f t="shared" si="9"/>
        <v>0</v>
      </c>
      <c r="S41" s="18">
        <f t="shared" si="10"/>
        <v>0</v>
      </c>
      <c r="T41" s="18">
        <f t="shared" si="11"/>
        <v>120</v>
      </c>
      <c r="U41" s="18">
        <f t="shared" si="12"/>
        <v>-24</v>
      </c>
      <c r="V41">
        <v>-24</v>
      </c>
    </row>
    <row r="42" spans="1:22" x14ac:dyDescent="0.25">
      <c r="A42" s="15">
        <v>41</v>
      </c>
      <c r="B42" s="19" t="s">
        <v>69</v>
      </c>
      <c r="C42" s="17">
        <f>VLOOKUP(B:B,Courts!B:C,2,FALSE())</f>
        <v>2</v>
      </c>
      <c r="D42" s="17">
        <f>VLOOKUP(B:B,Courts!B:D,3,FALSE())</f>
        <v>0</v>
      </c>
      <c r="E42" s="15">
        <f>VLOOKUP(B:B,Courts!B:E,4,FALSE())</f>
        <v>1</v>
      </c>
      <c r="F42" s="18">
        <v>4</v>
      </c>
      <c r="G42" s="18">
        <v>0</v>
      </c>
      <c r="H42" s="18">
        <v>1</v>
      </c>
      <c r="I42" s="18">
        <v>0</v>
      </c>
      <c r="J42" s="18">
        <v>0</v>
      </c>
      <c r="K42" s="18">
        <v>1</v>
      </c>
      <c r="L42" s="18">
        <v>0</v>
      </c>
      <c r="M42" s="18">
        <v>4</v>
      </c>
      <c r="N42" s="18">
        <v>4</v>
      </c>
      <c r="O42" s="18">
        <f t="shared" si="7"/>
        <v>9</v>
      </c>
      <c r="P42" s="18">
        <f t="shared" si="6"/>
        <v>13</v>
      </c>
      <c r="Q42" s="18">
        <f t="shared" si="8"/>
        <v>16</v>
      </c>
      <c r="R42" s="18">
        <f t="shared" si="9"/>
        <v>0</v>
      </c>
      <c r="S42" s="18">
        <f t="shared" si="10"/>
        <v>4</v>
      </c>
      <c r="T42" s="18">
        <f t="shared" si="11"/>
        <v>20</v>
      </c>
      <c r="U42" s="18">
        <f t="shared" si="12"/>
        <v>-7</v>
      </c>
      <c r="V42">
        <v>-7</v>
      </c>
    </row>
    <row r="43" spans="1:22" x14ac:dyDescent="0.25">
      <c r="A43" s="15">
        <v>42</v>
      </c>
      <c r="B43" s="19" t="s">
        <v>70</v>
      </c>
      <c r="C43" s="17">
        <f>VLOOKUP(B:B,Courts!B:C,2,FALSE())</f>
        <v>2</v>
      </c>
      <c r="D43" s="17">
        <f>VLOOKUP(B:B,Courts!B:D,3,FALSE())</f>
        <v>0</v>
      </c>
      <c r="E43" s="15">
        <f>VLOOKUP(B:B,Courts!B:E,4,FALSE())</f>
        <v>1</v>
      </c>
      <c r="F43" s="18">
        <v>8</v>
      </c>
      <c r="G43" s="18">
        <v>0</v>
      </c>
      <c r="H43" s="18">
        <v>1</v>
      </c>
      <c r="I43" s="18">
        <v>0</v>
      </c>
      <c r="J43" s="18">
        <v>7</v>
      </c>
      <c r="K43" s="18">
        <v>1</v>
      </c>
      <c r="L43" s="18">
        <v>0</v>
      </c>
      <c r="M43" s="18">
        <v>4</v>
      </c>
      <c r="N43" s="18">
        <v>0</v>
      </c>
      <c r="O43" s="18">
        <f t="shared" si="7"/>
        <v>12</v>
      </c>
      <c r="P43" s="18">
        <f t="shared" si="6"/>
        <v>20</v>
      </c>
      <c r="Q43" s="18">
        <f t="shared" si="8"/>
        <v>16</v>
      </c>
      <c r="R43" s="18">
        <f t="shared" si="9"/>
        <v>0</v>
      </c>
      <c r="S43" s="18">
        <f t="shared" si="10"/>
        <v>4</v>
      </c>
      <c r="T43" s="18">
        <f t="shared" si="11"/>
        <v>20</v>
      </c>
      <c r="U43" s="18">
        <f t="shared" si="12"/>
        <v>0</v>
      </c>
      <c r="V43">
        <v>0</v>
      </c>
    </row>
    <row r="44" spans="1:22" x14ac:dyDescent="0.25">
      <c r="A44" s="15">
        <v>43</v>
      </c>
      <c r="B44" s="19" t="s">
        <v>71</v>
      </c>
      <c r="C44" s="17">
        <f>VLOOKUP(B:B,Courts!B:C,2,FALSE())</f>
        <v>0</v>
      </c>
      <c r="D44" s="17">
        <f>VLOOKUP(B:B,Courts!B:D,3,FALSE())</f>
        <v>0</v>
      </c>
      <c r="E44" s="15">
        <f>VLOOKUP(B:B,Courts!B:E,4,FALSE())</f>
        <v>1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4</v>
      </c>
      <c r="N44" s="18">
        <v>0</v>
      </c>
      <c r="O44" s="18">
        <f t="shared" si="7"/>
        <v>4</v>
      </c>
      <c r="P44" s="18">
        <f t="shared" si="6"/>
        <v>4</v>
      </c>
      <c r="Q44" s="18">
        <f t="shared" si="8"/>
        <v>0</v>
      </c>
      <c r="R44" s="18">
        <f t="shared" si="9"/>
        <v>0</v>
      </c>
      <c r="S44" s="18">
        <f t="shared" si="10"/>
        <v>4</v>
      </c>
      <c r="T44" s="18">
        <f t="shared" si="11"/>
        <v>4</v>
      </c>
      <c r="U44" s="18">
        <f t="shared" si="12"/>
        <v>0</v>
      </c>
      <c r="V44">
        <v>0</v>
      </c>
    </row>
    <row r="45" spans="1:22" x14ac:dyDescent="0.25">
      <c r="A45" s="15">
        <v>44</v>
      </c>
      <c r="B45" s="16" t="s">
        <v>72</v>
      </c>
      <c r="C45" s="17">
        <f>VLOOKUP(B:B,Courts!B:C,2,FALSE())</f>
        <v>13</v>
      </c>
      <c r="D45" s="17">
        <f>VLOOKUP(B:B,Courts!B:D,3,FALSE())</f>
        <v>0</v>
      </c>
      <c r="E45" s="15">
        <f>VLOOKUP(B:B,Courts!B:E,4,FALSE())</f>
        <v>0</v>
      </c>
      <c r="F45" s="18">
        <v>36</v>
      </c>
      <c r="G45" s="18">
        <v>0</v>
      </c>
      <c r="H45" s="18">
        <v>17</v>
      </c>
      <c r="I45" s="18">
        <v>0</v>
      </c>
      <c r="J45" s="18">
        <v>2</v>
      </c>
      <c r="K45" s="18">
        <v>3</v>
      </c>
      <c r="L45" s="18">
        <v>1</v>
      </c>
      <c r="M45" s="18">
        <v>0</v>
      </c>
      <c r="N45" s="18">
        <v>17</v>
      </c>
      <c r="O45" s="18">
        <f t="shared" si="7"/>
        <v>23</v>
      </c>
      <c r="P45" s="18">
        <f t="shared" si="6"/>
        <v>72</v>
      </c>
      <c r="Q45" s="18">
        <f t="shared" si="8"/>
        <v>104</v>
      </c>
      <c r="R45" s="18">
        <f t="shared" si="9"/>
        <v>0</v>
      </c>
      <c r="S45" s="18">
        <f t="shared" si="10"/>
        <v>0</v>
      </c>
      <c r="T45" s="18">
        <f t="shared" si="11"/>
        <v>104</v>
      </c>
      <c r="U45" s="18">
        <f t="shared" si="12"/>
        <v>-32</v>
      </c>
      <c r="V45">
        <v>-32</v>
      </c>
    </row>
    <row r="46" spans="1:22" x14ac:dyDescent="0.25">
      <c r="A46" s="15">
        <v>45</v>
      </c>
      <c r="B46" s="16" t="s">
        <v>73</v>
      </c>
      <c r="C46" s="17">
        <f>VLOOKUP(B:B,Courts!B:C,2,FALSE())</f>
        <v>35</v>
      </c>
      <c r="D46" s="17">
        <f>VLOOKUP(B:B,Courts!B:D,3,FALSE())</f>
        <v>0</v>
      </c>
      <c r="E46" s="15">
        <f>VLOOKUP(B:B,Courts!B:E,4,FALSE())</f>
        <v>0</v>
      </c>
      <c r="F46" s="18">
        <v>100</v>
      </c>
      <c r="G46" s="18">
        <v>0</v>
      </c>
      <c r="H46" s="18">
        <v>40</v>
      </c>
      <c r="I46" s="18">
        <v>3</v>
      </c>
      <c r="J46" s="18">
        <v>37</v>
      </c>
      <c r="K46" s="18">
        <v>3</v>
      </c>
      <c r="L46" s="18">
        <v>3</v>
      </c>
      <c r="M46" s="18">
        <v>0</v>
      </c>
      <c r="N46" s="18">
        <v>23</v>
      </c>
      <c r="O46" s="18">
        <f t="shared" si="7"/>
        <v>66</v>
      </c>
      <c r="P46" s="18">
        <f t="shared" si="6"/>
        <v>203</v>
      </c>
      <c r="Q46" s="18">
        <f t="shared" si="8"/>
        <v>280</v>
      </c>
      <c r="R46" s="18">
        <f t="shared" si="9"/>
        <v>0</v>
      </c>
      <c r="S46" s="18">
        <f t="shared" si="10"/>
        <v>0</v>
      </c>
      <c r="T46" s="18">
        <f t="shared" si="11"/>
        <v>280</v>
      </c>
      <c r="U46" s="18">
        <f t="shared" si="12"/>
        <v>-77</v>
      </c>
      <c r="V46">
        <v>-77</v>
      </c>
    </row>
    <row r="47" spans="1:22" x14ac:dyDescent="0.25">
      <c r="A47" s="15">
        <v>46</v>
      </c>
      <c r="B47" s="19" t="s">
        <v>74</v>
      </c>
      <c r="C47" s="17">
        <f>VLOOKUP(B:B,Courts!B:C,2,FALSE())</f>
        <v>5</v>
      </c>
      <c r="D47" s="17">
        <f>VLOOKUP(B:B,Courts!B:D,3,FALSE())</f>
        <v>0</v>
      </c>
      <c r="E47" s="15">
        <f>VLOOKUP(B:B,Courts!B:E,4,FALSE())</f>
        <v>1</v>
      </c>
      <c r="F47" s="18">
        <v>12</v>
      </c>
      <c r="G47" s="18">
        <v>0</v>
      </c>
      <c r="H47" s="18">
        <v>13</v>
      </c>
      <c r="I47" s="18">
        <v>0</v>
      </c>
      <c r="J47" s="18">
        <v>3</v>
      </c>
      <c r="K47" s="18">
        <v>1</v>
      </c>
      <c r="L47" s="18">
        <v>0</v>
      </c>
      <c r="M47" s="18">
        <v>4</v>
      </c>
      <c r="N47" s="18">
        <v>4</v>
      </c>
      <c r="O47" s="18">
        <f t="shared" si="7"/>
        <v>12</v>
      </c>
      <c r="P47" s="18">
        <f t="shared" si="6"/>
        <v>36</v>
      </c>
      <c r="Q47" s="18">
        <f t="shared" si="8"/>
        <v>40</v>
      </c>
      <c r="R47" s="18">
        <f t="shared" si="9"/>
        <v>0</v>
      </c>
      <c r="S47" s="18">
        <f t="shared" si="10"/>
        <v>4</v>
      </c>
      <c r="T47" s="18">
        <f t="shared" si="11"/>
        <v>44</v>
      </c>
      <c r="U47" s="18">
        <f t="shared" si="12"/>
        <v>-8</v>
      </c>
      <c r="V47">
        <v>-8</v>
      </c>
    </row>
    <row r="48" spans="1:22" x14ac:dyDescent="0.25">
      <c r="A48" s="15">
        <v>47</v>
      </c>
      <c r="B48" s="19" t="s">
        <v>75</v>
      </c>
      <c r="C48" s="17">
        <f>VLOOKUP(B:B,Courts!B:C,2,FALSE())</f>
        <v>6</v>
      </c>
      <c r="D48" s="17">
        <f>VLOOKUP(B:B,Courts!B:D,3,FALSE())</f>
        <v>0</v>
      </c>
      <c r="E48" s="15">
        <f>VLOOKUP(B:B,Courts!B:E,4,FALSE())</f>
        <v>1</v>
      </c>
      <c r="F48" s="18">
        <v>20</v>
      </c>
      <c r="G48" s="18">
        <v>0</v>
      </c>
      <c r="H48" s="18">
        <v>9</v>
      </c>
      <c r="I48" s="18">
        <v>0</v>
      </c>
      <c r="J48" s="18">
        <v>6</v>
      </c>
      <c r="K48" s="18">
        <v>1</v>
      </c>
      <c r="L48" s="18">
        <v>1</v>
      </c>
      <c r="M48" s="18">
        <v>4</v>
      </c>
      <c r="N48" s="18">
        <v>5</v>
      </c>
      <c r="O48" s="18">
        <f t="shared" si="7"/>
        <v>17</v>
      </c>
      <c r="P48" s="18">
        <f t="shared" si="6"/>
        <v>44</v>
      </c>
      <c r="Q48" s="18">
        <f t="shared" si="8"/>
        <v>48</v>
      </c>
      <c r="R48" s="18">
        <f t="shared" si="9"/>
        <v>0</v>
      </c>
      <c r="S48" s="18">
        <f t="shared" si="10"/>
        <v>4</v>
      </c>
      <c r="T48" s="18">
        <f t="shared" si="11"/>
        <v>52</v>
      </c>
      <c r="U48" s="18">
        <f t="shared" si="12"/>
        <v>-8</v>
      </c>
      <c r="V48">
        <v>-8</v>
      </c>
    </row>
    <row r="49" spans="1:22" x14ac:dyDescent="0.25">
      <c r="A49" s="15">
        <v>48</v>
      </c>
      <c r="B49" s="19" t="s">
        <v>76</v>
      </c>
      <c r="C49" s="17">
        <f>VLOOKUP(B:B,Courts!B:C,2,FALSE())</f>
        <v>6</v>
      </c>
      <c r="D49" s="17">
        <f>VLOOKUP(B:B,Courts!B:D,3,FALSE())</f>
        <v>0</v>
      </c>
      <c r="E49" s="15">
        <f>VLOOKUP(B:B,Courts!B:E,4,FALSE())</f>
        <v>1</v>
      </c>
      <c r="F49" s="18">
        <v>12</v>
      </c>
      <c r="G49" s="18">
        <v>0</v>
      </c>
      <c r="H49" s="18">
        <v>13</v>
      </c>
      <c r="I49" s="18">
        <v>0</v>
      </c>
      <c r="J49" s="18">
        <v>7</v>
      </c>
      <c r="K49" s="18">
        <v>1</v>
      </c>
      <c r="L49" s="18">
        <v>0</v>
      </c>
      <c r="M49" s="18">
        <v>4</v>
      </c>
      <c r="N49" s="18">
        <v>0</v>
      </c>
      <c r="O49" s="18">
        <f t="shared" si="7"/>
        <v>12</v>
      </c>
      <c r="P49" s="18">
        <f t="shared" si="6"/>
        <v>36</v>
      </c>
      <c r="Q49" s="18">
        <f t="shared" si="8"/>
        <v>48</v>
      </c>
      <c r="R49" s="18">
        <f t="shared" si="9"/>
        <v>0</v>
      </c>
      <c r="S49" s="18">
        <f t="shared" si="10"/>
        <v>4</v>
      </c>
      <c r="T49" s="18">
        <f t="shared" si="11"/>
        <v>52</v>
      </c>
      <c r="U49" s="18">
        <f t="shared" si="12"/>
        <v>-16</v>
      </c>
      <c r="V49">
        <v>-16</v>
      </c>
    </row>
    <row r="50" spans="1:22" x14ac:dyDescent="0.25">
      <c r="A50" s="15">
        <v>49</v>
      </c>
      <c r="B50" s="16" t="s">
        <v>77</v>
      </c>
      <c r="C50" s="17">
        <f>VLOOKUP(B:B,Courts!B:C,2,FALSE())</f>
        <v>14</v>
      </c>
      <c r="D50" s="17">
        <f>VLOOKUP(B:B,Courts!B:D,3,FALSE())</f>
        <v>0</v>
      </c>
      <c r="E50" s="15">
        <f>VLOOKUP(B:B,Courts!B:E,4,FALSE())</f>
        <v>0</v>
      </c>
      <c r="F50" s="18">
        <v>56</v>
      </c>
      <c r="G50" s="18">
        <v>0</v>
      </c>
      <c r="H50" s="18">
        <v>20</v>
      </c>
      <c r="I50" s="18">
        <v>0</v>
      </c>
      <c r="J50" s="18">
        <v>22</v>
      </c>
      <c r="K50" s="18">
        <v>3</v>
      </c>
      <c r="L50" s="18">
        <v>2</v>
      </c>
      <c r="M50" s="18">
        <v>4</v>
      </c>
      <c r="N50" s="18">
        <v>6</v>
      </c>
      <c r="O50" s="18">
        <f t="shared" si="7"/>
        <v>37</v>
      </c>
      <c r="P50" s="18">
        <f t="shared" si="6"/>
        <v>108</v>
      </c>
      <c r="Q50" s="18">
        <f t="shared" si="8"/>
        <v>112</v>
      </c>
      <c r="R50" s="18">
        <f t="shared" si="9"/>
        <v>0</v>
      </c>
      <c r="S50" s="18">
        <f t="shared" si="10"/>
        <v>0</v>
      </c>
      <c r="T50" s="18">
        <f t="shared" si="11"/>
        <v>112</v>
      </c>
      <c r="U50" s="18">
        <f t="shared" si="12"/>
        <v>-4</v>
      </c>
      <c r="V50">
        <v>-3</v>
      </c>
    </row>
    <row r="51" spans="1:22" x14ac:dyDescent="0.25">
      <c r="A51" s="15">
        <v>50</v>
      </c>
      <c r="B51" s="19" t="s">
        <v>78</v>
      </c>
      <c r="C51" s="17">
        <f>VLOOKUP(B:B,Courts!B:C,2,FALSE())</f>
        <v>3</v>
      </c>
      <c r="D51" s="17">
        <f>VLOOKUP(B:B,Courts!B:D,3,FALSE())</f>
        <v>0</v>
      </c>
      <c r="E51" s="15">
        <f>VLOOKUP(B:B,Courts!B:E,4,FALSE())</f>
        <v>1</v>
      </c>
      <c r="F51" s="18">
        <v>12</v>
      </c>
      <c r="G51" s="18">
        <v>0</v>
      </c>
      <c r="H51" s="18">
        <v>8</v>
      </c>
      <c r="I51" s="18">
        <v>0</v>
      </c>
      <c r="J51" s="18">
        <v>3</v>
      </c>
      <c r="K51" s="18">
        <v>3</v>
      </c>
      <c r="L51" s="18">
        <v>0</v>
      </c>
      <c r="M51" s="18">
        <v>4</v>
      </c>
      <c r="N51" s="18">
        <v>1</v>
      </c>
      <c r="O51" s="18">
        <f t="shared" si="7"/>
        <v>11</v>
      </c>
      <c r="P51" s="18">
        <f t="shared" si="6"/>
        <v>28</v>
      </c>
      <c r="Q51" s="18">
        <f t="shared" si="8"/>
        <v>24</v>
      </c>
      <c r="R51" s="18">
        <f t="shared" si="9"/>
        <v>0</v>
      </c>
      <c r="S51" s="18">
        <f t="shared" si="10"/>
        <v>4</v>
      </c>
      <c r="T51" s="18">
        <f t="shared" si="11"/>
        <v>28</v>
      </c>
      <c r="U51" s="18">
        <f t="shared" si="12"/>
        <v>0</v>
      </c>
      <c r="V51">
        <v>0</v>
      </c>
    </row>
    <row r="52" spans="1:22" x14ac:dyDescent="0.25">
      <c r="A52" s="15">
        <v>51</v>
      </c>
      <c r="B52" s="19" t="s">
        <v>79</v>
      </c>
      <c r="C52" s="17">
        <f>VLOOKUP(B:B,Courts!B:C,2,FALSE())</f>
        <v>2</v>
      </c>
      <c r="D52" s="17">
        <f>VLOOKUP(B:B,Courts!B:D,3,FALSE())</f>
        <v>0</v>
      </c>
      <c r="E52" s="15">
        <f>VLOOKUP(B:B,Courts!B:E,4,FALSE())</f>
        <v>1</v>
      </c>
      <c r="F52" s="18">
        <v>0</v>
      </c>
      <c r="G52" s="18">
        <v>0</v>
      </c>
      <c r="H52" s="18">
        <v>10</v>
      </c>
      <c r="I52" s="18">
        <v>0</v>
      </c>
      <c r="J52" s="18">
        <v>6</v>
      </c>
      <c r="K52" s="18">
        <v>2</v>
      </c>
      <c r="L52" s="18">
        <v>0</v>
      </c>
      <c r="M52" s="18">
        <v>4</v>
      </c>
      <c r="N52" s="18">
        <v>0</v>
      </c>
      <c r="O52" s="18">
        <f t="shared" si="7"/>
        <v>12</v>
      </c>
      <c r="P52" s="18">
        <f t="shared" si="6"/>
        <v>20</v>
      </c>
      <c r="Q52" s="18">
        <f t="shared" si="8"/>
        <v>16</v>
      </c>
      <c r="R52" s="18">
        <f t="shared" si="9"/>
        <v>0</v>
      </c>
      <c r="S52" s="18">
        <f t="shared" si="10"/>
        <v>4</v>
      </c>
      <c r="T52" s="18">
        <f t="shared" si="11"/>
        <v>20</v>
      </c>
      <c r="U52" s="18">
        <f t="shared" si="12"/>
        <v>0</v>
      </c>
      <c r="V52">
        <v>0</v>
      </c>
    </row>
    <row r="53" spans="1:22" x14ac:dyDescent="0.25">
      <c r="A53" s="15">
        <v>52</v>
      </c>
      <c r="B53" s="19" t="s">
        <v>80</v>
      </c>
      <c r="C53" s="17">
        <f>VLOOKUP(B:B,Courts!B:C,2,FALSE())</f>
        <v>0</v>
      </c>
      <c r="D53" s="17">
        <f>VLOOKUP(B:B,Courts!B:D,3,FALSE())</f>
        <v>0</v>
      </c>
      <c r="E53" s="15">
        <f>VLOOKUP(B:B,Courts!B:E,4,FALSE())</f>
        <v>1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4</v>
      </c>
      <c r="N53" s="18">
        <v>1</v>
      </c>
      <c r="O53" s="18">
        <f t="shared" si="7"/>
        <v>5</v>
      </c>
      <c r="P53" s="18">
        <f t="shared" si="6"/>
        <v>5</v>
      </c>
      <c r="Q53" s="18">
        <f t="shared" si="8"/>
        <v>0</v>
      </c>
      <c r="R53" s="18">
        <f t="shared" si="9"/>
        <v>0</v>
      </c>
      <c r="S53" s="18">
        <f t="shared" si="10"/>
        <v>4</v>
      </c>
      <c r="T53" s="18">
        <f t="shared" si="11"/>
        <v>4</v>
      </c>
      <c r="U53" s="18">
        <f t="shared" si="12"/>
        <v>1</v>
      </c>
      <c r="V53">
        <v>0</v>
      </c>
    </row>
    <row r="54" spans="1:22" x14ac:dyDescent="0.25">
      <c r="A54" s="15">
        <v>53</v>
      </c>
      <c r="B54" s="16" t="s">
        <v>81</v>
      </c>
      <c r="C54" s="17">
        <f>VLOOKUP(B:B,Courts!B:C,2,FALSE())</f>
        <v>22</v>
      </c>
      <c r="D54" s="17">
        <f>VLOOKUP(B:B,Courts!B:D,3,FALSE())</f>
        <v>0</v>
      </c>
      <c r="E54" s="15">
        <f>VLOOKUP(B:B,Courts!B:E,4,FALSE())</f>
        <v>0</v>
      </c>
      <c r="F54" s="18">
        <v>52</v>
      </c>
      <c r="G54" s="18">
        <v>0</v>
      </c>
      <c r="H54" s="18">
        <v>31</v>
      </c>
      <c r="I54" s="18">
        <v>0</v>
      </c>
      <c r="J54" s="18">
        <v>49</v>
      </c>
      <c r="K54" s="18">
        <v>4</v>
      </c>
      <c r="L54" s="18">
        <v>2</v>
      </c>
      <c r="M54" s="18">
        <v>0</v>
      </c>
      <c r="N54" s="18">
        <v>4</v>
      </c>
      <c r="O54" s="18">
        <f t="shared" si="7"/>
        <v>59</v>
      </c>
      <c r="P54" s="18">
        <f t="shared" si="6"/>
        <v>136</v>
      </c>
      <c r="Q54" s="18">
        <f t="shared" si="8"/>
        <v>176</v>
      </c>
      <c r="R54" s="18">
        <f t="shared" si="9"/>
        <v>0</v>
      </c>
      <c r="S54" s="18">
        <f t="shared" si="10"/>
        <v>0</v>
      </c>
      <c r="T54" s="18">
        <f t="shared" si="11"/>
        <v>176</v>
      </c>
      <c r="U54" s="18">
        <f t="shared" si="12"/>
        <v>-40</v>
      </c>
      <c r="V54">
        <v>-40</v>
      </c>
    </row>
    <row r="55" spans="1:22" x14ac:dyDescent="0.25">
      <c r="A55" s="15">
        <v>54</v>
      </c>
      <c r="B55" s="19" t="s">
        <v>82</v>
      </c>
      <c r="C55" s="17">
        <f>VLOOKUP(B:B,Courts!B:C,2,FALSE())</f>
        <v>9</v>
      </c>
      <c r="D55" s="17">
        <f>VLOOKUP(B:B,Courts!B:D,3,FALSE())</f>
        <v>0</v>
      </c>
      <c r="E55" s="15">
        <f>VLOOKUP(B:B,Courts!B:E,4,FALSE())</f>
        <v>1</v>
      </c>
      <c r="F55" s="18">
        <v>20</v>
      </c>
      <c r="G55" s="18">
        <v>0</v>
      </c>
      <c r="H55" s="18">
        <v>3</v>
      </c>
      <c r="I55" s="18">
        <v>0</v>
      </c>
      <c r="J55" s="18">
        <v>1</v>
      </c>
      <c r="K55" s="18">
        <v>2</v>
      </c>
      <c r="L55" s="18">
        <v>0</v>
      </c>
      <c r="M55" s="18">
        <v>4</v>
      </c>
      <c r="N55" s="18">
        <v>0</v>
      </c>
      <c r="O55" s="18">
        <f t="shared" si="7"/>
        <v>7</v>
      </c>
      <c r="P55" s="18">
        <f t="shared" si="6"/>
        <v>28</v>
      </c>
      <c r="Q55" s="18">
        <f t="shared" si="8"/>
        <v>72</v>
      </c>
      <c r="R55" s="18">
        <f t="shared" si="9"/>
        <v>0</v>
      </c>
      <c r="S55" s="18">
        <f t="shared" si="10"/>
        <v>4</v>
      </c>
      <c r="T55" s="18">
        <f t="shared" si="11"/>
        <v>76</v>
      </c>
      <c r="U55" s="18">
        <f t="shared" si="12"/>
        <v>-48</v>
      </c>
      <c r="V55">
        <v>-48</v>
      </c>
    </row>
    <row r="56" spans="1:22" x14ac:dyDescent="0.25">
      <c r="A56" s="15">
        <v>55</v>
      </c>
      <c r="B56" s="19" t="s">
        <v>83</v>
      </c>
      <c r="C56" s="17">
        <f>VLOOKUP(B:B,Courts!B:C,2,FALSE())</f>
        <v>8</v>
      </c>
      <c r="D56" s="17">
        <f>VLOOKUP(B:B,Courts!B:D,3,FALSE())</f>
        <v>0</v>
      </c>
      <c r="E56" s="15">
        <f>VLOOKUP(B:B,Courts!B:E,4,FALSE())</f>
        <v>1</v>
      </c>
      <c r="F56" s="18">
        <v>20</v>
      </c>
      <c r="G56" s="18">
        <v>0</v>
      </c>
      <c r="H56" s="18">
        <v>9</v>
      </c>
      <c r="I56" s="18">
        <v>0</v>
      </c>
      <c r="J56" s="18">
        <v>10</v>
      </c>
      <c r="K56" s="18">
        <v>2</v>
      </c>
      <c r="L56" s="18">
        <v>1</v>
      </c>
      <c r="M56" s="18">
        <v>4</v>
      </c>
      <c r="N56" s="18">
        <v>1</v>
      </c>
      <c r="O56" s="18">
        <f t="shared" si="7"/>
        <v>18</v>
      </c>
      <c r="P56" s="18">
        <f t="shared" si="6"/>
        <v>44</v>
      </c>
      <c r="Q56" s="18">
        <f t="shared" si="8"/>
        <v>64</v>
      </c>
      <c r="R56" s="18">
        <f t="shared" si="9"/>
        <v>0</v>
      </c>
      <c r="S56" s="18">
        <f t="shared" si="10"/>
        <v>4</v>
      </c>
      <c r="T56" s="18">
        <f t="shared" si="11"/>
        <v>68</v>
      </c>
      <c r="U56" s="18">
        <f t="shared" si="12"/>
        <v>-24</v>
      </c>
      <c r="V56">
        <v>-24</v>
      </c>
    </row>
    <row r="57" spans="1:22" x14ac:dyDescent="0.25">
      <c r="A57" s="15">
        <v>56</v>
      </c>
      <c r="B57" s="16" t="s">
        <v>84</v>
      </c>
      <c r="C57" s="17">
        <f>VLOOKUP(B:B,Courts!B:C,2,FALSE())</f>
        <v>17</v>
      </c>
      <c r="D57" s="17">
        <f>VLOOKUP(B:B,Courts!B:D,3,FALSE())</f>
        <v>0</v>
      </c>
      <c r="E57" s="15">
        <f>VLOOKUP(B:B,Courts!B:E,4,FALSE())</f>
        <v>0</v>
      </c>
      <c r="F57" s="18">
        <v>60</v>
      </c>
      <c r="G57" s="18">
        <v>0</v>
      </c>
      <c r="H57" s="18">
        <v>27</v>
      </c>
      <c r="I57" s="18">
        <v>0</v>
      </c>
      <c r="J57" s="18">
        <v>21</v>
      </c>
      <c r="K57" s="18">
        <v>4</v>
      </c>
      <c r="L57" s="18">
        <v>2</v>
      </c>
      <c r="M57" s="18">
        <v>0</v>
      </c>
      <c r="N57" s="18">
        <v>12</v>
      </c>
      <c r="O57" s="18">
        <f t="shared" si="7"/>
        <v>39</v>
      </c>
      <c r="P57" s="18">
        <f t="shared" si="6"/>
        <v>120</v>
      </c>
      <c r="Q57" s="18">
        <f t="shared" si="8"/>
        <v>136</v>
      </c>
      <c r="R57" s="18">
        <f t="shared" si="9"/>
        <v>0</v>
      </c>
      <c r="S57" s="18">
        <f t="shared" si="10"/>
        <v>0</v>
      </c>
      <c r="T57" s="18">
        <f t="shared" si="11"/>
        <v>136</v>
      </c>
      <c r="U57" s="18">
        <f t="shared" si="12"/>
        <v>-16</v>
      </c>
      <c r="V57">
        <v>-16</v>
      </c>
    </row>
    <row r="58" spans="1:22" x14ac:dyDescent="0.25">
      <c r="A58" s="15">
        <v>57</v>
      </c>
      <c r="B58" s="19" t="s">
        <v>85</v>
      </c>
      <c r="C58" s="17">
        <f>VLOOKUP(B:B,Courts!B:C,2,FALSE())</f>
        <v>7</v>
      </c>
      <c r="D58" s="17">
        <f>VLOOKUP(B:B,Courts!B:D,3,FALSE())</f>
        <v>0</v>
      </c>
      <c r="E58" s="15">
        <f>VLOOKUP(B:B,Courts!B:E,4,FALSE())</f>
        <v>1</v>
      </c>
      <c r="F58" s="18">
        <v>20</v>
      </c>
      <c r="G58" s="18">
        <v>0</v>
      </c>
      <c r="H58" s="18">
        <v>4</v>
      </c>
      <c r="I58" s="18">
        <v>0</v>
      </c>
      <c r="J58" s="18">
        <v>14</v>
      </c>
      <c r="K58" s="18">
        <v>3</v>
      </c>
      <c r="L58" s="18">
        <v>1</v>
      </c>
      <c r="M58" s="18">
        <v>4</v>
      </c>
      <c r="N58" s="18">
        <v>2</v>
      </c>
      <c r="O58" s="18">
        <f t="shared" si="7"/>
        <v>24</v>
      </c>
      <c r="P58" s="18">
        <f t="shared" si="6"/>
        <v>44</v>
      </c>
      <c r="Q58" s="18">
        <f t="shared" si="8"/>
        <v>56</v>
      </c>
      <c r="R58" s="18">
        <f t="shared" si="9"/>
        <v>0</v>
      </c>
      <c r="S58" s="18">
        <f t="shared" si="10"/>
        <v>4</v>
      </c>
      <c r="T58" s="18">
        <f t="shared" si="11"/>
        <v>60</v>
      </c>
      <c r="U58" s="18">
        <f t="shared" si="12"/>
        <v>-16</v>
      </c>
      <c r="V58">
        <v>-16</v>
      </c>
    </row>
    <row r="59" spans="1:22" x14ac:dyDescent="0.25">
      <c r="A59" s="15">
        <v>58</v>
      </c>
      <c r="B59" s="19" t="s">
        <v>86</v>
      </c>
      <c r="C59" s="17">
        <f>VLOOKUP(B:B,Courts!B:C,2,FALSE())</f>
        <v>5</v>
      </c>
      <c r="D59" s="17">
        <f>VLOOKUP(B:B,Courts!B:D,3,FALSE())</f>
        <v>0</v>
      </c>
      <c r="E59" s="15">
        <f>VLOOKUP(B:B,Courts!B:E,4,FALSE())</f>
        <v>1</v>
      </c>
      <c r="F59" s="18">
        <v>16</v>
      </c>
      <c r="G59" s="18">
        <v>0</v>
      </c>
      <c r="H59" s="18">
        <v>3</v>
      </c>
      <c r="I59" s="18">
        <v>0</v>
      </c>
      <c r="J59" s="18">
        <v>12</v>
      </c>
      <c r="K59" s="18">
        <v>2</v>
      </c>
      <c r="L59" s="18">
        <v>0</v>
      </c>
      <c r="M59" s="18">
        <v>4</v>
      </c>
      <c r="N59" s="18">
        <v>1</v>
      </c>
      <c r="O59" s="18">
        <f t="shared" si="7"/>
        <v>19</v>
      </c>
      <c r="P59" s="18">
        <f t="shared" si="6"/>
        <v>36</v>
      </c>
      <c r="Q59" s="18">
        <f t="shared" si="8"/>
        <v>40</v>
      </c>
      <c r="R59" s="18">
        <f t="shared" si="9"/>
        <v>0</v>
      </c>
      <c r="S59" s="18">
        <f t="shared" si="10"/>
        <v>4</v>
      </c>
      <c r="T59" s="18">
        <f t="shared" si="11"/>
        <v>44</v>
      </c>
      <c r="U59" s="18">
        <f t="shared" si="12"/>
        <v>-8</v>
      </c>
      <c r="V59">
        <v>-8</v>
      </c>
    </row>
    <row r="60" spans="1:22" x14ac:dyDescent="0.25">
      <c r="A60" s="15">
        <v>59</v>
      </c>
      <c r="B60" s="19" t="s">
        <v>87</v>
      </c>
      <c r="C60" s="17">
        <f>VLOOKUP(B:B,Courts!B:C,2,FALSE())</f>
        <v>3</v>
      </c>
      <c r="D60" s="17">
        <f>VLOOKUP(B:B,Courts!B:D,3,FALSE())</f>
        <v>0</v>
      </c>
      <c r="E60" s="15">
        <f>VLOOKUP(B:B,Courts!B:E,4,FALSE())</f>
        <v>1</v>
      </c>
      <c r="F60" s="18">
        <v>4</v>
      </c>
      <c r="G60" s="18">
        <v>0</v>
      </c>
      <c r="H60" s="18">
        <v>12</v>
      </c>
      <c r="I60" s="18">
        <v>0</v>
      </c>
      <c r="J60" s="18">
        <v>0</v>
      </c>
      <c r="K60" s="18">
        <v>2</v>
      </c>
      <c r="L60" s="18">
        <v>0</v>
      </c>
      <c r="M60" s="18">
        <v>4</v>
      </c>
      <c r="N60" s="18">
        <v>1</v>
      </c>
      <c r="O60" s="18">
        <f t="shared" si="7"/>
        <v>7</v>
      </c>
      <c r="P60" s="18">
        <f t="shared" si="6"/>
        <v>21</v>
      </c>
      <c r="Q60" s="18">
        <f t="shared" si="8"/>
        <v>24</v>
      </c>
      <c r="R60" s="18">
        <f t="shared" si="9"/>
        <v>0</v>
      </c>
      <c r="S60" s="18">
        <f t="shared" si="10"/>
        <v>4</v>
      </c>
      <c r="T60" s="18">
        <f t="shared" si="11"/>
        <v>28</v>
      </c>
      <c r="U60" s="18">
        <f t="shared" si="12"/>
        <v>-7</v>
      </c>
      <c r="V60">
        <v>-7</v>
      </c>
    </row>
    <row r="61" spans="1:22" x14ac:dyDescent="0.25">
      <c r="A61" s="15">
        <v>60</v>
      </c>
      <c r="B61" s="19" t="s">
        <v>88</v>
      </c>
      <c r="C61" s="17">
        <f>VLOOKUP(B:B,Courts!B:C,2,FALSE())</f>
        <v>5</v>
      </c>
      <c r="D61" s="17">
        <f>VLOOKUP(B:B,Courts!B:D,3,FALSE())</f>
        <v>0</v>
      </c>
      <c r="E61" s="15">
        <f>VLOOKUP(B:B,Courts!B:E,4,FALSE())</f>
        <v>1</v>
      </c>
      <c r="F61" s="18">
        <v>12</v>
      </c>
      <c r="G61" s="18">
        <v>0</v>
      </c>
      <c r="H61" s="18">
        <v>1</v>
      </c>
      <c r="I61" s="18">
        <v>0</v>
      </c>
      <c r="J61" s="18">
        <v>1</v>
      </c>
      <c r="K61" s="18">
        <v>2</v>
      </c>
      <c r="L61" s="18">
        <v>0</v>
      </c>
      <c r="M61" s="18">
        <v>4</v>
      </c>
      <c r="N61" s="18">
        <v>2</v>
      </c>
      <c r="O61" s="18">
        <f t="shared" si="7"/>
        <v>9</v>
      </c>
      <c r="P61" s="18">
        <f t="shared" si="6"/>
        <v>20</v>
      </c>
      <c r="Q61" s="18">
        <f t="shared" si="8"/>
        <v>40</v>
      </c>
      <c r="R61" s="18">
        <f t="shared" si="9"/>
        <v>0</v>
      </c>
      <c r="S61" s="18">
        <f t="shared" si="10"/>
        <v>4</v>
      </c>
      <c r="T61" s="18">
        <f t="shared" si="11"/>
        <v>44</v>
      </c>
      <c r="U61" s="18">
        <f t="shared" si="12"/>
        <v>-24</v>
      </c>
      <c r="V61">
        <v>-24</v>
      </c>
    </row>
    <row r="62" spans="1:22" x14ac:dyDescent="0.25">
      <c r="A62" s="15">
        <v>61</v>
      </c>
      <c r="B62" s="16" t="s">
        <v>89</v>
      </c>
      <c r="C62" s="17">
        <f>VLOOKUP(B:B,Courts!B:C,2,FALSE())</f>
        <v>9</v>
      </c>
      <c r="D62" s="17">
        <f>VLOOKUP(B:B,Courts!B:D,3,FALSE())</f>
        <v>0</v>
      </c>
      <c r="E62" s="15">
        <f>VLOOKUP(B:B,Courts!B:E,4,FALSE())</f>
        <v>0</v>
      </c>
      <c r="F62" s="18">
        <v>28</v>
      </c>
      <c r="G62" s="18">
        <v>0</v>
      </c>
      <c r="H62" s="18">
        <v>9</v>
      </c>
      <c r="I62" s="18">
        <v>0</v>
      </c>
      <c r="J62" s="18">
        <v>13</v>
      </c>
      <c r="K62" s="18">
        <v>2</v>
      </c>
      <c r="L62" s="18">
        <v>1</v>
      </c>
      <c r="M62" s="18">
        <v>0</v>
      </c>
      <c r="N62" s="18">
        <v>6</v>
      </c>
      <c r="O62" s="18">
        <f t="shared" si="7"/>
        <v>22</v>
      </c>
      <c r="P62" s="18">
        <f t="shared" si="6"/>
        <v>56</v>
      </c>
      <c r="Q62" s="18">
        <f t="shared" si="8"/>
        <v>72</v>
      </c>
      <c r="R62" s="18">
        <f t="shared" si="9"/>
        <v>0</v>
      </c>
      <c r="S62" s="18">
        <f t="shared" si="10"/>
        <v>0</v>
      </c>
      <c r="T62" s="18">
        <f t="shared" si="11"/>
        <v>72</v>
      </c>
      <c r="U62" s="18">
        <f t="shared" si="12"/>
        <v>-16</v>
      </c>
      <c r="V62">
        <v>-16</v>
      </c>
    </row>
    <row r="63" spans="1:22" x14ac:dyDescent="0.25">
      <c r="A63" s="15">
        <v>62</v>
      </c>
      <c r="B63" s="19" t="s">
        <v>90</v>
      </c>
      <c r="C63" s="17">
        <f>VLOOKUP(B:B,Courts!B:C,2,FALSE())</f>
        <v>3</v>
      </c>
      <c r="D63" s="17">
        <f>VLOOKUP(B:B,Courts!B:D,3,FALSE())</f>
        <v>0</v>
      </c>
      <c r="E63" s="15">
        <f>VLOOKUP(B:B,Courts!B:E,4,FALSE())</f>
        <v>1</v>
      </c>
      <c r="F63" s="18">
        <v>8</v>
      </c>
      <c r="G63" s="18">
        <v>0</v>
      </c>
      <c r="H63" s="18">
        <v>1</v>
      </c>
      <c r="I63" s="18">
        <v>0</v>
      </c>
      <c r="J63" s="18">
        <v>5</v>
      </c>
      <c r="K63" s="18">
        <v>2</v>
      </c>
      <c r="L63" s="18">
        <v>0</v>
      </c>
      <c r="M63" s="18">
        <v>4</v>
      </c>
      <c r="N63" s="18">
        <v>2</v>
      </c>
      <c r="O63" s="18">
        <f t="shared" si="7"/>
        <v>13</v>
      </c>
      <c r="P63" s="18">
        <f t="shared" si="6"/>
        <v>20</v>
      </c>
      <c r="Q63" s="18">
        <f t="shared" si="8"/>
        <v>24</v>
      </c>
      <c r="R63" s="18">
        <f t="shared" si="9"/>
        <v>0</v>
      </c>
      <c r="S63" s="18">
        <f t="shared" si="10"/>
        <v>4</v>
      </c>
      <c r="T63" s="18">
        <f t="shared" si="11"/>
        <v>28</v>
      </c>
      <c r="U63" s="18">
        <f t="shared" si="12"/>
        <v>-8</v>
      </c>
      <c r="V63">
        <v>-8</v>
      </c>
    </row>
    <row r="64" spans="1:22" x14ac:dyDescent="0.25">
      <c r="A64" s="15">
        <v>63</v>
      </c>
      <c r="B64" s="19" t="s">
        <v>91</v>
      </c>
      <c r="C64" s="17">
        <f>VLOOKUP(B:B,Courts!B:C,2,FALSE())</f>
        <v>6</v>
      </c>
      <c r="D64" s="17">
        <f>VLOOKUP(B:B,Courts!B:D,3,FALSE())</f>
        <v>0</v>
      </c>
      <c r="E64" s="15">
        <f>VLOOKUP(B:B,Courts!B:E,4,FALSE())</f>
        <v>1</v>
      </c>
      <c r="F64" s="18">
        <v>12</v>
      </c>
      <c r="G64" s="18">
        <v>0</v>
      </c>
      <c r="H64" s="18">
        <v>2</v>
      </c>
      <c r="I64" s="18">
        <v>0</v>
      </c>
      <c r="J64" s="18">
        <v>8</v>
      </c>
      <c r="K64" s="18">
        <v>1</v>
      </c>
      <c r="L64" s="18">
        <v>0</v>
      </c>
      <c r="M64" s="18">
        <v>4</v>
      </c>
      <c r="N64" s="18">
        <v>2</v>
      </c>
      <c r="O64" s="18">
        <f t="shared" si="7"/>
        <v>15</v>
      </c>
      <c r="P64" s="18">
        <f t="shared" si="6"/>
        <v>28</v>
      </c>
      <c r="Q64" s="18">
        <f t="shared" si="8"/>
        <v>48</v>
      </c>
      <c r="R64" s="18">
        <f t="shared" si="9"/>
        <v>0</v>
      </c>
      <c r="S64" s="18">
        <f t="shared" si="10"/>
        <v>4</v>
      </c>
      <c r="T64" s="18">
        <f t="shared" si="11"/>
        <v>52</v>
      </c>
      <c r="U64" s="18">
        <f t="shared" si="12"/>
        <v>-24</v>
      </c>
      <c r="V64">
        <v>-24</v>
      </c>
    </row>
    <row r="65" spans="1:22" x14ac:dyDescent="0.25">
      <c r="A65" s="15">
        <v>64</v>
      </c>
      <c r="B65" s="16" t="s">
        <v>92</v>
      </c>
      <c r="C65" s="17">
        <f>VLOOKUP(B:B,Courts!B:C,2,FALSE())</f>
        <v>13</v>
      </c>
      <c r="D65" s="17">
        <f>VLOOKUP(B:B,Courts!B:D,3,FALSE())</f>
        <v>0</v>
      </c>
      <c r="E65" s="15">
        <f>VLOOKUP(B:B,Courts!B:E,4,FALSE())</f>
        <v>0</v>
      </c>
      <c r="F65" s="18">
        <v>32</v>
      </c>
      <c r="G65" s="18">
        <v>0</v>
      </c>
      <c r="H65" s="18">
        <v>22</v>
      </c>
      <c r="I65" s="18">
        <v>0</v>
      </c>
      <c r="J65" s="18">
        <v>0</v>
      </c>
      <c r="K65" s="18">
        <v>2</v>
      </c>
      <c r="L65" s="18">
        <v>1</v>
      </c>
      <c r="M65" s="18">
        <v>0</v>
      </c>
      <c r="N65" s="18">
        <v>13</v>
      </c>
      <c r="O65" s="18">
        <f t="shared" si="7"/>
        <v>16</v>
      </c>
      <c r="P65" s="18">
        <f t="shared" si="6"/>
        <v>67</v>
      </c>
      <c r="Q65" s="18">
        <f t="shared" si="8"/>
        <v>104</v>
      </c>
      <c r="R65" s="18">
        <f t="shared" si="9"/>
        <v>0</v>
      </c>
      <c r="S65" s="18">
        <f t="shared" si="10"/>
        <v>0</v>
      </c>
      <c r="T65" s="18">
        <f t="shared" si="11"/>
        <v>104</v>
      </c>
      <c r="U65" s="18">
        <f t="shared" si="12"/>
        <v>-37</v>
      </c>
      <c r="V65">
        <v>-35</v>
      </c>
    </row>
    <row r="66" spans="1:22" x14ac:dyDescent="0.25">
      <c r="A66" s="15">
        <v>65</v>
      </c>
      <c r="B66" s="19" t="s">
        <v>93</v>
      </c>
      <c r="C66" s="17">
        <f>VLOOKUP(B:B,Courts!B:C,2,FALSE())</f>
        <v>2</v>
      </c>
      <c r="D66" s="17">
        <f>VLOOKUP(B:B,Courts!B:D,3,FALSE())</f>
        <v>0</v>
      </c>
      <c r="E66" s="15">
        <f>VLOOKUP(B:B,Courts!B:E,4,FALSE())</f>
        <v>1</v>
      </c>
      <c r="F66" s="18">
        <v>4</v>
      </c>
      <c r="G66" s="18">
        <v>0</v>
      </c>
      <c r="H66" s="18">
        <v>11</v>
      </c>
      <c r="I66" s="18">
        <v>0</v>
      </c>
      <c r="J66" s="18">
        <v>0</v>
      </c>
      <c r="K66" s="18">
        <v>2</v>
      </c>
      <c r="L66" s="18">
        <v>0</v>
      </c>
      <c r="M66" s="18">
        <v>4</v>
      </c>
      <c r="N66" s="18">
        <v>3</v>
      </c>
      <c r="O66" s="18">
        <f t="shared" ref="O66:O99" si="13">SUM(J66:N66)</f>
        <v>9</v>
      </c>
      <c r="P66" s="18">
        <f t="shared" si="6"/>
        <v>22</v>
      </c>
      <c r="Q66" s="18">
        <f t="shared" ref="Q66:Q99" si="14">C66*8</f>
        <v>16</v>
      </c>
      <c r="R66" s="18">
        <f t="shared" ref="R66:R99" si="15">D66*8</f>
        <v>0</v>
      </c>
      <c r="S66" s="18">
        <f t="shared" ref="S66:S99" si="16">E66*4</f>
        <v>4</v>
      </c>
      <c r="T66" s="18">
        <f t="shared" ref="T66:T99" si="17">SUM(Q66:S66)</f>
        <v>20</v>
      </c>
      <c r="U66" s="18">
        <f t="shared" ref="U66:U99" si="18">P66-T66</f>
        <v>2</v>
      </c>
      <c r="V66">
        <v>0</v>
      </c>
    </row>
    <row r="67" spans="1:22" x14ac:dyDescent="0.25">
      <c r="A67" s="15">
        <v>66</v>
      </c>
      <c r="B67" s="16" t="s">
        <v>94</v>
      </c>
      <c r="C67" s="17">
        <f>VLOOKUP(B:B,Courts!B:C,2,FALSE())</f>
        <v>10</v>
      </c>
      <c r="D67" s="17">
        <f>VLOOKUP(B:B,Courts!B:D,3,FALSE())</f>
        <v>0</v>
      </c>
      <c r="E67" s="15">
        <f>VLOOKUP(B:B,Courts!B:E,4,FALSE())</f>
        <v>0</v>
      </c>
      <c r="F67" s="18">
        <v>44</v>
      </c>
      <c r="G67" s="18">
        <v>0</v>
      </c>
      <c r="H67" s="18">
        <v>11</v>
      </c>
      <c r="I67" s="18">
        <v>0</v>
      </c>
      <c r="J67" s="18">
        <v>25</v>
      </c>
      <c r="K67" s="18">
        <v>3</v>
      </c>
      <c r="L67" s="18">
        <v>1</v>
      </c>
      <c r="M67" s="18">
        <v>0</v>
      </c>
      <c r="N67" s="18">
        <v>8</v>
      </c>
      <c r="O67" s="18">
        <f t="shared" si="13"/>
        <v>37</v>
      </c>
      <c r="P67" s="18">
        <f t="shared" ref="P67:P131" si="19">F67+G67+H67+I67+J67+M67+N67</f>
        <v>88</v>
      </c>
      <c r="Q67" s="18">
        <f t="shared" si="14"/>
        <v>80</v>
      </c>
      <c r="R67" s="18">
        <f t="shared" si="15"/>
        <v>0</v>
      </c>
      <c r="S67" s="18">
        <f t="shared" si="16"/>
        <v>0</v>
      </c>
      <c r="T67" s="18">
        <f t="shared" si="17"/>
        <v>80</v>
      </c>
      <c r="U67" s="18">
        <f t="shared" si="18"/>
        <v>8</v>
      </c>
      <c r="V67">
        <v>0</v>
      </c>
    </row>
    <row r="68" spans="1:22" x14ac:dyDescent="0.25">
      <c r="A68" s="15">
        <v>67</v>
      </c>
      <c r="B68" s="19" t="s">
        <v>95</v>
      </c>
      <c r="C68" s="17">
        <f>VLOOKUP(B:B,Courts!B:C,2,FALSE())</f>
        <v>6</v>
      </c>
      <c r="D68" s="17">
        <f>VLOOKUP(B:B,Courts!B:D,3,FALSE())</f>
        <v>0</v>
      </c>
      <c r="E68" s="15">
        <f>VLOOKUP(B:B,Courts!B:E,4,FALSE())</f>
        <v>1</v>
      </c>
      <c r="F68" s="18">
        <v>12</v>
      </c>
      <c r="G68" s="18">
        <v>0</v>
      </c>
      <c r="H68" s="18">
        <v>2</v>
      </c>
      <c r="I68" s="18">
        <v>0</v>
      </c>
      <c r="J68" s="18">
        <v>9</v>
      </c>
      <c r="K68" s="18">
        <v>2</v>
      </c>
      <c r="L68" s="18">
        <v>0</v>
      </c>
      <c r="M68" s="18">
        <v>4</v>
      </c>
      <c r="N68" s="18">
        <v>1</v>
      </c>
      <c r="O68" s="18">
        <f t="shared" si="13"/>
        <v>16</v>
      </c>
      <c r="P68" s="18">
        <f t="shared" si="19"/>
        <v>28</v>
      </c>
      <c r="Q68" s="18">
        <f t="shared" si="14"/>
        <v>48</v>
      </c>
      <c r="R68" s="18">
        <f t="shared" si="15"/>
        <v>0</v>
      </c>
      <c r="S68" s="18">
        <f t="shared" si="16"/>
        <v>4</v>
      </c>
      <c r="T68" s="18">
        <f t="shared" si="17"/>
        <v>52</v>
      </c>
      <c r="U68" s="18">
        <f t="shared" si="18"/>
        <v>-24</v>
      </c>
      <c r="V68">
        <v>-22</v>
      </c>
    </row>
    <row r="69" spans="1:22" x14ac:dyDescent="0.25">
      <c r="A69" s="15">
        <v>68</v>
      </c>
      <c r="B69" s="19" t="s">
        <v>96</v>
      </c>
      <c r="C69" s="17">
        <f>VLOOKUP(B:B,Courts!B:C,2,FALSE())</f>
        <v>2</v>
      </c>
      <c r="D69" s="17">
        <f>VLOOKUP(B:B,Courts!B:D,3,FALSE())</f>
        <v>0</v>
      </c>
      <c r="E69" s="15">
        <f>VLOOKUP(B:B,Courts!B:E,4,FALSE())</f>
        <v>1</v>
      </c>
      <c r="F69" s="18">
        <v>4</v>
      </c>
      <c r="G69" s="18">
        <v>0</v>
      </c>
      <c r="H69" s="18">
        <v>1</v>
      </c>
      <c r="I69" s="18">
        <v>0</v>
      </c>
      <c r="J69" s="18">
        <v>0</v>
      </c>
      <c r="K69" s="18">
        <v>2</v>
      </c>
      <c r="L69" s="18">
        <v>0</v>
      </c>
      <c r="M69" s="18">
        <v>4</v>
      </c>
      <c r="N69" s="18">
        <v>5</v>
      </c>
      <c r="O69" s="18">
        <f t="shared" si="13"/>
        <v>11</v>
      </c>
      <c r="P69" s="18">
        <f t="shared" si="19"/>
        <v>14</v>
      </c>
      <c r="Q69" s="18">
        <f t="shared" si="14"/>
        <v>16</v>
      </c>
      <c r="R69" s="18">
        <f t="shared" si="15"/>
        <v>0</v>
      </c>
      <c r="S69" s="18">
        <f t="shared" si="16"/>
        <v>4</v>
      </c>
      <c r="T69" s="18">
        <f t="shared" si="17"/>
        <v>20</v>
      </c>
      <c r="U69" s="18">
        <f t="shared" si="18"/>
        <v>-6</v>
      </c>
      <c r="V69">
        <v>0</v>
      </c>
    </row>
    <row r="70" spans="1:22" x14ac:dyDescent="0.25">
      <c r="A70" s="15">
        <v>69</v>
      </c>
      <c r="B70" s="16" t="s">
        <v>97</v>
      </c>
      <c r="C70" s="17">
        <f>VLOOKUP(B:B,Courts!B:C,2,FALSE())</f>
        <v>28</v>
      </c>
      <c r="D70" s="17">
        <f>VLOOKUP(B:B,Courts!B:D,3,FALSE())</f>
        <v>0</v>
      </c>
      <c r="E70" s="15">
        <f>VLOOKUP(B:B,Courts!B:E,4,FALSE())</f>
        <v>0</v>
      </c>
      <c r="F70" s="18">
        <v>116</v>
      </c>
      <c r="G70" s="18">
        <v>0</v>
      </c>
      <c r="H70" s="18">
        <v>27</v>
      </c>
      <c r="I70" s="18">
        <v>3</v>
      </c>
      <c r="J70" s="18">
        <v>4</v>
      </c>
      <c r="K70" s="18">
        <v>3</v>
      </c>
      <c r="L70" s="18">
        <v>3</v>
      </c>
      <c r="M70" s="18">
        <v>0</v>
      </c>
      <c r="N70" s="18">
        <v>90</v>
      </c>
      <c r="O70" s="18">
        <f t="shared" si="13"/>
        <v>100</v>
      </c>
      <c r="P70" s="18">
        <f t="shared" si="19"/>
        <v>240</v>
      </c>
      <c r="Q70" s="18">
        <f t="shared" si="14"/>
        <v>224</v>
      </c>
      <c r="R70" s="18">
        <f t="shared" si="15"/>
        <v>0</v>
      </c>
      <c r="S70" s="18">
        <f t="shared" si="16"/>
        <v>0</v>
      </c>
      <c r="T70" s="18">
        <f t="shared" si="17"/>
        <v>224</v>
      </c>
      <c r="U70" s="18">
        <f t="shared" si="18"/>
        <v>16</v>
      </c>
      <c r="V70">
        <v>0</v>
      </c>
    </row>
    <row r="71" spans="1:22" x14ac:dyDescent="0.25">
      <c r="A71" s="15">
        <v>70</v>
      </c>
      <c r="B71" s="16" t="s">
        <v>98</v>
      </c>
      <c r="C71" s="17">
        <f>VLOOKUP(B:B,Courts!B:C,2,FALSE())</f>
        <v>22</v>
      </c>
      <c r="D71" s="17">
        <f>VLOOKUP(B:B,Courts!B:D,3,FALSE())</f>
        <v>5</v>
      </c>
      <c r="E71" s="15">
        <f>VLOOKUP(B:B,Courts!B:E,4,FALSE())</f>
        <v>0</v>
      </c>
      <c r="F71" s="18">
        <v>80</v>
      </c>
      <c r="G71" s="18">
        <v>0</v>
      </c>
      <c r="H71" s="18">
        <v>16</v>
      </c>
      <c r="I71" s="18">
        <v>0</v>
      </c>
      <c r="J71" s="18">
        <v>20</v>
      </c>
      <c r="K71" s="18">
        <v>3</v>
      </c>
      <c r="L71" s="18">
        <v>2</v>
      </c>
      <c r="M71" s="18">
        <v>0</v>
      </c>
      <c r="N71" s="18">
        <v>68</v>
      </c>
      <c r="O71" s="18">
        <f t="shared" si="13"/>
        <v>93</v>
      </c>
      <c r="P71" s="18">
        <f t="shared" si="19"/>
        <v>184</v>
      </c>
      <c r="Q71" s="18">
        <f t="shared" si="14"/>
        <v>176</v>
      </c>
      <c r="R71" s="18">
        <f t="shared" si="15"/>
        <v>40</v>
      </c>
      <c r="S71" s="18">
        <f t="shared" si="16"/>
        <v>0</v>
      </c>
      <c r="T71" s="18">
        <f t="shared" si="17"/>
        <v>216</v>
      </c>
      <c r="U71" s="18">
        <f t="shared" si="18"/>
        <v>-32</v>
      </c>
      <c r="V71">
        <v>-32</v>
      </c>
    </row>
    <row r="72" spans="1:22" x14ac:dyDescent="0.25">
      <c r="A72" s="15">
        <v>71</v>
      </c>
      <c r="B72" s="19" t="s">
        <v>99</v>
      </c>
      <c r="C72" s="17">
        <f>VLOOKUP(B:B,Courts!B:C,2,FALSE())</f>
        <v>2</v>
      </c>
      <c r="D72" s="17">
        <f>VLOOKUP(B:B,Courts!B:D,3,FALSE())</f>
        <v>1</v>
      </c>
      <c r="E72" s="15">
        <f>VLOOKUP(B:B,Courts!B:E,4,FALSE())</f>
        <v>1</v>
      </c>
      <c r="F72" s="18">
        <v>12</v>
      </c>
      <c r="G72" s="18">
        <v>0</v>
      </c>
      <c r="H72" s="18">
        <v>6</v>
      </c>
      <c r="I72" s="18">
        <v>0</v>
      </c>
      <c r="J72" s="18">
        <v>0</v>
      </c>
      <c r="K72" s="18">
        <v>2</v>
      </c>
      <c r="L72" s="18">
        <v>0</v>
      </c>
      <c r="M72" s="18">
        <v>4</v>
      </c>
      <c r="N72" s="18">
        <v>3</v>
      </c>
      <c r="O72" s="18">
        <f t="shared" si="13"/>
        <v>9</v>
      </c>
      <c r="P72" s="18">
        <f t="shared" si="19"/>
        <v>25</v>
      </c>
      <c r="Q72" s="18">
        <f t="shared" si="14"/>
        <v>16</v>
      </c>
      <c r="R72" s="18">
        <f t="shared" si="15"/>
        <v>8</v>
      </c>
      <c r="S72" s="18">
        <f t="shared" si="16"/>
        <v>4</v>
      </c>
      <c r="T72" s="18">
        <f t="shared" si="17"/>
        <v>28</v>
      </c>
      <c r="U72" s="18">
        <f t="shared" si="18"/>
        <v>-3</v>
      </c>
      <c r="V72">
        <v>-3</v>
      </c>
    </row>
    <row r="73" spans="1:22" x14ac:dyDescent="0.25">
      <c r="A73" s="15">
        <v>72</v>
      </c>
      <c r="B73" s="16" t="s">
        <v>100</v>
      </c>
      <c r="C73" s="17">
        <f>VLOOKUP(B:B,Courts!B:C,2,FALSE())</f>
        <v>15</v>
      </c>
      <c r="D73" s="17">
        <f>VLOOKUP(B:B,Courts!B:D,3,FALSE())</f>
        <v>3</v>
      </c>
      <c r="E73" s="15">
        <f>VLOOKUP(B:B,Courts!B:E,4,FALSE())</f>
        <v>0</v>
      </c>
      <c r="F73" s="18">
        <v>64</v>
      </c>
      <c r="G73" s="18">
        <v>0</v>
      </c>
      <c r="H73" s="18">
        <v>16</v>
      </c>
      <c r="I73" s="18">
        <v>0</v>
      </c>
      <c r="J73" s="18">
        <v>12</v>
      </c>
      <c r="K73" s="18">
        <v>3</v>
      </c>
      <c r="L73" s="18">
        <v>2</v>
      </c>
      <c r="M73" s="18">
        <v>0</v>
      </c>
      <c r="N73" s="18">
        <v>28</v>
      </c>
      <c r="O73" s="18">
        <f t="shared" si="13"/>
        <v>45</v>
      </c>
      <c r="P73" s="18">
        <f t="shared" si="19"/>
        <v>120</v>
      </c>
      <c r="Q73" s="18">
        <f t="shared" si="14"/>
        <v>120</v>
      </c>
      <c r="R73" s="18">
        <f t="shared" si="15"/>
        <v>24</v>
      </c>
      <c r="S73" s="18">
        <f t="shared" si="16"/>
        <v>0</v>
      </c>
      <c r="T73" s="18">
        <f t="shared" si="17"/>
        <v>144</v>
      </c>
      <c r="U73" s="18">
        <f t="shared" si="18"/>
        <v>-24</v>
      </c>
      <c r="V73">
        <v>-17</v>
      </c>
    </row>
    <row r="74" spans="1:22" x14ac:dyDescent="0.25">
      <c r="A74" s="15">
        <v>73</v>
      </c>
      <c r="B74" s="19" t="s">
        <v>101</v>
      </c>
      <c r="C74" s="17">
        <f>VLOOKUP(B:B,Courts!B:C,2,FALSE())</f>
        <v>2</v>
      </c>
      <c r="D74" s="17">
        <f>VLOOKUP(B:B,Courts!B:D,3,FALSE())</f>
        <v>0</v>
      </c>
      <c r="E74" s="15">
        <f>VLOOKUP(B:B,Courts!B:E,4,FALSE())</f>
        <v>1</v>
      </c>
      <c r="F74" s="18">
        <v>4</v>
      </c>
      <c r="G74" s="18">
        <v>0</v>
      </c>
      <c r="H74" s="18">
        <v>6</v>
      </c>
      <c r="I74" s="18">
        <v>0</v>
      </c>
      <c r="J74" s="18">
        <v>0</v>
      </c>
      <c r="K74" s="18">
        <v>2</v>
      </c>
      <c r="L74" s="18">
        <v>0</v>
      </c>
      <c r="M74" s="18">
        <v>4</v>
      </c>
      <c r="N74" s="18">
        <v>9</v>
      </c>
      <c r="O74" s="18">
        <f t="shared" si="13"/>
        <v>15</v>
      </c>
      <c r="P74" s="18">
        <f t="shared" si="19"/>
        <v>23</v>
      </c>
      <c r="Q74" s="18">
        <f t="shared" si="14"/>
        <v>16</v>
      </c>
      <c r="R74" s="18">
        <f t="shared" si="15"/>
        <v>0</v>
      </c>
      <c r="S74" s="18">
        <f t="shared" si="16"/>
        <v>4</v>
      </c>
      <c r="T74" s="18">
        <f t="shared" si="17"/>
        <v>20</v>
      </c>
      <c r="U74" s="18">
        <f t="shared" si="18"/>
        <v>3</v>
      </c>
      <c r="V74">
        <v>0</v>
      </c>
    </row>
    <row r="75" spans="1:22" x14ac:dyDescent="0.25">
      <c r="A75" s="15">
        <v>74</v>
      </c>
      <c r="B75" s="19" t="s">
        <v>102</v>
      </c>
      <c r="C75" s="17">
        <f>VLOOKUP(B:B,Courts!B:C,2,FALSE())</f>
        <v>1</v>
      </c>
      <c r="D75" s="17">
        <f>VLOOKUP(B:B,Courts!B:D,3,FALSE())</f>
        <v>0</v>
      </c>
      <c r="E75" s="15">
        <f>VLOOKUP(B:B,Courts!B:E,4,FALSE())</f>
        <v>1</v>
      </c>
      <c r="F75" s="18">
        <v>4</v>
      </c>
      <c r="G75" s="18">
        <v>0</v>
      </c>
      <c r="H75" s="18">
        <v>1</v>
      </c>
      <c r="I75" s="18">
        <v>0</v>
      </c>
      <c r="J75" s="18">
        <v>3</v>
      </c>
      <c r="K75" s="18">
        <v>1</v>
      </c>
      <c r="L75" s="18">
        <v>0</v>
      </c>
      <c r="M75" s="18">
        <v>0</v>
      </c>
      <c r="N75" s="18">
        <v>0</v>
      </c>
      <c r="O75" s="18">
        <f t="shared" si="13"/>
        <v>4</v>
      </c>
      <c r="P75" s="18">
        <f t="shared" si="19"/>
        <v>8</v>
      </c>
      <c r="Q75" s="18">
        <f t="shared" si="14"/>
        <v>8</v>
      </c>
      <c r="R75" s="18">
        <f t="shared" si="15"/>
        <v>0</v>
      </c>
      <c r="S75" s="18">
        <f t="shared" si="16"/>
        <v>4</v>
      </c>
      <c r="T75" s="18">
        <f t="shared" si="17"/>
        <v>12</v>
      </c>
      <c r="U75" s="18">
        <f t="shared" si="18"/>
        <v>-4</v>
      </c>
      <c r="V75">
        <v>0</v>
      </c>
    </row>
    <row r="76" spans="1:22" x14ac:dyDescent="0.25">
      <c r="A76" s="15">
        <v>75</v>
      </c>
      <c r="B76" s="19" t="s">
        <v>103</v>
      </c>
      <c r="C76" s="17">
        <f>VLOOKUP(B:B,Courts!B:C,2,FALSE())</f>
        <v>1</v>
      </c>
      <c r="D76" s="17">
        <f>VLOOKUP(B:B,Courts!B:D,3,FALSE())</f>
        <v>0</v>
      </c>
      <c r="E76" s="15">
        <f>VLOOKUP(B:B,Courts!B:E,4,FALSE())</f>
        <v>1</v>
      </c>
      <c r="F76" s="18">
        <v>4</v>
      </c>
      <c r="G76" s="18">
        <v>0</v>
      </c>
      <c r="H76" s="18">
        <v>1</v>
      </c>
      <c r="I76" s="18">
        <v>0</v>
      </c>
      <c r="J76" s="18">
        <v>3</v>
      </c>
      <c r="K76" s="18">
        <v>2</v>
      </c>
      <c r="L76" s="18">
        <v>0</v>
      </c>
      <c r="M76" s="18">
        <v>4</v>
      </c>
      <c r="N76" s="18">
        <v>8</v>
      </c>
      <c r="O76" s="18">
        <f t="shared" si="13"/>
        <v>17</v>
      </c>
      <c r="P76" s="18">
        <f t="shared" si="19"/>
        <v>20</v>
      </c>
      <c r="Q76" s="18">
        <f t="shared" si="14"/>
        <v>8</v>
      </c>
      <c r="R76" s="18">
        <f t="shared" si="15"/>
        <v>0</v>
      </c>
      <c r="S76" s="18">
        <f t="shared" si="16"/>
        <v>4</v>
      </c>
      <c r="T76" s="18">
        <f t="shared" si="17"/>
        <v>12</v>
      </c>
      <c r="U76" s="18">
        <f t="shared" si="18"/>
        <v>8</v>
      </c>
      <c r="V76">
        <v>0</v>
      </c>
    </row>
    <row r="77" spans="1:22" x14ac:dyDescent="0.25">
      <c r="A77" s="15">
        <v>76</v>
      </c>
      <c r="B77" s="16" t="s">
        <v>104</v>
      </c>
      <c r="C77" s="17">
        <f>VLOOKUP(B:B,Courts!B:C,2,FALSE())</f>
        <v>8</v>
      </c>
      <c r="D77" s="17">
        <f>VLOOKUP(B:B,Courts!B:D,3,FALSE())</f>
        <v>1</v>
      </c>
      <c r="E77" s="15">
        <f>VLOOKUP(B:B,Courts!B:E,4,FALSE())</f>
        <v>0</v>
      </c>
      <c r="F77" s="18">
        <v>16</v>
      </c>
      <c r="G77" s="18">
        <v>0</v>
      </c>
      <c r="H77" s="18">
        <v>25</v>
      </c>
      <c r="I77" s="18">
        <v>0</v>
      </c>
      <c r="J77" s="18">
        <v>7</v>
      </c>
      <c r="K77" s="18">
        <v>2</v>
      </c>
      <c r="L77" s="18">
        <v>0</v>
      </c>
      <c r="M77" s="18">
        <v>0</v>
      </c>
      <c r="N77" s="18">
        <v>24</v>
      </c>
      <c r="O77" s="18">
        <f t="shared" si="13"/>
        <v>33</v>
      </c>
      <c r="P77" s="18">
        <f t="shared" si="19"/>
        <v>72</v>
      </c>
      <c r="Q77" s="18">
        <f t="shared" si="14"/>
        <v>64</v>
      </c>
      <c r="R77" s="18">
        <f t="shared" si="15"/>
        <v>8</v>
      </c>
      <c r="S77" s="18">
        <f t="shared" si="16"/>
        <v>0</v>
      </c>
      <c r="T77" s="18">
        <f t="shared" si="17"/>
        <v>72</v>
      </c>
      <c r="U77" s="18">
        <f t="shared" si="18"/>
        <v>0</v>
      </c>
      <c r="V77">
        <v>0</v>
      </c>
    </row>
    <row r="78" spans="1:22" x14ac:dyDescent="0.25">
      <c r="A78" s="15">
        <v>77</v>
      </c>
      <c r="B78" s="16" t="s">
        <v>105</v>
      </c>
      <c r="C78" s="17">
        <f>VLOOKUP(B:B,Courts!B:C,2,FALSE())</f>
        <v>39</v>
      </c>
      <c r="D78" s="17">
        <f>VLOOKUP(B:B,Courts!B:D,3,FALSE())</f>
        <v>10</v>
      </c>
      <c r="E78" s="15">
        <f>VLOOKUP(B:B,Courts!B:E,4,FALSE())</f>
        <v>0</v>
      </c>
      <c r="F78" s="18">
        <v>132</v>
      </c>
      <c r="G78" s="18">
        <v>0</v>
      </c>
      <c r="H78" s="18">
        <v>42</v>
      </c>
      <c r="I78" s="18">
        <v>3</v>
      </c>
      <c r="J78" s="18">
        <v>11</v>
      </c>
      <c r="K78" s="18">
        <v>3</v>
      </c>
      <c r="L78" s="18">
        <v>3</v>
      </c>
      <c r="M78" s="18">
        <v>0</v>
      </c>
      <c r="N78" s="18">
        <v>124</v>
      </c>
      <c r="O78" s="18">
        <f t="shared" si="13"/>
        <v>141</v>
      </c>
      <c r="P78" s="18">
        <f t="shared" si="19"/>
        <v>312</v>
      </c>
      <c r="Q78" s="18">
        <f t="shared" si="14"/>
        <v>312</v>
      </c>
      <c r="R78" s="18">
        <f t="shared" si="15"/>
        <v>80</v>
      </c>
      <c r="S78" s="18">
        <f t="shared" si="16"/>
        <v>0</v>
      </c>
      <c r="T78" s="18">
        <f t="shared" si="17"/>
        <v>392</v>
      </c>
      <c r="U78" s="18">
        <f t="shared" si="18"/>
        <v>-80</v>
      </c>
      <c r="V78">
        <v>-80</v>
      </c>
    </row>
    <row r="79" spans="1:22" x14ac:dyDescent="0.25">
      <c r="A79" s="15">
        <v>78</v>
      </c>
      <c r="B79" s="16" t="s">
        <v>106</v>
      </c>
      <c r="C79" s="17">
        <f>VLOOKUP(B:B,Courts!B:C,2,FALSE())</f>
        <v>11</v>
      </c>
      <c r="D79" s="17">
        <f>VLOOKUP(B:B,Courts!B:D,3,FALSE())</f>
        <v>1</v>
      </c>
      <c r="E79" s="15">
        <f>VLOOKUP(B:B,Courts!B:E,4,FALSE())</f>
        <v>0</v>
      </c>
      <c r="F79" s="18">
        <v>36</v>
      </c>
      <c r="G79" s="18">
        <v>0</v>
      </c>
      <c r="H79" s="18">
        <v>17</v>
      </c>
      <c r="I79" s="18">
        <v>0</v>
      </c>
      <c r="J79" s="18">
        <v>9</v>
      </c>
      <c r="K79" s="18">
        <v>3</v>
      </c>
      <c r="L79" s="18">
        <v>1</v>
      </c>
      <c r="M79" s="18">
        <v>0</v>
      </c>
      <c r="N79" s="18">
        <v>10</v>
      </c>
      <c r="O79" s="18">
        <f t="shared" si="13"/>
        <v>23</v>
      </c>
      <c r="P79" s="18">
        <f t="shared" si="19"/>
        <v>72</v>
      </c>
      <c r="Q79" s="18">
        <f t="shared" si="14"/>
        <v>88</v>
      </c>
      <c r="R79" s="18">
        <f t="shared" si="15"/>
        <v>8</v>
      </c>
      <c r="S79" s="18">
        <f t="shared" si="16"/>
        <v>0</v>
      </c>
      <c r="T79" s="18">
        <f t="shared" si="17"/>
        <v>96</v>
      </c>
      <c r="U79" s="18">
        <f t="shared" si="18"/>
        <v>-24</v>
      </c>
      <c r="V79">
        <v>-24</v>
      </c>
    </row>
    <row r="80" spans="1:22" x14ac:dyDescent="0.25">
      <c r="A80" s="15">
        <v>79</v>
      </c>
      <c r="B80" s="19" t="s">
        <v>107</v>
      </c>
      <c r="C80" s="17">
        <f>VLOOKUP(B:B,Courts!B:C,2,FALSE())</f>
        <v>2</v>
      </c>
      <c r="D80" s="17">
        <f>VLOOKUP(B:B,Courts!B:D,3,FALSE())</f>
        <v>0</v>
      </c>
      <c r="E80" s="15">
        <f>VLOOKUP(B:B,Courts!B:E,4,FALSE())</f>
        <v>1</v>
      </c>
      <c r="F80" s="18">
        <v>12</v>
      </c>
      <c r="G80" s="18">
        <v>0</v>
      </c>
      <c r="H80" s="18">
        <v>7</v>
      </c>
      <c r="I80" s="18">
        <v>0</v>
      </c>
      <c r="J80" s="18">
        <v>3</v>
      </c>
      <c r="K80" s="18">
        <v>1</v>
      </c>
      <c r="L80" s="18">
        <v>0</v>
      </c>
      <c r="M80" s="18">
        <v>4</v>
      </c>
      <c r="N80" s="18">
        <v>2</v>
      </c>
      <c r="O80" s="18">
        <f t="shared" si="13"/>
        <v>10</v>
      </c>
      <c r="P80" s="18">
        <f t="shared" si="19"/>
        <v>28</v>
      </c>
      <c r="Q80" s="18">
        <f t="shared" si="14"/>
        <v>16</v>
      </c>
      <c r="R80" s="18">
        <f t="shared" si="15"/>
        <v>0</v>
      </c>
      <c r="S80" s="18">
        <f t="shared" si="16"/>
        <v>4</v>
      </c>
      <c r="T80" s="18">
        <f t="shared" si="17"/>
        <v>20</v>
      </c>
      <c r="U80" s="18">
        <f t="shared" si="18"/>
        <v>8</v>
      </c>
      <c r="V80">
        <v>0</v>
      </c>
    </row>
    <row r="81" spans="1:22" x14ac:dyDescent="0.25">
      <c r="A81" s="15">
        <v>80</v>
      </c>
      <c r="B81" s="19" t="s">
        <v>108</v>
      </c>
      <c r="C81" s="17">
        <f>VLOOKUP(B:B,Courts!B:C,2,FALSE())</f>
        <v>2</v>
      </c>
      <c r="D81" s="17">
        <f>VLOOKUP(B:B,Courts!B:D,3,FALSE())</f>
        <v>1</v>
      </c>
      <c r="E81" s="15">
        <f>VLOOKUP(B:B,Courts!B:E,4,FALSE())</f>
        <v>1</v>
      </c>
      <c r="F81" s="18">
        <v>4</v>
      </c>
      <c r="G81" s="18">
        <v>0</v>
      </c>
      <c r="H81" s="18">
        <v>6</v>
      </c>
      <c r="I81" s="18">
        <v>0</v>
      </c>
      <c r="J81" s="18">
        <v>4</v>
      </c>
      <c r="K81" s="18">
        <v>1</v>
      </c>
      <c r="L81" s="18">
        <v>0</v>
      </c>
      <c r="M81" s="18">
        <v>4</v>
      </c>
      <c r="N81" s="18">
        <v>2</v>
      </c>
      <c r="O81" s="18">
        <f t="shared" si="13"/>
        <v>11</v>
      </c>
      <c r="P81" s="18">
        <f t="shared" si="19"/>
        <v>20</v>
      </c>
      <c r="Q81" s="18">
        <f t="shared" si="14"/>
        <v>16</v>
      </c>
      <c r="R81" s="18">
        <f t="shared" si="15"/>
        <v>8</v>
      </c>
      <c r="S81" s="18">
        <f t="shared" si="16"/>
        <v>4</v>
      </c>
      <c r="T81" s="18">
        <f t="shared" si="17"/>
        <v>28</v>
      </c>
      <c r="U81" s="18">
        <f t="shared" si="18"/>
        <v>-8</v>
      </c>
      <c r="V81">
        <v>0</v>
      </c>
    </row>
    <row r="82" spans="1:22" x14ac:dyDescent="0.25">
      <c r="A82" s="15">
        <v>81</v>
      </c>
      <c r="B82" s="16" t="s">
        <v>109</v>
      </c>
      <c r="C82" s="17">
        <f>VLOOKUP(B:B,Courts!B:C,2,FALSE())</f>
        <v>48</v>
      </c>
      <c r="D82" s="17">
        <f>VLOOKUP(B:B,Courts!B:D,3,FALSE())</f>
        <v>14</v>
      </c>
      <c r="E82" s="15">
        <f>VLOOKUP(B:B,Courts!B:E,4,FALSE())</f>
        <v>0</v>
      </c>
      <c r="F82" s="18">
        <v>132</v>
      </c>
      <c r="G82" s="18">
        <v>0</v>
      </c>
      <c r="H82" s="18">
        <v>77</v>
      </c>
      <c r="I82" s="18">
        <v>3</v>
      </c>
      <c r="J82" s="18">
        <v>50</v>
      </c>
      <c r="K82" s="18">
        <v>3</v>
      </c>
      <c r="L82" s="18">
        <v>4</v>
      </c>
      <c r="M82" s="18">
        <v>0</v>
      </c>
      <c r="N82" s="18">
        <v>138</v>
      </c>
      <c r="O82" s="18">
        <f t="shared" si="13"/>
        <v>195</v>
      </c>
      <c r="P82" s="18">
        <f t="shared" si="19"/>
        <v>400</v>
      </c>
      <c r="Q82" s="18">
        <f t="shared" si="14"/>
        <v>384</v>
      </c>
      <c r="R82" s="18">
        <f t="shared" si="15"/>
        <v>112</v>
      </c>
      <c r="S82" s="18">
        <f t="shared" si="16"/>
        <v>0</v>
      </c>
      <c r="T82" s="18">
        <f t="shared" si="17"/>
        <v>496</v>
      </c>
      <c r="U82" s="18">
        <f t="shared" si="18"/>
        <v>-96</v>
      </c>
      <c r="V82">
        <v>-96</v>
      </c>
    </row>
    <row r="83" spans="1:22" x14ac:dyDescent="0.25">
      <c r="A83" s="15">
        <v>82</v>
      </c>
      <c r="B83" s="19" t="s">
        <v>110</v>
      </c>
      <c r="C83" s="17">
        <f>VLOOKUP(B:B,Courts!B:C,2,FALSE())</f>
        <v>3</v>
      </c>
      <c r="D83" s="17">
        <f>VLOOKUP(B:B,Courts!B:D,3,FALSE())</f>
        <v>1</v>
      </c>
      <c r="E83" s="15">
        <f>VLOOKUP(B:B,Courts!B:E,4,FALSE())</f>
        <v>1</v>
      </c>
      <c r="F83" s="18">
        <v>12</v>
      </c>
      <c r="G83" s="18">
        <v>0</v>
      </c>
      <c r="H83" s="18">
        <v>7</v>
      </c>
      <c r="I83" s="18">
        <v>0</v>
      </c>
      <c r="J83" s="18">
        <v>0</v>
      </c>
      <c r="K83" s="18">
        <v>1</v>
      </c>
      <c r="L83" s="18">
        <v>0</v>
      </c>
      <c r="M83" s="18">
        <v>4</v>
      </c>
      <c r="N83" s="18">
        <v>6</v>
      </c>
      <c r="O83" s="18">
        <f t="shared" si="13"/>
        <v>11</v>
      </c>
      <c r="P83" s="18">
        <f t="shared" si="19"/>
        <v>29</v>
      </c>
      <c r="Q83" s="18">
        <f t="shared" si="14"/>
        <v>24</v>
      </c>
      <c r="R83" s="18">
        <f t="shared" si="15"/>
        <v>8</v>
      </c>
      <c r="S83" s="18">
        <f t="shared" si="16"/>
        <v>4</v>
      </c>
      <c r="T83" s="18">
        <f t="shared" si="17"/>
        <v>36</v>
      </c>
      <c r="U83" s="18">
        <f t="shared" si="18"/>
        <v>-7</v>
      </c>
      <c r="V83">
        <v>-7</v>
      </c>
    </row>
    <row r="84" spans="1:22" x14ac:dyDescent="0.25">
      <c r="A84" s="15">
        <v>83</v>
      </c>
      <c r="B84" s="19" t="s">
        <v>111</v>
      </c>
      <c r="C84" s="17">
        <f>VLOOKUP(B:B,Courts!B:C,2,FALSE())</f>
        <v>3</v>
      </c>
      <c r="D84" s="17">
        <f>VLOOKUP(B:B,Courts!B:D,3,FALSE())</f>
        <v>1</v>
      </c>
      <c r="E84" s="15">
        <f>VLOOKUP(B:B,Courts!B:E,4,FALSE())</f>
        <v>1</v>
      </c>
      <c r="F84" s="18">
        <v>12</v>
      </c>
      <c r="G84" s="18">
        <v>0</v>
      </c>
      <c r="H84" s="18">
        <v>7</v>
      </c>
      <c r="I84" s="18">
        <v>0</v>
      </c>
      <c r="J84" s="18">
        <v>0</v>
      </c>
      <c r="K84" s="18">
        <v>2</v>
      </c>
      <c r="L84" s="18">
        <v>0</v>
      </c>
      <c r="M84" s="18">
        <v>4</v>
      </c>
      <c r="N84" s="18">
        <v>6</v>
      </c>
      <c r="O84" s="18">
        <f t="shared" si="13"/>
        <v>12</v>
      </c>
      <c r="P84" s="18">
        <f t="shared" si="19"/>
        <v>29</v>
      </c>
      <c r="Q84" s="18">
        <f t="shared" si="14"/>
        <v>24</v>
      </c>
      <c r="R84" s="18">
        <f t="shared" si="15"/>
        <v>8</v>
      </c>
      <c r="S84" s="18">
        <f t="shared" si="16"/>
        <v>4</v>
      </c>
      <c r="T84" s="18">
        <f t="shared" si="17"/>
        <v>36</v>
      </c>
      <c r="U84" s="18">
        <f t="shared" si="18"/>
        <v>-7</v>
      </c>
      <c r="V84">
        <v>-7</v>
      </c>
    </row>
    <row r="85" spans="1:22" x14ac:dyDescent="0.25">
      <c r="A85" s="15">
        <v>84</v>
      </c>
      <c r="B85" s="16" t="s">
        <v>112</v>
      </c>
      <c r="C85" s="17">
        <f>VLOOKUP(B:B,Courts!B:C,2,FALSE())</f>
        <v>23</v>
      </c>
      <c r="D85" s="17">
        <f>VLOOKUP(B:B,Courts!B:D,3,FALSE())</f>
        <v>9</v>
      </c>
      <c r="E85" s="15">
        <f>VLOOKUP(B:B,Courts!B:E,4,FALSE())</f>
        <v>0</v>
      </c>
      <c r="F85" s="18">
        <v>88</v>
      </c>
      <c r="G85" s="18">
        <v>0</v>
      </c>
      <c r="H85" s="18">
        <v>18</v>
      </c>
      <c r="I85" s="18">
        <v>0</v>
      </c>
      <c r="J85" s="18">
        <v>0</v>
      </c>
      <c r="K85" s="18">
        <v>2</v>
      </c>
      <c r="L85" s="18">
        <v>2</v>
      </c>
      <c r="M85" s="18">
        <v>0</v>
      </c>
      <c r="N85" s="18">
        <v>74</v>
      </c>
      <c r="O85" s="18">
        <f t="shared" si="13"/>
        <v>78</v>
      </c>
      <c r="P85" s="18">
        <f t="shared" si="19"/>
        <v>180</v>
      </c>
      <c r="Q85" s="18">
        <f t="shared" si="14"/>
        <v>184</v>
      </c>
      <c r="R85" s="18">
        <f t="shared" si="15"/>
        <v>72</v>
      </c>
      <c r="S85" s="18">
        <f t="shared" si="16"/>
        <v>0</v>
      </c>
      <c r="T85" s="18">
        <f t="shared" si="17"/>
        <v>256</v>
      </c>
      <c r="U85" s="18">
        <f t="shared" si="18"/>
        <v>-76</v>
      </c>
      <c r="V85">
        <v>-73</v>
      </c>
    </row>
    <row r="86" spans="1:22" x14ac:dyDescent="0.25">
      <c r="A86" s="15">
        <v>85</v>
      </c>
      <c r="B86" s="19" t="s">
        <v>113</v>
      </c>
      <c r="C86" s="17">
        <f>VLOOKUP(B:B,Courts!B:C,2,FALSE())</f>
        <v>3</v>
      </c>
      <c r="D86" s="17">
        <f>VLOOKUP(B:B,Courts!B:D,3,FALSE())</f>
        <v>1</v>
      </c>
      <c r="E86" s="15">
        <f>VLOOKUP(B:B,Courts!B:E,4,FALSE())</f>
        <v>1</v>
      </c>
      <c r="F86" s="18">
        <v>16</v>
      </c>
      <c r="G86" s="18">
        <v>0</v>
      </c>
      <c r="H86" s="18">
        <v>7</v>
      </c>
      <c r="I86" s="18">
        <v>0</v>
      </c>
      <c r="J86" s="18">
        <v>0</v>
      </c>
      <c r="K86" s="18">
        <v>2</v>
      </c>
      <c r="L86" s="18">
        <v>0</v>
      </c>
      <c r="M86" s="18">
        <v>4</v>
      </c>
      <c r="N86" s="18">
        <v>12</v>
      </c>
      <c r="O86" s="18">
        <f t="shared" si="13"/>
        <v>18</v>
      </c>
      <c r="P86" s="18">
        <f t="shared" si="19"/>
        <v>39</v>
      </c>
      <c r="Q86" s="18">
        <f t="shared" si="14"/>
        <v>24</v>
      </c>
      <c r="R86" s="18">
        <f t="shared" si="15"/>
        <v>8</v>
      </c>
      <c r="S86" s="18">
        <f t="shared" si="16"/>
        <v>4</v>
      </c>
      <c r="T86" s="18">
        <f t="shared" si="17"/>
        <v>36</v>
      </c>
      <c r="U86" s="18">
        <f t="shared" si="18"/>
        <v>3</v>
      </c>
      <c r="V86">
        <v>0</v>
      </c>
    </row>
    <row r="87" spans="1:22" x14ac:dyDescent="0.25">
      <c r="A87" s="15">
        <v>86</v>
      </c>
      <c r="B87" s="19" t="s">
        <v>221</v>
      </c>
      <c r="C87" s="17">
        <f>VLOOKUP(B:B,Courts!B:C,2,FALSE())</f>
        <v>1</v>
      </c>
      <c r="D87" s="17">
        <f>VLOOKUP(B:B,Courts!B:D,3,FALSE())</f>
        <v>0</v>
      </c>
      <c r="E87" s="15">
        <f>VLOOKUP(B:B,Courts!B:E,4,FALSE())</f>
        <v>1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f t="shared" si="19"/>
        <v>0</v>
      </c>
      <c r="Q87" s="18">
        <f t="shared" si="14"/>
        <v>8</v>
      </c>
      <c r="R87" s="18">
        <f t="shared" si="15"/>
        <v>0</v>
      </c>
      <c r="S87" s="18">
        <f t="shared" si="16"/>
        <v>4</v>
      </c>
      <c r="T87" s="18">
        <f t="shared" si="17"/>
        <v>12</v>
      </c>
      <c r="U87" s="18">
        <f t="shared" si="18"/>
        <v>-12</v>
      </c>
    </row>
    <row r="88" spans="1:22" x14ac:dyDescent="0.25">
      <c r="A88" s="15">
        <v>87</v>
      </c>
      <c r="B88" s="19" t="s">
        <v>222</v>
      </c>
      <c r="C88" s="17">
        <f>VLOOKUP(B:B,Courts!B:C,2,FALSE())</f>
        <v>2</v>
      </c>
      <c r="D88" s="17">
        <f>VLOOKUP(B:B,Courts!B:D,3,FALSE())</f>
        <v>0</v>
      </c>
      <c r="E88" s="15">
        <f>VLOOKUP(B:B,Courts!B:E,4,FALSE())</f>
        <v>1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f t="shared" si="19"/>
        <v>0</v>
      </c>
      <c r="Q88" s="18">
        <f t="shared" si="14"/>
        <v>16</v>
      </c>
      <c r="R88" s="18">
        <f t="shared" si="15"/>
        <v>0</v>
      </c>
      <c r="S88" s="18">
        <f t="shared" si="16"/>
        <v>4</v>
      </c>
      <c r="T88" s="18">
        <f t="shared" si="17"/>
        <v>20</v>
      </c>
      <c r="U88" s="18">
        <f t="shared" si="18"/>
        <v>-20</v>
      </c>
    </row>
    <row r="89" spans="1:22" x14ac:dyDescent="0.25">
      <c r="A89" s="15">
        <v>88</v>
      </c>
      <c r="B89" s="16" t="s">
        <v>114</v>
      </c>
      <c r="C89" s="17">
        <f>VLOOKUP(B:B,Courts!B:C,2,FALSE())</f>
        <v>11</v>
      </c>
      <c r="D89" s="17">
        <f>VLOOKUP(B:B,Courts!B:D,3,FALSE())</f>
        <v>2</v>
      </c>
      <c r="E89" s="15">
        <f>VLOOKUP(B:B,Courts!B:E,4,FALSE())</f>
        <v>0</v>
      </c>
      <c r="F89" s="18">
        <v>60</v>
      </c>
      <c r="G89" s="18">
        <v>0</v>
      </c>
      <c r="H89" s="18">
        <v>11</v>
      </c>
      <c r="I89" s="18">
        <v>0</v>
      </c>
      <c r="J89" s="18">
        <v>0</v>
      </c>
      <c r="K89" s="18">
        <v>1</v>
      </c>
      <c r="L89" s="18">
        <v>1</v>
      </c>
      <c r="M89" s="18">
        <v>0</v>
      </c>
      <c r="N89" s="18">
        <v>31</v>
      </c>
      <c r="O89" s="18">
        <f t="shared" si="13"/>
        <v>33</v>
      </c>
      <c r="P89" s="18">
        <f t="shared" si="19"/>
        <v>102</v>
      </c>
      <c r="Q89" s="18">
        <f t="shared" si="14"/>
        <v>88</v>
      </c>
      <c r="R89" s="18">
        <f t="shared" si="15"/>
        <v>16</v>
      </c>
      <c r="S89" s="18">
        <f t="shared" si="16"/>
        <v>0</v>
      </c>
      <c r="T89" s="18">
        <f t="shared" si="17"/>
        <v>104</v>
      </c>
      <c r="U89" s="18">
        <f t="shared" si="18"/>
        <v>-2</v>
      </c>
      <c r="V89">
        <v>-2</v>
      </c>
    </row>
    <row r="90" spans="1:22" x14ac:dyDescent="0.25">
      <c r="A90" s="15">
        <v>89</v>
      </c>
      <c r="B90" s="19" t="s">
        <v>115</v>
      </c>
      <c r="C90" s="17">
        <f>VLOOKUP(B:B,Courts!B:C,2,FALSE())</f>
        <v>4</v>
      </c>
      <c r="D90" s="17">
        <f>VLOOKUP(B:B,Courts!B:D,3,FALSE())</f>
        <v>2</v>
      </c>
      <c r="E90" s="15">
        <f>VLOOKUP(B:B,Courts!B:E,4,FALSE())</f>
        <v>1</v>
      </c>
      <c r="F90" s="18">
        <v>20</v>
      </c>
      <c r="G90" s="18">
        <v>0</v>
      </c>
      <c r="H90" s="18">
        <v>9</v>
      </c>
      <c r="I90" s="18">
        <v>0</v>
      </c>
      <c r="J90" s="18">
        <v>3</v>
      </c>
      <c r="K90" s="18">
        <v>1</v>
      </c>
      <c r="L90" s="18">
        <v>0</v>
      </c>
      <c r="M90" s="18">
        <v>4</v>
      </c>
      <c r="N90" s="18">
        <v>16</v>
      </c>
      <c r="O90" s="18">
        <f t="shared" si="13"/>
        <v>24</v>
      </c>
      <c r="P90" s="18">
        <f t="shared" si="19"/>
        <v>52</v>
      </c>
      <c r="Q90" s="18">
        <f t="shared" si="14"/>
        <v>32</v>
      </c>
      <c r="R90" s="18">
        <f t="shared" si="15"/>
        <v>16</v>
      </c>
      <c r="S90" s="18">
        <f t="shared" si="16"/>
        <v>4</v>
      </c>
      <c r="T90" s="18">
        <f t="shared" si="17"/>
        <v>52</v>
      </c>
      <c r="U90" s="18">
        <f t="shared" si="18"/>
        <v>0</v>
      </c>
      <c r="V90">
        <v>0</v>
      </c>
    </row>
    <row r="91" spans="1:22" x14ac:dyDescent="0.25">
      <c r="A91" s="15">
        <v>90</v>
      </c>
      <c r="B91" s="16" t="s">
        <v>116</v>
      </c>
      <c r="C91" s="17">
        <f>VLOOKUP(B:B,Courts!B:C,2,FALSE())</f>
        <v>10</v>
      </c>
      <c r="D91" s="17">
        <f>VLOOKUP(B:B,Courts!B:D,3,FALSE())</f>
        <v>3</v>
      </c>
      <c r="E91" s="15">
        <f>VLOOKUP(B:B,Courts!B:E,4,FALSE())</f>
        <v>0</v>
      </c>
      <c r="F91" s="18">
        <v>48</v>
      </c>
      <c r="G91" s="18">
        <v>0</v>
      </c>
      <c r="H91" s="18">
        <v>13</v>
      </c>
      <c r="I91" s="18">
        <v>0</v>
      </c>
      <c r="J91" s="18">
        <v>19</v>
      </c>
      <c r="K91" s="18">
        <v>5</v>
      </c>
      <c r="L91" s="18">
        <v>2</v>
      </c>
      <c r="M91" s="18">
        <v>0</v>
      </c>
      <c r="N91" s="18">
        <v>16</v>
      </c>
      <c r="O91" s="18">
        <f t="shared" si="13"/>
        <v>42</v>
      </c>
      <c r="P91" s="18">
        <f t="shared" si="19"/>
        <v>96</v>
      </c>
      <c r="Q91" s="18">
        <f t="shared" si="14"/>
        <v>80</v>
      </c>
      <c r="R91" s="18">
        <f t="shared" si="15"/>
        <v>24</v>
      </c>
      <c r="S91" s="18">
        <f t="shared" si="16"/>
        <v>0</v>
      </c>
      <c r="T91" s="18">
        <f t="shared" si="17"/>
        <v>104</v>
      </c>
      <c r="U91" s="18">
        <f t="shared" si="18"/>
        <v>-8</v>
      </c>
      <c r="V91">
        <v>-8</v>
      </c>
    </row>
    <row r="92" spans="1:22" x14ac:dyDescent="0.25">
      <c r="A92" s="15">
        <v>91</v>
      </c>
      <c r="B92" s="19" t="s">
        <v>117</v>
      </c>
      <c r="C92" s="17">
        <f>VLOOKUP(B:B,Courts!B:C,2,FALSE())</f>
        <v>2</v>
      </c>
      <c r="D92" s="17">
        <f>VLOOKUP(B:B,Courts!B:D,3,FALSE())</f>
        <v>1</v>
      </c>
      <c r="E92" s="15">
        <f>VLOOKUP(B:B,Courts!B:E,4,FALSE())</f>
        <v>1</v>
      </c>
      <c r="F92" s="18">
        <v>12</v>
      </c>
      <c r="G92" s="18">
        <v>0</v>
      </c>
      <c r="H92" s="18">
        <v>7</v>
      </c>
      <c r="I92" s="18">
        <v>0</v>
      </c>
      <c r="J92" s="18">
        <v>5</v>
      </c>
      <c r="K92" s="18">
        <v>1</v>
      </c>
      <c r="L92" s="18">
        <v>0</v>
      </c>
      <c r="M92" s="18">
        <v>4</v>
      </c>
      <c r="N92" s="18">
        <v>0</v>
      </c>
      <c r="O92" s="18">
        <f t="shared" si="13"/>
        <v>10</v>
      </c>
      <c r="P92" s="18">
        <f t="shared" si="19"/>
        <v>28</v>
      </c>
      <c r="Q92" s="18">
        <f t="shared" si="14"/>
        <v>16</v>
      </c>
      <c r="R92" s="18">
        <f t="shared" si="15"/>
        <v>8</v>
      </c>
      <c r="S92" s="18">
        <f t="shared" si="16"/>
        <v>4</v>
      </c>
      <c r="T92" s="18">
        <f t="shared" si="17"/>
        <v>28</v>
      </c>
      <c r="U92" s="18">
        <f t="shared" si="18"/>
        <v>0</v>
      </c>
      <c r="V92">
        <v>0</v>
      </c>
    </row>
    <row r="93" spans="1:22" x14ac:dyDescent="0.25">
      <c r="A93" s="15">
        <v>92</v>
      </c>
      <c r="B93" s="19" t="s">
        <v>118</v>
      </c>
      <c r="C93" s="17">
        <f>VLOOKUP(B:B,Courts!B:C,2,FALSE())</f>
        <v>2</v>
      </c>
      <c r="D93" s="17">
        <f>VLOOKUP(B:B,Courts!B:D,3,FALSE())</f>
        <v>1</v>
      </c>
      <c r="E93" s="15">
        <f>VLOOKUP(B:B,Courts!B:E,4,FALSE())</f>
        <v>1</v>
      </c>
      <c r="F93" s="18">
        <v>8</v>
      </c>
      <c r="G93" s="18">
        <v>0</v>
      </c>
      <c r="H93" s="18">
        <v>6</v>
      </c>
      <c r="I93" s="18">
        <v>0</v>
      </c>
      <c r="J93" s="18">
        <v>2</v>
      </c>
      <c r="K93" s="18">
        <v>1</v>
      </c>
      <c r="L93" s="18">
        <v>0</v>
      </c>
      <c r="M93" s="18">
        <v>4</v>
      </c>
      <c r="N93" s="18">
        <v>0</v>
      </c>
      <c r="O93" s="18">
        <f t="shared" si="13"/>
        <v>7</v>
      </c>
      <c r="P93" s="18">
        <f t="shared" si="19"/>
        <v>20</v>
      </c>
      <c r="Q93" s="18">
        <f t="shared" si="14"/>
        <v>16</v>
      </c>
      <c r="R93" s="18">
        <f t="shared" si="15"/>
        <v>8</v>
      </c>
      <c r="S93" s="18">
        <f t="shared" si="16"/>
        <v>4</v>
      </c>
      <c r="T93" s="18">
        <f t="shared" si="17"/>
        <v>28</v>
      </c>
      <c r="U93" s="18">
        <f t="shared" si="18"/>
        <v>-8</v>
      </c>
      <c r="V93">
        <v>-8</v>
      </c>
    </row>
    <row r="94" spans="1:22" x14ac:dyDescent="0.25">
      <c r="A94" s="15">
        <v>93</v>
      </c>
      <c r="B94" s="16" t="s">
        <v>119</v>
      </c>
      <c r="C94" s="17">
        <f>VLOOKUP(B:B,Courts!B:C,2,FALSE())</f>
        <v>15</v>
      </c>
      <c r="D94" s="17">
        <f>VLOOKUP(B:B,Courts!B:D,3,FALSE())</f>
        <v>4</v>
      </c>
      <c r="E94" s="15">
        <f>VLOOKUP(B:B,Courts!B:E,4,FALSE())</f>
        <v>0</v>
      </c>
      <c r="F94" s="18">
        <v>56</v>
      </c>
      <c r="G94" s="18">
        <v>0</v>
      </c>
      <c r="H94" s="18">
        <v>13</v>
      </c>
      <c r="I94" s="18">
        <v>0</v>
      </c>
      <c r="J94" s="18">
        <v>12</v>
      </c>
      <c r="K94" s="18">
        <v>3</v>
      </c>
      <c r="L94" s="18">
        <v>2</v>
      </c>
      <c r="M94" s="18">
        <v>0</v>
      </c>
      <c r="N94" s="18">
        <v>47</v>
      </c>
      <c r="O94" s="18">
        <f t="shared" si="13"/>
        <v>64</v>
      </c>
      <c r="P94" s="18">
        <f t="shared" si="19"/>
        <v>128</v>
      </c>
      <c r="Q94" s="18">
        <f t="shared" si="14"/>
        <v>120</v>
      </c>
      <c r="R94" s="18">
        <f t="shared" si="15"/>
        <v>32</v>
      </c>
      <c r="S94" s="18">
        <f t="shared" si="16"/>
        <v>0</v>
      </c>
      <c r="T94" s="18">
        <f t="shared" si="17"/>
        <v>152</v>
      </c>
      <c r="U94" s="18">
        <f t="shared" si="18"/>
        <v>-24</v>
      </c>
      <c r="V94">
        <v>-24</v>
      </c>
    </row>
    <row r="95" spans="1:22" x14ac:dyDescent="0.25">
      <c r="A95" s="15">
        <v>94</v>
      </c>
      <c r="B95" s="19" t="s">
        <v>120</v>
      </c>
      <c r="C95" s="17">
        <f>VLOOKUP(B:B,Courts!B:C,2,FALSE())</f>
        <v>2</v>
      </c>
      <c r="D95" s="17">
        <f>VLOOKUP(B:B,Courts!B:D,3,FALSE())</f>
        <v>0</v>
      </c>
      <c r="E95" s="15">
        <f>VLOOKUP(B:B,Courts!B:E,4,FALSE())</f>
        <v>1</v>
      </c>
      <c r="F95" s="18">
        <v>4</v>
      </c>
      <c r="G95" s="18">
        <v>0</v>
      </c>
      <c r="H95" s="18">
        <v>6</v>
      </c>
      <c r="I95" s="18">
        <v>0</v>
      </c>
      <c r="J95" s="18">
        <v>4</v>
      </c>
      <c r="K95" s="18">
        <v>1</v>
      </c>
      <c r="L95" s="18">
        <v>0</v>
      </c>
      <c r="M95" s="18">
        <v>4</v>
      </c>
      <c r="N95" s="18">
        <v>2</v>
      </c>
      <c r="O95" s="18">
        <f t="shared" si="13"/>
        <v>11</v>
      </c>
      <c r="P95" s="18">
        <f t="shared" si="19"/>
        <v>20</v>
      </c>
      <c r="Q95" s="18">
        <f t="shared" si="14"/>
        <v>16</v>
      </c>
      <c r="R95" s="18">
        <f t="shared" si="15"/>
        <v>0</v>
      </c>
      <c r="S95" s="18">
        <f t="shared" si="16"/>
        <v>4</v>
      </c>
      <c r="T95" s="18">
        <f t="shared" si="17"/>
        <v>20</v>
      </c>
      <c r="U95" s="18">
        <f t="shared" si="18"/>
        <v>0</v>
      </c>
      <c r="V95">
        <v>0</v>
      </c>
    </row>
    <row r="96" spans="1:22" x14ac:dyDescent="0.25">
      <c r="A96" s="15">
        <v>95</v>
      </c>
      <c r="B96" s="16" t="s">
        <v>121</v>
      </c>
      <c r="C96" s="17">
        <f>VLOOKUP(B:B,Courts!B:C,2,FALSE())</f>
        <v>26</v>
      </c>
      <c r="D96" s="17">
        <f>VLOOKUP(B:B,Courts!B:D,3,FALSE())</f>
        <v>7</v>
      </c>
      <c r="E96" s="15">
        <f>VLOOKUP(B:B,Courts!B:E,4,FALSE())</f>
        <v>0</v>
      </c>
      <c r="F96" s="18">
        <v>92</v>
      </c>
      <c r="G96" s="18">
        <v>0</v>
      </c>
      <c r="H96" s="18">
        <v>19</v>
      </c>
      <c r="I96" s="18">
        <v>0</v>
      </c>
      <c r="J96" s="18">
        <v>1</v>
      </c>
      <c r="K96" s="18">
        <v>5</v>
      </c>
      <c r="L96" s="18">
        <v>2</v>
      </c>
      <c r="M96" s="18">
        <v>0</v>
      </c>
      <c r="N96" s="18">
        <v>120</v>
      </c>
      <c r="O96" s="18">
        <f t="shared" si="13"/>
        <v>128</v>
      </c>
      <c r="P96" s="18">
        <f t="shared" si="19"/>
        <v>232</v>
      </c>
      <c r="Q96" s="18">
        <f t="shared" si="14"/>
        <v>208</v>
      </c>
      <c r="R96" s="18">
        <f t="shared" si="15"/>
        <v>56</v>
      </c>
      <c r="S96" s="18">
        <f t="shared" si="16"/>
        <v>0</v>
      </c>
      <c r="T96" s="18">
        <f t="shared" si="17"/>
        <v>264</v>
      </c>
      <c r="U96" s="18">
        <f t="shared" si="18"/>
        <v>-32</v>
      </c>
      <c r="V96">
        <v>-28</v>
      </c>
    </row>
    <row r="97" spans="1:22" x14ac:dyDescent="0.25">
      <c r="A97" s="15">
        <v>96</v>
      </c>
      <c r="B97" s="19" t="s">
        <v>122</v>
      </c>
      <c r="C97" s="17">
        <f>VLOOKUP(B:B,Courts!B:C,2,FALSE())</f>
        <v>2</v>
      </c>
      <c r="D97" s="17">
        <f>VLOOKUP(B:B,Courts!B:D,3,FALSE())</f>
        <v>0</v>
      </c>
      <c r="E97" s="15">
        <f>VLOOKUP(B:B,Courts!B:E,4,FALSE())</f>
        <v>1</v>
      </c>
      <c r="F97" s="18">
        <v>8</v>
      </c>
      <c r="G97" s="18">
        <v>0</v>
      </c>
      <c r="H97" s="18">
        <v>6</v>
      </c>
      <c r="I97" s="18">
        <v>0</v>
      </c>
      <c r="J97" s="18">
        <v>0</v>
      </c>
      <c r="K97" s="18">
        <v>2</v>
      </c>
      <c r="L97" s="18">
        <v>0</v>
      </c>
      <c r="M97" s="18">
        <v>4</v>
      </c>
      <c r="N97" s="18">
        <v>10</v>
      </c>
      <c r="O97" s="18">
        <f t="shared" si="13"/>
        <v>16</v>
      </c>
      <c r="P97" s="18">
        <f t="shared" si="19"/>
        <v>28</v>
      </c>
      <c r="Q97" s="18">
        <f t="shared" si="14"/>
        <v>16</v>
      </c>
      <c r="R97" s="18">
        <f t="shared" si="15"/>
        <v>0</v>
      </c>
      <c r="S97" s="18">
        <f t="shared" si="16"/>
        <v>4</v>
      </c>
      <c r="T97" s="18">
        <f t="shared" si="17"/>
        <v>20</v>
      </c>
      <c r="U97" s="18">
        <f t="shared" si="18"/>
        <v>8</v>
      </c>
      <c r="V97">
        <v>0</v>
      </c>
    </row>
    <row r="98" spans="1:22" x14ac:dyDescent="0.25">
      <c r="A98" s="15">
        <v>97</v>
      </c>
      <c r="B98" s="19" t="s">
        <v>123</v>
      </c>
      <c r="C98" s="17">
        <f>VLOOKUP(B:B,Courts!B:C,2,FALSE())</f>
        <v>1</v>
      </c>
      <c r="D98" s="17">
        <f>VLOOKUP(B:B,Courts!B:D,3,FALSE())</f>
        <v>0</v>
      </c>
      <c r="E98" s="15">
        <f>VLOOKUP(B:B,Courts!B:E,4,FALSE())</f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f t="shared" si="13"/>
        <v>0</v>
      </c>
      <c r="P98" s="18">
        <f t="shared" si="19"/>
        <v>0</v>
      </c>
      <c r="Q98" s="18">
        <f t="shared" si="14"/>
        <v>8</v>
      </c>
      <c r="R98" s="18">
        <f t="shared" si="15"/>
        <v>0</v>
      </c>
      <c r="S98" s="18">
        <f t="shared" si="16"/>
        <v>0</v>
      </c>
      <c r="T98" s="18">
        <f t="shared" si="17"/>
        <v>8</v>
      </c>
      <c r="U98" s="18">
        <f t="shared" si="18"/>
        <v>-8</v>
      </c>
      <c r="V98">
        <v>0</v>
      </c>
    </row>
    <row r="99" spans="1:22" x14ac:dyDescent="0.25">
      <c r="A99" s="15">
        <v>98</v>
      </c>
      <c r="B99" s="19" t="s">
        <v>124</v>
      </c>
      <c r="C99" s="17">
        <f>VLOOKUP(B:B,Courts!B:C,2,FALSE())</f>
        <v>1</v>
      </c>
      <c r="D99" s="17">
        <f>VLOOKUP(B:B,Courts!B:D,3,FALSE())</f>
        <v>0</v>
      </c>
      <c r="E99" s="15">
        <f>VLOOKUP(B:B,Courts!B:E,4,FALSE())</f>
        <v>1</v>
      </c>
      <c r="F99" s="18">
        <v>4</v>
      </c>
      <c r="G99" s="18">
        <v>0</v>
      </c>
      <c r="H99" s="18">
        <v>6</v>
      </c>
      <c r="I99" s="18">
        <v>0</v>
      </c>
      <c r="J99" s="18">
        <v>6</v>
      </c>
      <c r="K99" s="18">
        <v>2</v>
      </c>
      <c r="L99" s="18">
        <v>0</v>
      </c>
      <c r="M99" s="18">
        <v>0</v>
      </c>
      <c r="N99" s="18">
        <v>0</v>
      </c>
      <c r="O99" s="18">
        <f t="shared" si="13"/>
        <v>8</v>
      </c>
      <c r="P99" s="18">
        <f t="shared" si="19"/>
        <v>16</v>
      </c>
      <c r="Q99" s="18">
        <f t="shared" si="14"/>
        <v>8</v>
      </c>
      <c r="R99" s="18">
        <f t="shared" si="15"/>
        <v>0</v>
      </c>
      <c r="S99" s="18">
        <f t="shared" si="16"/>
        <v>4</v>
      </c>
      <c r="T99" s="18">
        <f t="shared" si="17"/>
        <v>12</v>
      </c>
      <c r="U99" s="18">
        <f t="shared" si="18"/>
        <v>4</v>
      </c>
      <c r="V99">
        <v>0</v>
      </c>
    </row>
    <row r="100" spans="1:22" x14ac:dyDescent="0.25">
      <c r="A100" s="15">
        <v>99</v>
      </c>
      <c r="B100" s="16" t="s">
        <v>125</v>
      </c>
      <c r="C100" s="17">
        <f>VLOOKUP(B:B,Courts!B:C,2,FALSE())</f>
        <v>15</v>
      </c>
      <c r="D100" s="17">
        <f>VLOOKUP(B:B,Courts!B:D,3,FALSE())</f>
        <v>1</v>
      </c>
      <c r="E100" s="15">
        <f>VLOOKUP(B:B,Courts!B:E,4,FALSE())</f>
        <v>0</v>
      </c>
      <c r="F100" s="18">
        <v>60</v>
      </c>
      <c r="G100" s="18">
        <v>0</v>
      </c>
      <c r="H100" s="18">
        <v>17</v>
      </c>
      <c r="I100" s="18">
        <v>0</v>
      </c>
      <c r="J100" s="18">
        <v>26</v>
      </c>
      <c r="K100" s="18">
        <v>3</v>
      </c>
      <c r="L100" s="18">
        <v>2</v>
      </c>
      <c r="M100" s="18">
        <v>0</v>
      </c>
      <c r="N100" s="18">
        <v>41</v>
      </c>
      <c r="O100" s="18">
        <f t="shared" ref="O100:O131" si="20">SUM(J100:N100)</f>
        <v>72</v>
      </c>
      <c r="P100" s="18">
        <f t="shared" si="19"/>
        <v>144</v>
      </c>
      <c r="Q100" s="18">
        <f t="shared" ref="Q100:Q131" si="21">C100*8</f>
        <v>120</v>
      </c>
      <c r="R100" s="18">
        <f t="shared" ref="R100:R131" si="22">D100*8</f>
        <v>8</v>
      </c>
      <c r="S100" s="18">
        <f t="shared" ref="S100:S131" si="23">E100*4</f>
        <v>0</v>
      </c>
      <c r="T100" s="18">
        <f t="shared" ref="T100:T131" si="24">SUM(Q100:S100)</f>
        <v>128</v>
      </c>
      <c r="U100" s="18">
        <f t="shared" ref="U100:U131" si="25">P100-T100</f>
        <v>16</v>
      </c>
      <c r="V100">
        <v>0</v>
      </c>
    </row>
    <row r="101" spans="1:22" x14ac:dyDescent="0.25">
      <c r="A101" s="15">
        <v>100</v>
      </c>
      <c r="B101" s="19" t="s">
        <v>126</v>
      </c>
      <c r="C101" s="17">
        <f>VLOOKUP(B:B,Courts!B:C,2,FALSE())</f>
        <v>2</v>
      </c>
      <c r="D101" s="17">
        <f>VLOOKUP(B:B,Courts!B:D,3,FALSE())</f>
        <v>1</v>
      </c>
      <c r="E101" s="15">
        <f>VLOOKUP(B:B,Courts!B:E,4,FALSE())</f>
        <v>1</v>
      </c>
      <c r="F101" s="18">
        <v>12</v>
      </c>
      <c r="G101" s="18">
        <v>0</v>
      </c>
      <c r="H101" s="18">
        <v>7</v>
      </c>
      <c r="I101" s="18">
        <v>0</v>
      </c>
      <c r="J101" s="18">
        <v>0</v>
      </c>
      <c r="K101" s="18">
        <v>2</v>
      </c>
      <c r="L101" s="18">
        <v>0</v>
      </c>
      <c r="M101" s="18">
        <v>4</v>
      </c>
      <c r="N101" s="18">
        <v>3</v>
      </c>
      <c r="O101" s="18">
        <f t="shared" si="20"/>
        <v>9</v>
      </c>
      <c r="P101" s="18">
        <f t="shared" si="19"/>
        <v>26</v>
      </c>
      <c r="Q101" s="18">
        <f t="shared" si="21"/>
        <v>16</v>
      </c>
      <c r="R101" s="18">
        <f t="shared" si="22"/>
        <v>8</v>
      </c>
      <c r="S101" s="18">
        <f t="shared" si="23"/>
        <v>4</v>
      </c>
      <c r="T101" s="18">
        <f t="shared" si="24"/>
        <v>28</v>
      </c>
      <c r="U101" s="18">
        <f t="shared" si="25"/>
        <v>-2</v>
      </c>
      <c r="V101">
        <v>0</v>
      </c>
    </row>
    <row r="102" spans="1:22" x14ac:dyDescent="0.25">
      <c r="A102" s="15">
        <v>101</v>
      </c>
      <c r="B102" s="19" t="s">
        <v>127</v>
      </c>
      <c r="C102" s="17">
        <f>VLOOKUP(B:B,Courts!B:C,2,FALSE())</f>
        <v>2</v>
      </c>
      <c r="D102" s="17">
        <f>VLOOKUP(B:B,Courts!B:D,3,FALSE())</f>
        <v>0</v>
      </c>
      <c r="E102" s="15">
        <f>VLOOKUP(B:B,Courts!B:E,4,FALSE())</f>
        <v>1</v>
      </c>
      <c r="F102" s="18">
        <v>8</v>
      </c>
      <c r="G102" s="18">
        <v>0</v>
      </c>
      <c r="H102" s="18">
        <v>1</v>
      </c>
      <c r="I102" s="18">
        <v>0</v>
      </c>
      <c r="J102" s="18">
        <v>7</v>
      </c>
      <c r="K102" s="18">
        <v>2</v>
      </c>
      <c r="L102" s="18">
        <v>0</v>
      </c>
      <c r="M102" s="18">
        <v>4</v>
      </c>
      <c r="N102" s="18">
        <v>0</v>
      </c>
      <c r="O102" s="18">
        <f t="shared" si="20"/>
        <v>13</v>
      </c>
      <c r="P102" s="18">
        <f t="shared" si="19"/>
        <v>20</v>
      </c>
      <c r="Q102" s="18">
        <f t="shared" si="21"/>
        <v>16</v>
      </c>
      <c r="R102" s="18">
        <f t="shared" si="22"/>
        <v>0</v>
      </c>
      <c r="S102" s="18">
        <f t="shared" si="23"/>
        <v>4</v>
      </c>
      <c r="T102" s="18">
        <f t="shared" si="24"/>
        <v>20</v>
      </c>
      <c r="U102" s="18">
        <f t="shared" si="25"/>
        <v>0</v>
      </c>
      <c r="V102">
        <v>0</v>
      </c>
    </row>
    <row r="103" spans="1:22" x14ac:dyDescent="0.25">
      <c r="A103" s="15">
        <v>102</v>
      </c>
      <c r="B103" s="19" t="s">
        <v>128</v>
      </c>
      <c r="C103" s="17">
        <f>VLOOKUP(B:B,Courts!B:C,2,FALSE())</f>
        <v>0</v>
      </c>
      <c r="D103" s="17">
        <f>VLOOKUP(B:B,Courts!B:D,3,FALSE())</f>
        <v>0</v>
      </c>
      <c r="E103" s="15">
        <f>VLOOKUP(B:B,Courts!B:E,4,FALSE())</f>
        <v>1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4</v>
      </c>
      <c r="N103" s="18">
        <v>0</v>
      </c>
      <c r="O103" s="18">
        <f t="shared" si="20"/>
        <v>4</v>
      </c>
      <c r="P103" s="18">
        <f t="shared" si="19"/>
        <v>4</v>
      </c>
      <c r="Q103" s="18">
        <f t="shared" si="21"/>
        <v>0</v>
      </c>
      <c r="R103" s="18">
        <f t="shared" si="22"/>
        <v>0</v>
      </c>
      <c r="S103" s="18">
        <f t="shared" si="23"/>
        <v>4</v>
      </c>
      <c r="T103" s="18">
        <f t="shared" si="24"/>
        <v>4</v>
      </c>
      <c r="U103" s="18">
        <f t="shared" si="25"/>
        <v>0</v>
      </c>
      <c r="V103">
        <v>0</v>
      </c>
    </row>
    <row r="104" spans="1:22" x14ac:dyDescent="0.25">
      <c r="A104" s="15">
        <v>103</v>
      </c>
      <c r="B104" s="16" t="s">
        <v>129</v>
      </c>
      <c r="C104" s="17">
        <f>VLOOKUP(B:B,Courts!B:C,2,FALSE())</f>
        <v>12</v>
      </c>
      <c r="D104" s="17">
        <f>VLOOKUP(B:B,Courts!B:D,3,FALSE())</f>
        <v>3</v>
      </c>
      <c r="E104" s="15">
        <f>VLOOKUP(B:B,Courts!B:E,4,FALSE())</f>
        <v>0</v>
      </c>
      <c r="F104" s="18">
        <v>48</v>
      </c>
      <c r="G104" s="18">
        <v>0</v>
      </c>
      <c r="H104" s="18">
        <v>18</v>
      </c>
      <c r="I104" s="18">
        <v>0</v>
      </c>
      <c r="J104" s="18">
        <v>0</v>
      </c>
      <c r="K104" s="18">
        <v>3</v>
      </c>
      <c r="L104" s="18">
        <v>2</v>
      </c>
      <c r="M104" s="18">
        <v>0</v>
      </c>
      <c r="N104" s="18">
        <v>34</v>
      </c>
      <c r="O104" s="18">
        <f t="shared" si="20"/>
        <v>39</v>
      </c>
      <c r="P104" s="18">
        <f t="shared" si="19"/>
        <v>100</v>
      </c>
      <c r="Q104" s="18">
        <f t="shared" si="21"/>
        <v>96</v>
      </c>
      <c r="R104" s="18">
        <f t="shared" si="22"/>
        <v>24</v>
      </c>
      <c r="S104" s="18">
        <f t="shared" si="23"/>
        <v>0</v>
      </c>
      <c r="T104" s="18">
        <f t="shared" si="24"/>
        <v>120</v>
      </c>
      <c r="U104" s="18">
        <f t="shared" si="25"/>
        <v>-20</v>
      </c>
      <c r="V104">
        <v>-20</v>
      </c>
    </row>
    <row r="105" spans="1:22" x14ac:dyDescent="0.25">
      <c r="A105" s="15">
        <v>104</v>
      </c>
      <c r="B105" s="19" t="s">
        <v>130</v>
      </c>
      <c r="C105" s="17">
        <f>VLOOKUP(B:B,Courts!B:C,2,FALSE())</f>
        <v>3</v>
      </c>
      <c r="D105" s="17">
        <f>VLOOKUP(B:B,Courts!B:D,3,FALSE())</f>
        <v>1</v>
      </c>
      <c r="E105" s="15">
        <f>VLOOKUP(B:B,Courts!B:E,4,FALSE())</f>
        <v>1</v>
      </c>
      <c r="F105" s="18">
        <v>20</v>
      </c>
      <c r="G105" s="18">
        <v>0</v>
      </c>
      <c r="H105" s="18">
        <v>7</v>
      </c>
      <c r="I105" s="18">
        <v>0</v>
      </c>
      <c r="J105" s="18">
        <v>0</v>
      </c>
      <c r="K105" s="18">
        <v>1</v>
      </c>
      <c r="L105" s="18">
        <v>0</v>
      </c>
      <c r="M105" s="18">
        <v>4</v>
      </c>
      <c r="N105" s="18">
        <v>0</v>
      </c>
      <c r="O105" s="18">
        <f t="shared" si="20"/>
        <v>5</v>
      </c>
      <c r="P105" s="18">
        <f t="shared" si="19"/>
        <v>31</v>
      </c>
      <c r="Q105" s="18">
        <f t="shared" si="21"/>
        <v>24</v>
      </c>
      <c r="R105" s="18">
        <f t="shared" si="22"/>
        <v>8</v>
      </c>
      <c r="S105" s="18">
        <f t="shared" si="23"/>
        <v>4</v>
      </c>
      <c r="T105" s="18">
        <f t="shared" si="24"/>
        <v>36</v>
      </c>
      <c r="U105" s="18">
        <f t="shared" si="25"/>
        <v>-5</v>
      </c>
      <c r="V105">
        <v>-5</v>
      </c>
    </row>
    <row r="106" spans="1:22" x14ac:dyDescent="0.25">
      <c r="A106" s="15">
        <v>105</v>
      </c>
      <c r="B106" s="19" t="s">
        <v>131</v>
      </c>
      <c r="C106" s="17">
        <f>VLOOKUP(B:B,Courts!B:C,2,FALSE())</f>
        <v>2</v>
      </c>
      <c r="D106" s="17">
        <f>VLOOKUP(B:B,Courts!B:D,3,FALSE())</f>
        <v>1</v>
      </c>
      <c r="E106" s="15">
        <f>VLOOKUP(B:B,Courts!B:E,4,FALSE())</f>
        <v>1</v>
      </c>
      <c r="F106" s="18">
        <v>0</v>
      </c>
      <c r="G106" s="18">
        <v>0</v>
      </c>
      <c r="H106" s="18">
        <v>11</v>
      </c>
      <c r="I106" s="18">
        <v>0</v>
      </c>
      <c r="J106" s="18">
        <v>0</v>
      </c>
      <c r="K106" s="18">
        <v>1</v>
      </c>
      <c r="L106" s="18">
        <v>0</v>
      </c>
      <c r="M106" s="18">
        <v>4</v>
      </c>
      <c r="N106" s="18">
        <v>0</v>
      </c>
      <c r="O106" s="18">
        <f t="shared" si="20"/>
        <v>5</v>
      </c>
      <c r="P106" s="18">
        <f t="shared" si="19"/>
        <v>15</v>
      </c>
      <c r="Q106" s="18">
        <f t="shared" si="21"/>
        <v>16</v>
      </c>
      <c r="R106" s="18">
        <f t="shared" si="22"/>
        <v>8</v>
      </c>
      <c r="S106" s="18">
        <f t="shared" si="23"/>
        <v>4</v>
      </c>
      <c r="T106" s="18">
        <f t="shared" si="24"/>
        <v>28</v>
      </c>
      <c r="U106" s="18">
        <f t="shared" si="25"/>
        <v>-13</v>
      </c>
      <c r="V106">
        <v>-13</v>
      </c>
    </row>
    <row r="107" spans="1:22" x14ac:dyDescent="0.25">
      <c r="A107" s="15">
        <v>106</v>
      </c>
      <c r="B107" s="16" t="s">
        <v>132</v>
      </c>
      <c r="C107" s="17">
        <f>VLOOKUP(B:B,Courts!B:C,2,FALSE())</f>
        <v>13</v>
      </c>
      <c r="D107" s="17">
        <f>VLOOKUP(B:B,Courts!B:D,3,FALSE())</f>
        <v>1</v>
      </c>
      <c r="E107" s="15">
        <f>VLOOKUP(B:B,Courts!B:E,4,FALSE())</f>
        <v>0</v>
      </c>
      <c r="F107" s="18">
        <v>44</v>
      </c>
      <c r="G107" s="18">
        <v>0</v>
      </c>
      <c r="H107" s="18">
        <v>11</v>
      </c>
      <c r="I107" s="18">
        <v>0</v>
      </c>
      <c r="J107" s="18">
        <v>9</v>
      </c>
      <c r="K107" s="18">
        <v>3</v>
      </c>
      <c r="L107" s="18">
        <v>1</v>
      </c>
      <c r="M107" s="18">
        <v>0</v>
      </c>
      <c r="N107" s="18">
        <v>48</v>
      </c>
      <c r="O107" s="18">
        <f t="shared" si="20"/>
        <v>61</v>
      </c>
      <c r="P107" s="18">
        <f t="shared" si="19"/>
        <v>112</v>
      </c>
      <c r="Q107" s="18">
        <f t="shared" si="21"/>
        <v>104</v>
      </c>
      <c r="R107" s="18">
        <f t="shared" si="22"/>
        <v>8</v>
      </c>
      <c r="S107" s="18">
        <f t="shared" si="23"/>
        <v>0</v>
      </c>
      <c r="T107" s="18">
        <f t="shared" si="24"/>
        <v>112</v>
      </c>
      <c r="U107" s="18">
        <f t="shared" si="25"/>
        <v>0</v>
      </c>
      <c r="V107">
        <v>0</v>
      </c>
    </row>
    <row r="108" spans="1:22" x14ac:dyDescent="0.25">
      <c r="A108" s="15">
        <v>107</v>
      </c>
      <c r="B108" s="19" t="s">
        <v>133</v>
      </c>
      <c r="C108" s="17">
        <f>VLOOKUP(B:B,Courts!B:C,2,FALSE())</f>
        <v>2</v>
      </c>
      <c r="D108" s="17">
        <f>VLOOKUP(B:B,Courts!B:D,3,FALSE())</f>
        <v>0</v>
      </c>
      <c r="E108" s="15">
        <f>VLOOKUP(B:B,Courts!B:E,4,FALSE())</f>
        <v>1</v>
      </c>
      <c r="F108" s="18">
        <v>16</v>
      </c>
      <c r="G108" s="18">
        <v>0</v>
      </c>
      <c r="H108" s="18">
        <v>7</v>
      </c>
      <c r="I108" s="18">
        <v>0</v>
      </c>
      <c r="J108" s="18">
        <v>0</v>
      </c>
      <c r="K108" s="18">
        <v>1</v>
      </c>
      <c r="L108" s="18">
        <v>0</v>
      </c>
      <c r="M108" s="18">
        <v>4</v>
      </c>
      <c r="N108" s="18">
        <v>8</v>
      </c>
      <c r="O108" s="18">
        <f t="shared" si="20"/>
        <v>13</v>
      </c>
      <c r="P108" s="18">
        <f t="shared" si="19"/>
        <v>35</v>
      </c>
      <c r="Q108" s="18">
        <f t="shared" si="21"/>
        <v>16</v>
      </c>
      <c r="R108" s="18">
        <f t="shared" si="22"/>
        <v>0</v>
      </c>
      <c r="S108" s="18">
        <f t="shared" si="23"/>
        <v>4</v>
      </c>
      <c r="T108" s="18">
        <f t="shared" si="24"/>
        <v>20</v>
      </c>
      <c r="U108" s="18">
        <f t="shared" si="25"/>
        <v>15</v>
      </c>
      <c r="V108">
        <v>0</v>
      </c>
    </row>
    <row r="109" spans="1:22" x14ac:dyDescent="0.25">
      <c r="A109" s="15">
        <v>108</v>
      </c>
      <c r="B109" s="19" t="s">
        <v>134</v>
      </c>
      <c r="C109" s="17">
        <f>VLOOKUP(B:B,Courts!B:C,2,FALSE())</f>
        <v>3</v>
      </c>
      <c r="D109" s="17">
        <f>VLOOKUP(B:B,Courts!B:D,3,FALSE())</f>
        <v>2</v>
      </c>
      <c r="E109" s="15">
        <f>VLOOKUP(B:B,Courts!B:E,4,FALSE())</f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8</v>
      </c>
      <c r="K109" s="18">
        <v>1</v>
      </c>
      <c r="L109" s="18">
        <v>0</v>
      </c>
      <c r="M109" s="18">
        <v>0</v>
      </c>
      <c r="N109" s="18">
        <v>0</v>
      </c>
      <c r="O109" s="18">
        <f t="shared" si="20"/>
        <v>9</v>
      </c>
      <c r="P109" s="18">
        <f t="shared" si="19"/>
        <v>8</v>
      </c>
      <c r="Q109" s="18">
        <f t="shared" si="21"/>
        <v>24</v>
      </c>
      <c r="R109" s="18">
        <f t="shared" si="22"/>
        <v>16</v>
      </c>
      <c r="S109" s="18">
        <f t="shared" si="23"/>
        <v>0</v>
      </c>
      <c r="T109" s="18">
        <f t="shared" si="24"/>
        <v>40</v>
      </c>
      <c r="U109" s="18">
        <f t="shared" si="25"/>
        <v>-32</v>
      </c>
      <c r="V109">
        <v>-17</v>
      </c>
    </row>
    <row r="110" spans="1:22" x14ac:dyDescent="0.25">
      <c r="A110" s="15">
        <v>109</v>
      </c>
      <c r="B110" s="16" t="s">
        <v>135</v>
      </c>
      <c r="C110" s="17">
        <f>VLOOKUP(B:B,Courts!B:C,2,FALSE())</f>
        <v>13</v>
      </c>
      <c r="D110" s="17">
        <f>VLOOKUP(B:B,Courts!B:D,3,FALSE())</f>
        <v>4</v>
      </c>
      <c r="E110" s="15">
        <f>VLOOKUP(B:B,Courts!B:E,4,FALSE())</f>
        <v>0</v>
      </c>
      <c r="F110" s="18">
        <v>52</v>
      </c>
      <c r="G110" s="18">
        <v>0</v>
      </c>
      <c r="H110" s="18">
        <v>13</v>
      </c>
      <c r="I110" s="18">
        <v>0</v>
      </c>
      <c r="J110" s="18">
        <v>34</v>
      </c>
      <c r="K110" s="18">
        <v>2</v>
      </c>
      <c r="L110" s="18">
        <v>2</v>
      </c>
      <c r="M110" s="18">
        <v>4</v>
      </c>
      <c r="N110" s="18">
        <v>29</v>
      </c>
      <c r="O110" s="18">
        <f t="shared" si="20"/>
        <v>71</v>
      </c>
      <c r="P110" s="18">
        <f t="shared" si="19"/>
        <v>132</v>
      </c>
      <c r="Q110" s="18">
        <f t="shared" si="21"/>
        <v>104</v>
      </c>
      <c r="R110" s="18">
        <f t="shared" si="22"/>
        <v>32</v>
      </c>
      <c r="S110" s="18">
        <f t="shared" si="23"/>
        <v>0</v>
      </c>
      <c r="T110" s="18">
        <f t="shared" si="24"/>
        <v>136</v>
      </c>
      <c r="U110" s="18">
        <f t="shared" si="25"/>
        <v>-4</v>
      </c>
      <c r="V110">
        <v>0</v>
      </c>
    </row>
    <row r="111" spans="1:22" x14ac:dyDescent="0.25">
      <c r="A111" s="15">
        <v>110</v>
      </c>
      <c r="B111" s="19" t="s">
        <v>136</v>
      </c>
      <c r="C111" s="17">
        <f>VLOOKUP(B:B,Courts!B:C,2,FALSE())</f>
        <v>2</v>
      </c>
      <c r="D111" s="17">
        <f>VLOOKUP(B:B,Courts!B:D,3,FALSE())</f>
        <v>1</v>
      </c>
      <c r="E111" s="15">
        <f>VLOOKUP(B:B,Courts!B:E,4,FALSE())</f>
        <v>1</v>
      </c>
      <c r="F111" s="18">
        <v>12</v>
      </c>
      <c r="G111" s="18">
        <v>0</v>
      </c>
      <c r="H111" s="18">
        <v>6</v>
      </c>
      <c r="I111" s="18">
        <v>0</v>
      </c>
      <c r="J111" s="18">
        <v>6</v>
      </c>
      <c r="K111" s="18">
        <v>1</v>
      </c>
      <c r="L111" s="18">
        <v>0</v>
      </c>
      <c r="M111" s="18">
        <v>4</v>
      </c>
      <c r="N111" s="18">
        <v>8</v>
      </c>
      <c r="O111" s="18">
        <f t="shared" si="20"/>
        <v>19</v>
      </c>
      <c r="P111" s="18">
        <f t="shared" si="19"/>
        <v>36</v>
      </c>
      <c r="Q111" s="18">
        <f t="shared" si="21"/>
        <v>16</v>
      </c>
      <c r="R111" s="18">
        <f t="shared" si="22"/>
        <v>8</v>
      </c>
      <c r="S111" s="18">
        <f t="shared" si="23"/>
        <v>4</v>
      </c>
      <c r="T111" s="18">
        <f t="shared" si="24"/>
        <v>28</v>
      </c>
      <c r="U111" s="18">
        <f t="shared" si="25"/>
        <v>8</v>
      </c>
      <c r="V111">
        <v>0</v>
      </c>
    </row>
    <row r="112" spans="1:22" x14ac:dyDescent="0.25">
      <c r="A112" s="15">
        <v>111</v>
      </c>
      <c r="B112" s="19" t="s">
        <v>137</v>
      </c>
      <c r="C112" s="17">
        <f>VLOOKUP(B:B,Courts!B:C,2,FALSE())</f>
        <v>2</v>
      </c>
      <c r="D112" s="17">
        <f>VLOOKUP(B:B,Courts!B:D,3,FALSE())</f>
        <v>0</v>
      </c>
      <c r="E112" s="15">
        <f>VLOOKUP(B:B,Courts!B:E,4,FALSE())</f>
        <v>1</v>
      </c>
      <c r="F112" s="18">
        <v>8</v>
      </c>
      <c r="G112" s="18">
        <v>0</v>
      </c>
      <c r="H112" s="18">
        <v>6</v>
      </c>
      <c r="I112" s="18">
        <v>0</v>
      </c>
      <c r="J112" s="18">
        <v>2</v>
      </c>
      <c r="K112" s="18">
        <v>1</v>
      </c>
      <c r="L112" s="18">
        <v>0</v>
      </c>
      <c r="M112" s="18">
        <v>4</v>
      </c>
      <c r="N112" s="18">
        <v>8</v>
      </c>
      <c r="O112" s="18">
        <f t="shared" si="20"/>
        <v>15</v>
      </c>
      <c r="P112" s="18">
        <f t="shared" si="19"/>
        <v>28</v>
      </c>
      <c r="Q112" s="18">
        <f t="shared" si="21"/>
        <v>16</v>
      </c>
      <c r="R112" s="18">
        <f t="shared" si="22"/>
        <v>0</v>
      </c>
      <c r="S112" s="18">
        <f t="shared" si="23"/>
        <v>4</v>
      </c>
      <c r="T112" s="18">
        <f t="shared" si="24"/>
        <v>20</v>
      </c>
      <c r="U112" s="18">
        <f t="shared" si="25"/>
        <v>8</v>
      </c>
      <c r="V112">
        <v>0</v>
      </c>
    </row>
    <row r="113" spans="1:22" x14ac:dyDescent="0.25">
      <c r="A113" s="15">
        <v>112</v>
      </c>
      <c r="B113" s="16" t="s">
        <v>138</v>
      </c>
      <c r="C113" s="17">
        <f>VLOOKUP(B:B,Courts!B:C,2,FALSE())</f>
        <v>19</v>
      </c>
      <c r="D113" s="17">
        <f>VLOOKUP(B:B,Courts!B:D,3,FALSE())</f>
        <v>3</v>
      </c>
      <c r="E113" s="15">
        <f>VLOOKUP(B:B,Courts!B:E,4,FALSE())</f>
        <v>0</v>
      </c>
      <c r="F113" s="18">
        <v>68</v>
      </c>
      <c r="G113" s="18">
        <v>0</v>
      </c>
      <c r="H113" s="18">
        <v>22</v>
      </c>
      <c r="I113" s="18">
        <v>0</v>
      </c>
      <c r="J113" s="18">
        <v>28</v>
      </c>
      <c r="K113" s="18">
        <v>3</v>
      </c>
      <c r="L113" s="18">
        <v>2</v>
      </c>
      <c r="M113" s="18">
        <v>0</v>
      </c>
      <c r="N113" s="18">
        <v>26</v>
      </c>
      <c r="O113" s="18">
        <f t="shared" si="20"/>
        <v>59</v>
      </c>
      <c r="P113" s="18">
        <f t="shared" si="19"/>
        <v>144</v>
      </c>
      <c r="Q113" s="18">
        <f t="shared" si="21"/>
        <v>152</v>
      </c>
      <c r="R113" s="18">
        <f t="shared" si="22"/>
        <v>24</v>
      </c>
      <c r="S113" s="18">
        <f t="shared" si="23"/>
        <v>0</v>
      </c>
      <c r="T113" s="18">
        <f t="shared" si="24"/>
        <v>176</v>
      </c>
      <c r="U113" s="18">
        <f t="shared" si="25"/>
        <v>-32</v>
      </c>
      <c r="V113">
        <v>-32</v>
      </c>
    </row>
    <row r="114" spans="1:22" x14ac:dyDescent="0.25">
      <c r="A114" s="15">
        <v>113</v>
      </c>
      <c r="B114" s="19" t="s">
        <v>139</v>
      </c>
      <c r="C114" s="17">
        <f>VLOOKUP(B:B,Courts!B:C,2,FALSE())</f>
        <v>3</v>
      </c>
      <c r="D114" s="17">
        <f>VLOOKUP(B:B,Courts!B:D,3,FALSE())</f>
        <v>1</v>
      </c>
      <c r="E114" s="15">
        <f>VLOOKUP(B:B,Courts!B:E,4,FALSE())</f>
        <v>1</v>
      </c>
      <c r="F114" s="18">
        <v>4</v>
      </c>
      <c r="G114" s="18">
        <v>0</v>
      </c>
      <c r="H114" s="18">
        <v>11</v>
      </c>
      <c r="I114" s="18">
        <v>0</v>
      </c>
      <c r="J114" s="18">
        <v>0</v>
      </c>
      <c r="K114" s="18">
        <v>2</v>
      </c>
      <c r="L114" s="18">
        <v>0</v>
      </c>
      <c r="M114" s="18">
        <v>4</v>
      </c>
      <c r="N114" s="18">
        <v>11</v>
      </c>
      <c r="O114" s="18">
        <f t="shared" si="20"/>
        <v>17</v>
      </c>
      <c r="P114" s="18">
        <f t="shared" si="19"/>
        <v>30</v>
      </c>
      <c r="Q114" s="18">
        <f t="shared" si="21"/>
        <v>24</v>
      </c>
      <c r="R114" s="18">
        <f t="shared" si="22"/>
        <v>8</v>
      </c>
      <c r="S114" s="18">
        <f t="shared" si="23"/>
        <v>4</v>
      </c>
      <c r="T114" s="18">
        <f t="shared" si="24"/>
        <v>36</v>
      </c>
      <c r="U114" s="18">
        <f t="shared" si="25"/>
        <v>-6</v>
      </c>
      <c r="V114">
        <v>-6</v>
      </c>
    </row>
    <row r="115" spans="1:22" x14ac:dyDescent="0.25">
      <c r="A115" s="15">
        <v>114</v>
      </c>
      <c r="B115" s="16" t="s">
        <v>140</v>
      </c>
      <c r="C115" s="17">
        <f>VLOOKUP(B:B,Courts!B:C,2,FALSE())</f>
        <v>11</v>
      </c>
      <c r="D115" s="17">
        <f>VLOOKUP(B:B,Courts!B:D,3,FALSE())</f>
        <v>1</v>
      </c>
      <c r="E115" s="15">
        <f>VLOOKUP(B:B,Courts!B:E,4,FALSE())</f>
        <v>0</v>
      </c>
      <c r="F115" s="18">
        <v>40</v>
      </c>
      <c r="G115" s="18">
        <v>1</v>
      </c>
      <c r="H115" s="18">
        <v>17</v>
      </c>
      <c r="I115" s="18">
        <v>0</v>
      </c>
      <c r="J115" s="18">
        <v>5</v>
      </c>
      <c r="K115" s="18">
        <v>3</v>
      </c>
      <c r="L115" s="18">
        <v>2</v>
      </c>
      <c r="M115" s="18">
        <v>0</v>
      </c>
      <c r="N115" s="18">
        <v>9</v>
      </c>
      <c r="O115" s="18">
        <f t="shared" si="20"/>
        <v>19</v>
      </c>
      <c r="P115" s="18">
        <f t="shared" si="19"/>
        <v>72</v>
      </c>
      <c r="Q115" s="18">
        <f t="shared" si="21"/>
        <v>88</v>
      </c>
      <c r="R115" s="18">
        <f t="shared" si="22"/>
        <v>8</v>
      </c>
      <c r="S115" s="18">
        <f t="shared" si="23"/>
        <v>0</v>
      </c>
      <c r="T115" s="18">
        <f t="shared" si="24"/>
        <v>96</v>
      </c>
      <c r="U115" s="18">
        <f t="shared" si="25"/>
        <v>-24</v>
      </c>
      <c r="V115">
        <v>-20</v>
      </c>
    </row>
    <row r="116" spans="1:22" x14ac:dyDescent="0.25">
      <c r="A116" s="15">
        <v>115</v>
      </c>
      <c r="B116" s="19" t="s">
        <v>141</v>
      </c>
      <c r="C116" s="17">
        <f>VLOOKUP(B:B,Courts!B:C,2,FALSE())</f>
        <v>2</v>
      </c>
      <c r="D116" s="17">
        <f>VLOOKUP(B:B,Courts!B:D,3,FALSE())</f>
        <v>0</v>
      </c>
      <c r="E116" s="15">
        <f>VLOOKUP(B:B,Courts!B:E,4,FALSE())</f>
        <v>0</v>
      </c>
      <c r="F116" s="18">
        <v>8</v>
      </c>
      <c r="G116" s="18">
        <v>0</v>
      </c>
      <c r="H116" s="18">
        <v>1</v>
      </c>
      <c r="I116" s="18">
        <v>0</v>
      </c>
      <c r="J116" s="18">
        <v>7</v>
      </c>
      <c r="K116" s="18">
        <v>1</v>
      </c>
      <c r="L116" s="18">
        <v>0</v>
      </c>
      <c r="M116" s="18">
        <v>4</v>
      </c>
      <c r="N116" s="18">
        <v>0</v>
      </c>
      <c r="O116" s="18">
        <f t="shared" si="20"/>
        <v>12</v>
      </c>
      <c r="P116" s="18">
        <f t="shared" si="19"/>
        <v>20</v>
      </c>
      <c r="Q116" s="18">
        <f t="shared" si="21"/>
        <v>16</v>
      </c>
      <c r="R116" s="18">
        <f t="shared" si="22"/>
        <v>0</v>
      </c>
      <c r="S116" s="18">
        <f t="shared" si="23"/>
        <v>0</v>
      </c>
      <c r="T116" s="18">
        <f t="shared" si="24"/>
        <v>16</v>
      </c>
      <c r="U116" s="18">
        <f t="shared" si="25"/>
        <v>4</v>
      </c>
      <c r="V116">
        <v>0</v>
      </c>
    </row>
    <row r="117" spans="1:22" x14ac:dyDescent="0.25">
      <c r="A117" s="15">
        <v>116</v>
      </c>
      <c r="B117" s="16" t="s">
        <v>1</v>
      </c>
      <c r="C117" s="17">
        <f>VLOOKUP(B:B,Courts!B:C,2,FALSE())</f>
        <v>18</v>
      </c>
      <c r="D117" s="17">
        <f>VLOOKUP(B:B,Courts!B:D,3,FALSE())</f>
        <v>3</v>
      </c>
      <c r="E117" s="15">
        <f>VLOOKUP(B:B,Courts!B:E,4,FALSE())</f>
        <v>0</v>
      </c>
      <c r="F117" s="18">
        <v>68</v>
      </c>
      <c r="G117" s="18">
        <v>0</v>
      </c>
      <c r="H117" s="18">
        <v>13</v>
      </c>
      <c r="I117" s="18">
        <v>0</v>
      </c>
      <c r="J117" s="18">
        <v>11</v>
      </c>
      <c r="K117" s="18">
        <v>3</v>
      </c>
      <c r="L117" s="18">
        <v>2</v>
      </c>
      <c r="M117" s="18">
        <v>0</v>
      </c>
      <c r="N117" s="18">
        <v>52</v>
      </c>
      <c r="O117" s="18">
        <f t="shared" si="20"/>
        <v>68</v>
      </c>
      <c r="P117" s="18">
        <f t="shared" si="19"/>
        <v>144</v>
      </c>
      <c r="Q117" s="18">
        <f t="shared" si="21"/>
        <v>144</v>
      </c>
      <c r="R117" s="18">
        <f t="shared" si="22"/>
        <v>24</v>
      </c>
      <c r="S117" s="18">
        <f t="shared" si="23"/>
        <v>0</v>
      </c>
      <c r="T117" s="18">
        <f t="shared" si="24"/>
        <v>168</v>
      </c>
      <c r="U117" s="18">
        <f t="shared" si="25"/>
        <v>-24</v>
      </c>
      <c r="V117">
        <v>-17</v>
      </c>
    </row>
    <row r="118" spans="1:22" x14ac:dyDescent="0.25">
      <c r="A118" s="15">
        <v>117</v>
      </c>
      <c r="B118" s="19" t="s">
        <v>142</v>
      </c>
      <c r="C118" s="17">
        <f>VLOOKUP(B:B,Courts!B:C,2,FALSE())</f>
        <v>2</v>
      </c>
      <c r="D118" s="17">
        <f>VLOOKUP(B:B,Courts!B:D,3,FALSE())</f>
        <v>0</v>
      </c>
      <c r="E118" s="15">
        <f>VLOOKUP(B:B,Courts!B:E,4,FALSE())</f>
        <v>1</v>
      </c>
      <c r="F118" s="18">
        <v>8</v>
      </c>
      <c r="G118" s="18">
        <v>0</v>
      </c>
      <c r="H118" s="18">
        <v>6</v>
      </c>
      <c r="I118" s="18">
        <v>0</v>
      </c>
      <c r="J118" s="18">
        <v>0</v>
      </c>
      <c r="K118" s="18">
        <v>1</v>
      </c>
      <c r="L118" s="18">
        <v>0</v>
      </c>
      <c r="M118" s="18">
        <v>4</v>
      </c>
      <c r="N118" s="18">
        <v>9</v>
      </c>
      <c r="O118" s="18">
        <f t="shared" si="20"/>
        <v>14</v>
      </c>
      <c r="P118" s="18">
        <f t="shared" si="19"/>
        <v>27</v>
      </c>
      <c r="Q118" s="18">
        <f t="shared" si="21"/>
        <v>16</v>
      </c>
      <c r="R118" s="18">
        <f t="shared" si="22"/>
        <v>0</v>
      </c>
      <c r="S118" s="18">
        <f t="shared" si="23"/>
        <v>4</v>
      </c>
      <c r="T118" s="18">
        <f t="shared" si="24"/>
        <v>20</v>
      </c>
      <c r="U118" s="18">
        <f t="shared" si="25"/>
        <v>7</v>
      </c>
      <c r="V118">
        <v>0</v>
      </c>
    </row>
    <row r="119" spans="1:22" x14ac:dyDescent="0.25">
      <c r="A119" s="15">
        <v>118</v>
      </c>
      <c r="B119" s="19" t="s">
        <v>143</v>
      </c>
      <c r="C119" s="17">
        <f>VLOOKUP(B:B,Courts!B:C,2,FALSE())</f>
        <v>2</v>
      </c>
      <c r="D119" s="17">
        <f>VLOOKUP(B:B,Courts!B:D,3,FALSE())</f>
        <v>0</v>
      </c>
      <c r="E119" s="15">
        <f>VLOOKUP(B:B,Courts!B:E,4,FALSE())</f>
        <v>1</v>
      </c>
      <c r="F119" s="18">
        <v>0</v>
      </c>
      <c r="G119" s="18">
        <v>0</v>
      </c>
      <c r="H119" s="18">
        <v>11</v>
      </c>
      <c r="I119" s="18">
        <v>0</v>
      </c>
      <c r="J119" s="18">
        <v>5</v>
      </c>
      <c r="K119" s="18">
        <v>1</v>
      </c>
      <c r="L119" s="18">
        <v>0</v>
      </c>
      <c r="M119" s="18">
        <v>4</v>
      </c>
      <c r="N119" s="18">
        <v>0</v>
      </c>
      <c r="O119" s="18">
        <f t="shared" si="20"/>
        <v>10</v>
      </c>
      <c r="P119" s="18">
        <f t="shared" si="19"/>
        <v>20</v>
      </c>
      <c r="Q119" s="18">
        <f t="shared" si="21"/>
        <v>16</v>
      </c>
      <c r="R119" s="18">
        <f t="shared" si="22"/>
        <v>0</v>
      </c>
      <c r="S119" s="18">
        <f t="shared" si="23"/>
        <v>4</v>
      </c>
      <c r="T119" s="18">
        <f t="shared" si="24"/>
        <v>20</v>
      </c>
      <c r="U119" s="18">
        <f t="shared" si="25"/>
        <v>0</v>
      </c>
      <c r="V119">
        <v>0</v>
      </c>
    </row>
    <row r="120" spans="1:22" x14ac:dyDescent="0.25">
      <c r="A120" s="15">
        <v>119</v>
      </c>
      <c r="B120" s="16" t="s">
        <v>144</v>
      </c>
      <c r="C120" s="17">
        <f>VLOOKUP(B:B,Courts!B:C,2,FALSE())</f>
        <v>19</v>
      </c>
      <c r="D120" s="17">
        <f>VLOOKUP(B:B,Courts!B:D,3,FALSE())</f>
        <v>5</v>
      </c>
      <c r="E120" s="15">
        <f>VLOOKUP(B:B,Courts!B:E,4,FALSE())</f>
        <v>0</v>
      </c>
      <c r="F120" s="18">
        <v>68</v>
      </c>
      <c r="G120" s="18">
        <v>0</v>
      </c>
      <c r="H120" s="18">
        <v>16</v>
      </c>
      <c r="I120" s="18">
        <v>0</v>
      </c>
      <c r="J120" s="18">
        <v>7</v>
      </c>
      <c r="K120" s="18">
        <v>2</v>
      </c>
      <c r="L120" s="18">
        <v>2</v>
      </c>
      <c r="M120" s="18">
        <v>0</v>
      </c>
      <c r="N120" s="18">
        <v>69</v>
      </c>
      <c r="O120" s="18">
        <f t="shared" si="20"/>
        <v>80</v>
      </c>
      <c r="P120" s="18">
        <f t="shared" si="19"/>
        <v>160</v>
      </c>
      <c r="Q120" s="18">
        <f t="shared" si="21"/>
        <v>152</v>
      </c>
      <c r="R120" s="18">
        <f t="shared" si="22"/>
        <v>40</v>
      </c>
      <c r="S120" s="18">
        <f t="shared" si="23"/>
        <v>0</v>
      </c>
      <c r="T120" s="18">
        <f t="shared" si="24"/>
        <v>192</v>
      </c>
      <c r="U120" s="18">
        <f t="shared" si="25"/>
        <v>-32</v>
      </c>
      <c r="V120">
        <v>-20</v>
      </c>
    </row>
    <row r="121" spans="1:22" x14ac:dyDescent="0.25">
      <c r="A121" s="15">
        <v>120</v>
      </c>
      <c r="B121" s="19" t="s">
        <v>145</v>
      </c>
      <c r="C121" s="17">
        <f>VLOOKUP(B:B,Courts!B:C,2,FALSE())</f>
        <v>1</v>
      </c>
      <c r="D121" s="17">
        <f>VLOOKUP(B:B,Courts!B:D,3,FALSE())</f>
        <v>0</v>
      </c>
      <c r="E121" s="15">
        <f>VLOOKUP(B:B,Courts!B:E,4,FALSE())</f>
        <v>1</v>
      </c>
      <c r="F121" s="18">
        <v>4</v>
      </c>
      <c r="G121" s="18">
        <v>0</v>
      </c>
      <c r="H121" s="18">
        <v>6</v>
      </c>
      <c r="I121" s="18">
        <v>0</v>
      </c>
      <c r="J121" s="18">
        <v>0</v>
      </c>
      <c r="K121" s="18">
        <v>1</v>
      </c>
      <c r="L121" s="18">
        <v>0</v>
      </c>
      <c r="M121" s="18">
        <v>4</v>
      </c>
      <c r="N121" s="18">
        <v>10</v>
      </c>
      <c r="O121" s="18">
        <f t="shared" si="20"/>
        <v>15</v>
      </c>
      <c r="P121" s="18">
        <f t="shared" si="19"/>
        <v>24</v>
      </c>
      <c r="Q121" s="18">
        <f t="shared" si="21"/>
        <v>8</v>
      </c>
      <c r="R121" s="18">
        <f t="shared" si="22"/>
        <v>0</v>
      </c>
      <c r="S121" s="18">
        <f t="shared" si="23"/>
        <v>4</v>
      </c>
      <c r="T121" s="18">
        <f t="shared" si="24"/>
        <v>12</v>
      </c>
      <c r="U121" s="18">
        <f t="shared" si="25"/>
        <v>12</v>
      </c>
      <c r="V121">
        <v>0</v>
      </c>
    </row>
    <row r="122" spans="1:22" x14ac:dyDescent="0.25">
      <c r="A122" s="15">
        <v>121</v>
      </c>
      <c r="B122" s="16" t="s">
        <v>146</v>
      </c>
      <c r="C122" s="17">
        <f>VLOOKUP(B:B,Courts!B:C,2,FALSE())</f>
        <v>15</v>
      </c>
      <c r="D122" s="17">
        <f>VLOOKUP(B:B,Courts!B:D,3,FALSE())</f>
        <v>2</v>
      </c>
      <c r="E122" s="15">
        <f>VLOOKUP(B:B,Courts!B:E,4,FALSE())</f>
        <v>0</v>
      </c>
      <c r="F122" s="18">
        <v>56</v>
      </c>
      <c r="G122" s="18">
        <v>0</v>
      </c>
      <c r="H122" s="18">
        <v>12</v>
      </c>
      <c r="I122" s="18">
        <v>0</v>
      </c>
      <c r="J122" s="18">
        <v>7</v>
      </c>
      <c r="K122" s="18">
        <v>3</v>
      </c>
      <c r="L122" s="18">
        <v>1</v>
      </c>
      <c r="M122" s="18">
        <v>0</v>
      </c>
      <c r="N122" s="18">
        <v>21</v>
      </c>
      <c r="O122" s="18">
        <f t="shared" si="20"/>
        <v>32</v>
      </c>
      <c r="P122" s="18">
        <f t="shared" si="19"/>
        <v>96</v>
      </c>
      <c r="Q122" s="18">
        <f t="shared" si="21"/>
        <v>120</v>
      </c>
      <c r="R122" s="18">
        <f t="shared" si="22"/>
        <v>16</v>
      </c>
      <c r="S122" s="18">
        <f t="shared" si="23"/>
        <v>0</v>
      </c>
      <c r="T122" s="18">
        <f t="shared" si="24"/>
        <v>136</v>
      </c>
      <c r="U122" s="18">
        <f t="shared" si="25"/>
        <v>-40</v>
      </c>
      <c r="V122">
        <v>-37</v>
      </c>
    </row>
    <row r="123" spans="1:22" x14ac:dyDescent="0.25">
      <c r="A123" s="15">
        <v>122</v>
      </c>
      <c r="B123" s="19" t="s">
        <v>147</v>
      </c>
      <c r="C123" s="17">
        <f>VLOOKUP(B:B,Courts!B:C,2,FALSE())</f>
        <v>2</v>
      </c>
      <c r="D123" s="17">
        <f>VLOOKUP(B:B,Courts!B:D,3,FALSE())</f>
        <v>1</v>
      </c>
      <c r="E123" s="15">
        <f>VLOOKUP(B:B,Courts!B:E,4,FALSE())</f>
        <v>1</v>
      </c>
      <c r="F123" s="18">
        <v>12</v>
      </c>
      <c r="G123" s="18">
        <v>0</v>
      </c>
      <c r="H123" s="18">
        <v>1</v>
      </c>
      <c r="I123" s="18">
        <v>0</v>
      </c>
      <c r="J123" s="18">
        <v>8</v>
      </c>
      <c r="K123" s="18">
        <v>1</v>
      </c>
      <c r="L123" s="18">
        <v>0</v>
      </c>
      <c r="M123" s="18">
        <v>4</v>
      </c>
      <c r="N123" s="18">
        <v>3</v>
      </c>
      <c r="O123" s="18">
        <f t="shared" si="20"/>
        <v>16</v>
      </c>
      <c r="P123" s="18">
        <f t="shared" si="19"/>
        <v>28</v>
      </c>
      <c r="Q123" s="18">
        <f t="shared" si="21"/>
        <v>16</v>
      </c>
      <c r="R123" s="18">
        <f t="shared" si="22"/>
        <v>8</v>
      </c>
      <c r="S123" s="18">
        <f t="shared" si="23"/>
        <v>4</v>
      </c>
      <c r="T123" s="18">
        <f t="shared" si="24"/>
        <v>28</v>
      </c>
      <c r="U123" s="18">
        <f t="shared" si="25"/>
        <v>0</v>
      </c>
      <c r="V123">
        <v>0</v>
      </c>
    </row>
    <row r="124" spans="1:22" x14ac:dyDescent="0.25">
      <c r="A124" s="15">
        <v>123</v>
      </c>
      <c r="B124" s="19" t="s">
        <v>148</v>
      </c>
      <c r="C124" s="17">
        <f>VLOOKUP(B:B,Courts!B:C,2,FALSE())</f>
        <v>2</v>
      </c>
      <c r="D124" s="17">
        <f>VLOOKUP(B:B,Courts!B:D,3,FALSE())</f>
        <v>0</v>
      </c>
      <c r="E124" s="15">
        <f>VLOOKUP(B:B,Courts!B:E,4,FALSE())</f>
        <v>1</v>
      </c>
      <c r="F124" s="18">
        <v>8</v>
      </c>
      <c r="G124" s="18">
        <v>0</v>
      </c>
      <c r="H124" s="18">
        <v>6</v>
      </c>
      <c r="I124" s="18">
        <v>0</v>
      </c>
      <c r="J124" s="18">
        <v>0</v>
      </c>
      <c r="K124" s="18">
        <v>1</v>
      </c>
      <c r="L124" s="18">
        <v>0</v>
      </c>
      <c r="M124" s="18">
        <v>4</v>
      </c>
      <c r="N124" s="18">
        <v>5</v>
      </c>
      <c r="O124" s="18">
        <f t="shared" si="20"/>
        <v>10</v>
      </c>
      <c r="P124" s="18">
        <f t="shared" si="19"/>
        <v>23</v>
      </c>
      <c r="Q124" s="18">
        <f t="shared" si="21"/>
        <v>16</v>
      </c>
      <c r="R124" s="18">
        <f t="shared" si="22"/>
        <v>0</v>
      </c>
      <c r="S124" s="18">
        <f t="shared" si="23"/>
        <v>4</v>
      </c>
      <c r="T124" s="18">
        <f t="shared" si="24"/>
        <v>20</v>
      </c>
      <c r="U124" s="18">
        <f t="shared" si="25"/>
        <v>3</v>
      </c>
      <c r="V124">
        <v>0</v>
      </c>
    </row>
    <row r="125" spans="1:22" x14ac:dyDescent="0.25">
      <c r="A125" s="15">
        <v>124</v>
      </c>
      <c r="B125" s="19" t="s">
        <v>149</v>
      </c>
      <c r="C125" s="17">
        <f>VLOOKUP(B:B,Courts!B:C,2,FALSE())</f>
        <v>0</v>
      </c>
      <c r="D125" s="17">
        <f>VLOOKUP(B:B,Courts!B:D,3,FALSE())</f>
        <v>0</v>
      </c>
      <c r="E125" s="15">
        <f>VLOOKUP(B:B,Courts!B:E,4,FALSE())</f>
        <v>1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0</v>
      </c>
      <c r="L125" s="18">
        <v>0</v>
      </c>
      <c r="M125" s="18">
        <v>4</v>
      </c>
      <c r="N125" s="18">
        <v>0</v>
      </c>
      <c r="O125" s="18">
        <f t="shared" si="20"/>
        <v>4</v>
      </c>
      <c r="P125" s="18">
        <f t="shared" si="19"/>
        <v>4</v>
      </c>
      <c r="Q125" s="18">
        <f t="shared" si="21"/>
        <v>0</v>
      </c>
      <c r="R125" s="18">
        <f t="shared" si="22"/>
        <v>0</v>
      </c>
      <c r="S125" s="18">
        <f t="shared" si="23"/>
        <v>4</v>
      </c>
      <c r="T125" s="18">
        <f t="shared" si="24"/>
        <v>4</v>
      </c>
      <c r="U125" s="18">
        <f t="shared" si="25"/>
        <v>0</v>
      </c>
      <c r="V125">
        <v>0</v>
      </c>
    </row>
    <row r="126" spans="1:22" x14ac:dyDescent="0.25">
      <c r="A126" s="15">
        <v>125</v>
      </c>
      <c r="B126" s="16" t="s">
        <v>150</v>
      </c>
      <c r="C126" s="17">
        <f>VLOOKUP(B:B,Courts!B:C,2,FALSE())</f>
        <v>18</v>
      </c>
      <c r="D126" s="17">
        <f>VLOOKUP(B:B,Courts!B:D,3,FALSE())</f>
        <v>3</v>
      </c>
      <c r="E126" s="15">
        <f>VLOOKUP(B:B,Courts!B:E,4,FALSE())</f>
        <v>0</v>
      </c>
      <c r="F126" s="18">
        <v>64</v>
      </c>
      <c r="G126" s="18">
        <v>0</v>
      </c>
      <c r="H126" s="18">
        <v>22</v>
      </c>
      <c r="I126" s="18">
        <v>0</v>
      </c>
      <c r="J126" s="18">
        <v>37</v>
      </c>
      <c r="K126" s="18">
        <v>2</v>
      </c>
      <c r="L126" s="18">
        <v>2</v>
      </c>
      <c r="M126" s="18">
        <v>0</v>
      </c>
      <c r="N126" s="18">
        <v>45</v>
      </c>
      <c r="O126" s="18">
        <f t="shared" si="20"/>
        <v>86</v>
      </c>
      <c r="P126" s="18">
        <f t="shared" si="19"/>
        <v>168</v>
      </c>
      <c r="Q126" s="18">
        <f t="shared" si="21"/>
        <v>144</v>
      </c>
      <c r="R126" s="18">
        <f t="shared" si="22"/>
        <v>24</v>
      </c>
      <c r="S126" s="18">
        <f t="shared" si="23"/>
        <v>0</v>
      </c>
      <c r="T126" s="18">
        <f t="shared" si="24"/>
        <v>168</v>
      </c>
      <c r="U126" s="18">
        <f t="shared" si="25"/>
        <v>0</v>
      </c>
      <c r="V126">
        <v>0</v>
      </c>
    </row>
    <row r="127" spans="1:22" x14ac:dyDescent="0.25">
      <c r="A127" s="15">
        <v>126</v>
      </c>
      <c r="B127" s="19" t="s">
        <v>151</v>
      </c>
      <c r="C127" s="17">
        <f>VLOOKUP(B:B,Courts!B:C,2,FALSE())</f>
        <v>2</v>
      </c>
      <c r="D127" s="17">
        <f>VLOOKUP(B:B,Courts!B:D,3,FALSE())</f>
        <v>0</v>
      </c>
      <c r="E127" s="15">
        <f>VLOOKUP(B:B,Courts!B:E,4,FALSE())</f>
        <v>1</v>
      </c>
      <c r="F127" s="18">
        <v>4</v>
      </c>
      <c r="G127" s="18">
        <v>0</v>
      </c>
      <c r="H127" s="18">
        <v>6</v>
      </c>
      <c r="I127" s="18">
        <v>0</v>
      </c>
      <c r="J127" s="18">
        <v>3</v>
      </c>
      <c r="K127" s="18">
        <v>1</v>
      </c>
      <c r="L127" s="18">
        <v>0</v>
      </c>
      <c r="M127" s="18">
        <v>4</v>
      </c>
      <c r="N127" s="18">
        <v>3</v>
      </c>
      <c r="O127" s="18">
        <f t="shared" si="20"/>
        <v>11</v>
      </c>
      <c r="P127" s="18">
        <f t="shared" si="19"/>
        <v>20</v>
      </c>
      <c r="Q127" s="18">
        <f t="shared" si="21"/>
        <v>16</v>
      </c>
      <c r="R127" s="18">
        <f t="shared" si="22"/>
        <v>0</v>
      </c>
      <c r="S127" s="18">
        <f t="shared" si="23"/>
        <v>4</v>
      </c>
      <c r="T127" s="18">
        <f t="shared" si="24"/>
        <v>20</v>
      </c>
      <c r="U127" s="18">
        <f t="shared" si="25"/>
        <v>0</v>
      </c>
      <c r="V127">
        <v>0</v>
      </c>
    </row>
    <row r="128" spans="1:22" x14ac:dyDescent="0.25">
      <c r="A128" s="15">
        <v>127</v>
      </c>
      <c r="B128" s="19" t="s">
        <v>152</v>
      </c>
      <c r="C128" s="17">
        <f>VLOOKUP(B:B,Courts!B:C,2,FALSE())</f>
        <v>3</v>
      </c>
      <c r="D128" s="17">
        <f>VLOOKUP(B:B,Courts!B:D,3,FALSE())</f>
        <v>1</v>
      </c>
      <c r="E128" s="15">
        <f>VLOOKUP(B:B,Courts!B:E,4,FALSE())</f>
        <v>1</v>
      </c>
      <c r="F128" s="18">
        <v>8</v>
      </c>
      <c r="G128" s="18">
        <v>0</v>
      </c>
      <c r="H128" s="18">
        <v>6</v>
      </c>
      <c r="I128" s="18">
        <v>0</v>
      </c>
      <c r="J128" s="18">
        <v>0</v>
      </c>
      <c r="K128" s="18">
        <v>1</v>
      </c>
      <c r="L128" s="18">
        <v>0</v>
      </c>
      <c r="M128" s="18">
        <v>4</v>
      </c>
      <c r="N128" s="18">
        <v>10</v>
      </c>
      <c r="O128" s="18">
        <f t="shared" si="20"/>
        <v>15</v>
      </c>
      <c r="P128" s="18">
        <f t="shared" si="19"/>
        <v>28</v>
      </c>
      <c r="Q128" s="18">
        <f t="shared" si="21"/>
        <v>24</v>
      </c>
      <c r="R128" s="18">
        <f t="shared" si="22"/>
        <v>8</v>
      </c>
      <c r="S128" s="18">
        <f t="shared" si="23"/>
        <v>4</v>
      </c>
      <c r="T128" s="18">
        <f t="shared" si="24"/>
        <v>36</v>
      </c>
      <c r="U128" s="18">
        <f t="shared" si="25"/>
        <v>-8</v>
      </c>
      <c r="V128">
        <v>-3</v>
      </c>
    </row>
    <row r="129" spans="1:22" x14ac:dyDescent="0.25">
      <c r="A129" s="15">
        <v>128</v>
      </c>
      <c r="B129" s="19" t="s">
        <v>153</v>
      </c>
      <c r="C129" s="17">
        <f>VLOOKUP(B:B,Courts!B:C,2,FALSE())</f>
        <v>2</v>
      </c>
      <c r="D129" s="17">
        <f>VLOOKUP(B:B,Courts!B:D,3,FALSE())</f>
        <v>0</v>
      </c>
      <c r="E129" s="15">
        <f>VLOOKUP(B:B,Courts!B:E,4,FALSE())</f>
        <v>1</v>
      </c>
      <c r="F129" s="18">
        <v>4</v>
      </c>
      <c r="G129" s="18">
        <v>0</v>
      </c>
      <c r="H129" s="18">
        <v>6</v>
      </c>
      <c r="I129" s="18">
        <v>0</v>
      </c>
      <c r="J129" s="18">
        <v>0</v>
      </c>
      <c r="K129" s="18">
        <v>1</v>
      </c>
      <c r="L129" s="18">
        <v>0</v>
      </c>
      <c r="M129" s="18">
        <v>4</v>
      </c>
      <c r="N129" s="18">
        <v>11</v>
      </c>
      <c r="O129" s="18">
        <f t="shared" si="20"/>
        <v>16</v>
      </c>
      <c r="P129" s="18">
        <f t="shared" si="19"/>
        <v>25</v>
      </c>
      <c r="Q129" s="18">
        <f t="shared" si="21"/>
        <v>16</v>
      </c>
      <c r="R129" s="18">
        <f t="shared" si="22"/>
        <v>0</v>
      </c>
      <c r="S129" s="18">
        <f t="shared" si="23"/>
        <v>4</v>
      </c>
      <c r="T129" s="18">
        <f t="shared" si="24"/>
        <v>20</v>
      </c>
      <c r="U129" s="18">
        <f t="shared" si="25"/>
        <v>5</v>
      </c>
      <c r="V129">
        <v>0</v>
      </c>
    </row>
    <row r="130" spans="1:22" x14ac:dyDescent="0.25">
      <c r="A130" s="15">
        <v>129</v>
      </c>
      <c r="B130" s="16" t="s">
        <v>154</v>
      </c>
      <c r="C130" s="17">
        <f>VLOOKUP(B:B,Courts!B:C,2,FALSE())</f>
        <v>19</v>
      </c>
      <c r="D130" s="17">
        <f>VLOOKUP(B:B,Courts!B:D,3,FALSE())</f>
        <v>3</v>
      </c>
      <c r="E130" s="15">
        <f>VLOOKUP(B:B,Courts!B:E,4,FALSE())</f>
        <v>0</v>
      </c>
      <c r="F130" s="18">
        <v>64</v>
      </c>
      <c r="G130" s="18">
        <v>0</v>
      </c>
      <c r="H130" s="18">
        <v>28</v>
      </c>
      <c r="I130" s="18">
        <v>0</v>
      </c>
      <c r="J130" s="18">
        <v>36</v>
      </c>
      <c r="K130" s="18">
        <v>2</v>
      </c>
      <c r="L130" s="18">
        <v>2</v>
      </c>
      <c r="M130" s="18">
        <v>0</v>
      </c>
      <c r="N130" s="18">
        <v>56</v>
      </c>
      <c r="O130" s="18">
        <f t="shared" si="20"/>
        <v>96</v>
      </c>
      <c r="P130" s="18">
        <f t="shared" si="19"/>
        <v>184</v>
      </c>
      <c r="Q130" s="18">
        <f t="shared" si="21"/>
        <v>152</v>
      </c>
      <c r="R130" s="18">
        <f t="shared" si="22"/>
        <v>24</v>
      </c>
      <c r="S130" s="18">
        <f t="shared" si="23"/>
        <v>0</v>
      </c>
      <c r="T130" s="18">
        <f t="shared" si="24"/>
        <v>176</v>
      </c>
      <c r="U130" s="18">
        <f t="shared" si="25"/>
        <v>8</v>
      </c>
      <c r="V130">
        <v>0</v>
      </c>
    </row>
    <row r="131" spans="1:22" x14ac:dyDescent="0.25">
      <c r="A131" s="15">
        <v>130</v>
      </c>
      <c r="B131" s="19" t="s">
        <v>155</v>
      </c>
      <c r="C131" s="17">
        <f>VLOOKUP(B:B,Courts!B:C,2,FALSE())</f>
        <v>4</v>
      </c>
      <c r="D131" s="17">
        <f>VLOOKUP(B:B,Courts!B:D,3,FALSE())</f>
        <v>2</v>
      </c>
      <c r="E131" s="15">
        <f>VLOOKUP(B:B,Courts!B:E,4,FALSE())</f>
        <v>1</v>
      </c>
      <c r="F131" s="18">
        <v>16</v>
      </c>
      <c r="G131" s="18">
        <v>0</v>
      </c>
      <c r="H131" s="18">
        <v>8</v>
      </c>
      <c r="I131" s="18">
        <v>0</v>
      </c>
      <c r="J131" s="18">
        <v>0</v>
      </c>
      <c r="K131" s="18">
        <v>1</v>
      </c>
      <c r="L131" s="18">
        <v>0</v>
      </c>
      <c r="M131" s="18">
        <v>4</v>
      </c>
      <c r="N131" s="18">
        <v>22</v>
      </c>
      <c r="O131" s="18">
        <f t="shared" si="20"/>
        <v>27</v>
      </c>
      <c r="P131" s="18">
        <f t="shared" si="19"/>
        <v>50</v>
      </c>
      <c r="Q131" s="18">
        <f t="shared" si="21"/>
        <v>32</v>
      </c>
      <c r="R131" s="18">
        <f t="shared" si="22"/>
        <v>16</v>
      </c>
      <c r="S131" s="18">
        <f t="shared" si="23"/>
        <v>4</v>
      </c>
      <c r="T131" s="18">
        <f t="shared" si="24"/>
        <v>52</v>
      </c>
      <c r="U131" s="18">
        <f t="shared" si="25"/>
        <v>-2</v>
      </c>
      <c r="V131">
        <v>0</v>
      </c>
    </row>
    <row r="132" spans="1:22" x14ac:dyDescent="0.25">
      <c r="A132" s="20"/>
      <c r="B132" s="20"/>
      <c r="C132" s="20"/>
      <c r="D132" s="20"/>
      <c r="E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</row>
    <row r="133" spans="1:22" ht="15.75" x14ac:dyDescent="0.25">
      <c r="A133" s="22"/>
      <c r="B133" s="23" t="s">
        <v>156</v>
      </c>
      <c r="C133" s="24">
        <f t="shared" ref="C133:U133" si="26">SUM(C2:C132)</f>
        <v>1147</v>
      </c>
      <c r="D133" s="24">
        <f t="shared" si="26"/>
        <v>108</v>
      </c>
      <c r="E133" s="24">
        <f t="shared" si="26"/>
        <v>81</v>
      </c>
      <c r="F133" s="24">
        <f t="shared" si="26"/>
        <v>3784</v>
      </c>
      <c r="G133" s="24">
        <f t="shared" si="26"/>
        <v>1</v>
      </c>
      <c r="H133" s="24">
        <f t="shared" si="26"/>
        <v>1524</v>
      </c>
      <c r="I133" s="24">
        <f t="shared" si="26"/>
        <v>18</v>
      </c>
      <c r="J133" s="24">
        <f t="shared" si="26"/>
        <v>1422</v>
      </c>
      <c r="K133" s="24">
        <f t="shared" si="26"/>
        <v>239</v>
      </c>
      <c r="L133" s="24">
        <f t="shared" si="26"/>
        <v>99</v>
      </c>
      <c r="M133" s="24">
        <f t="shared" si="26"/>
        <v>324</v>
      </c>
      <c r="N133" s="24">
        <f t="shared" si="26"/>
        <v>1828</v>
      </c>
      <c r="O133" s="24">
        <f t="shared" si="26"/>
        <v>3912</v>
      </c>
      <c r="P133" s="24">
        <f t="shared" si="26"/>
        <v>8901</v>
      </c>
      <c r="Q133" s="24">
        <f t="shared" si="26"/>
        <v>9176</v>
      </c>
      <c r="R133" s="24">
        <f t="shared" si="26"/>
        <v>864</v>
      </c>
      <c r="S133" s="24">
        <f t="shared" si="26"/>
        <v>324</v>
      </c>
      <c r="T133" s="24">
        <f t="shared" si="26"/>
        <v>10364</v>
      </c>
      <c r="U133" s="24">
        <f t="shared" si="26"/>
        <v>-1463</v>
      </c>
      <c r="V133" s="24">
        <f t="shared" ref="V133" si="27">SUM(V2:V132)</f>
        <v>-1489</v>
      </c>
    </row>
    <row r="134" spans="1:22" x14ac:dyDescent="0.25">
      <c r="A134" s="25"/>
      <c r="B134" s="2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5.75" x14ac:dyDescent="0.25">
      <c r="A135" s="26">
        <v>1</v>
      </c>
      <c r="B135" s="27" t="s">
        <v>157</v>
      </c>
      <c r="C135" s="28">
        <f t="shared" ref="C135" si="28">SUM(C2:C69)</f>
        <v>640</v>
      </c>
      <c r="D135" s="28">
        <f t="shared" ref="D135:V135" si="29">SUM(D2:D69)</f>
        <v>0</v>
      </c>
      <c r="E135" s="28">
        <f t="shared" si="29"/>
        <v>45</v>
      </c>
      <c r="F135" s="28">
        <f t="shared" si="29"/>
        <v>1944</v>
      </c>
      <c r="G135" s="28">
        <f t="shared" si="29"/>
        <v>0</v>
      </c>
      <c r="H135" s="28">
        <f t="shared" si="29"/>
        <v>840</v>
      </c>
      <c r="I135" s="28">
        <f t="shared" si="29"/>
        <v>9</v>
      </c>
      <c r="J135" s="28">
        <f t="shared" si="29"/>
        <v>998</v>
      </c>
      <c r="K135" s="28">
        <f t="shared" si="29"/>
        <v>130</v>
      </c>
      <c r="L135" s="28">
        <f t="shared" si="29"/>
        <v>55</v>
      </c>
      <c r="M135" s="28">
        <f t="shared" si="29"/>
        <v>188</v>
      </c>
      <c r="N135" s="28">
        <f t="shared" si="29"/>
        <v>441</v>
      </c>
      <c r="O135" s="28">
        <f t="shared" si="29"/>
        <v>1812</v>
      </c>
      <c r="P135" s="28">
        <f t="shared" si="29"/>
        <v>4420</v>
      </c>
      <c r="Q135" s="28">
        <f t="shared" si="29"/>
        <v>5120</v>
      </c>
      <c r="R135" s="28">
        <f t="shared" si="29"/>
        <v>0</v>
      </c>
      <c r="S135" s="28">
        <f t="shared" si="29"/>
        <v>180</v>
      </c>
      <c r="T135" s="28">
        <f t="shared" si="29"/>
        <v>5300</v>
      </c>
      <c r="U135" s="28">
        <f t="shared" si="29"/>
        <v>-880</v>
      </c>
      <c r="V135" s="28">
        <f t="shared" si="29"/>
        <v>-890</v>
      </c>
    </row>
    <row r="136" spans="1:22" ht="15.75" x14ac:dyDescent="0.25">
      <c r="A136" s="26">
        <v>2</v>
      </c>
      <c r="B136" s="27" t="s">
        <v>158</v>
      </c>
      <c r="C136" s="28">
        <f t="shared" ref="C136" si="30">SUM(C71:C131)</f>
        <v>479</v>
      </c>
      <c r="D136" s="28">
        <f t="shared" ref="D136:V136" si="31">SUM(D71:D131)</f>
        <v>108</v>
      </c>
      <c r="E136" s="28">
        <f t="shared" si="31"/>
        <v>36</v>
      </c>
      <c r="F136" s="28">
        <f t="shared" si="31"/>
        <v>1724</v>
      </c>
      <c r="G136" s="28">
        <f t="shared" si="31"/>
        <v>1</v>
      </c>
      <c r="H136" s="28">
        <f t="shared" si="31"/>
        <v>657</v>
      </c>
      <c r="I136" s="28">
        <f t="shared" si="31"/>
        <v>6</v>
      </c>
      <c r="J136" s="28">
        <f t="shared" si="31"/>
        <v>420</v>
      </c>
      <c r="K136" s="28">
        <f t="shared" si="31"/>
        <v>106</v>
      </c>
      <c r="L136" s="28">
        <f t="shared" si="31"/>
        <v>41</v>
      </c>
      <c r="M136" s="28">
        <f t="shared" si="31"/>
        <v>136</v>
      </c>
      <c r="N136" s="28">
        <f t="shared" si="31"/>
        <v>1297</v>
      </c>
      <c r="O136" s="28">
        <f t="shared" si="31"/>
        <v>2000</v>
      </c>
      <c r="P136" s="28">
        <f t="shared" si="31"/>
        <v>4241</v>
      </c>
      <c r="Q136" s="28">
        <f t="shared" si="31"/>
        <v>3832</v>
      </c>
      <c r="R136" s="28">
        <f t="shared" si="31"/>
        <v>864</v>
      </c>
      <c r="S136" s="28">
        <f t="shared" si="31"/>
        <v>144</v>
      </c>
      <c r="T136" s="28">
        <f t="shared" si="31"/>
        <v>4840</v>
      </c>
      <c r="U136" s="28">
        <f t="shared" si="31"/>
        <v>-599</v>
      </c>
      <c r="V136" s="28">
        <f t="shared" si="31"/>
        <v>-599</v>
      </c>
    </row>
    <row r="137" spans="1:22" ht="15.75" x14ac:dyDescent="0.25">
      <c r="A137" s="26">
        <v>3</v>
      </c>
      <c r="B137" s="27" t="s">
        <v>97</v>
      </c>
      <c r="C137" s="28">
        <f t="shared" ref="C137" si="32">SUM(C70)</f>
        <v>28</v>
      </c>
      <c r="D137" s="28">
        <f t="shared" ref="D137:V137" si="33">SUM(D70)</f>
        <v>0</v>
      </c>
      <c r="E137" s="28">
        <f t="shared" si="33"/>
        <v>0</v>
      </c>
      <c r="F137" s="28">
        <f t="shared" si="33"/>
        <v>116</v>
      </c>
      <c r="G137" s="28">
        <f t="shared" si="33"/>
        <v>0</v>
      </c>
      <c r="H137" s="28">
        <f t="shared" si="33"/>
        <v>27</v>
      </c>
      <c r="I137" s="28">
        <f t="shared" si="33"/>
        <v>3</v>
      </c>
      <c r="J137" s="28">
        <f t="shared" si="33"/>
        <v>4</v>
      </c>
      <c r="K137" s="28">
        <f t="shared" si="33"/>
        <v>3</v>
      </c>
      <c r="L137" s="28">
        <f t="shared" si="33"/>
        <v>3</v>
      </c>
      <c r="M137" s="28">
        <f t="shared" si="33"/>
        <v>0</v>
      </c>
      <c r="N137" s="28">
        <f t="shared" si="33"/>
        <v>90</v>
      </c>
      <c r="O137" s="28">
        <f t="shared" si="33"/>
        <v>100</v>
      </c>
      <c r="P137" s="28">
        <f t="shared" si="33"/>
        <v>240</v>
      </c>
      <c r="Q137" s="28">
        <f t="shared" si="33"/>
        <v>224</v>
      </c>
      <c r="R137" s="28">
        <f t="shared" si="33"/>
        <v>0</v>
      </c>
      <c r="S137" s="28">
        <f t="shared" si="33"/>
        <v>0</v>
      </c>
      <c r="T137" s="28">
        <f t="shared" si="33"/>
        <v>224</v>
      </c>
      <c r="U137" s="28">
        <f t="shared" si="33"/>
        <v>16</v>
      </c>
      <c r="V137" s="28">
        <f t="shared" si="33"/>
        <v>0</v>
      </c>
    </row>
    <row r="138" spans="1:22" ht="15.75" x14ac:dyDescent="0.25">
      <c r="A138" s="22"/>
      <c r="B138" s="27" t="s">
        <v>156</v>
      </c>
      <c r="C138" s="24">
        <f t="shared" ref="C138:V138" si="34">SUM(C135:C137)</f>
        <v>1147</v>
      </c>
      <c r="D138" s="24">
        <f t="shared" si="34"/>
        <v>108</v>
      </c>
      <c r="E138" s="24">
        <f t="shared" si="34"/>
        <v>81</v>
      </c>
      <c r="F138" s="24">
        <f t="shared" si="34"/>
        <v>3784</v>
      </c>
      <c r="G138" s="24">
        <f t="shared" si="34"/>
        <v>1</v>
      </c>
      <c r="H138" s="24">
        <f t="shared" si="34"/>
        <v>1524</v>
      </c>
      <c r="I138" s="24">
        <f t="shared" si="34"/>
        <v>18</v>
      </c>
      <c r="J138" s="24">
        <f t="shared" si="34"/>
        <v>1422</v>
      </c>
      <c r="K138" s="24">
        <f t="shared" si="34"/>
        <v>239</v>
      </c>
      <c r="L138" s="24">
        <f t="shared" si="34"/>
        <v>99</v>
      </c>
      <c r="M138" s="24">
        <f t="shared" si="34"/>
        <v>324</v>
      </c>
      <c r="N138" s="24">
        <f t="shared" si="34"/>
        <v>1828</v>
      </c>
      <c r="O138" s="24">
        <f t="shared" si="34"/>
        <v>3912</v>
      </c>
      <c r="P138" s="24">
        <f t="shared" si="34"/>
        <v>8901</v>
      </c>
      <c r="Q138" s="24">
        <f t="shared" si="34"/>
        <v>9176</v>
      </c>
      <c r="R138" s="24">
        <f t="shared" si="34"/>
        <v>864</v>
      </c>
      <c r="S138" s="24">
        <f t="shared" si="34"/>
        <v>324</v>
      </c>
      <c r="T138" s="24">
        <f t="shared" si="34"/>
        <v>10364</v>
      </c>
      <c r="U138" s="24">
        <f t="shared" si="34"/>
        <v>-1463</v>
      </c>
      <c r="V138" s="24">
        <f t="shared" si="34"/>
        <v>-1489</v>
      </c>
    </row>
    <row r="139" spans="1:22" x14ac:dyDescent="0.25">
      <c r="T139" s="5"/>
      <c r="U139" s="5"/>
    </row>
  </sheetData>
  <autoFilter ref="A1:V131" xr:uid="{00000000-0009-0000-0000-000003000000}"/>
  <pageMargins left="0.7" right="0.7" top="0.75" bottom="0.75" header="0.511811023622047" footer="0.511811023622047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6"/>
  <sheetViews>
    <sheetView workbookViewId="0">
      <pane ySplit="1" topLeftCell="A73" activePane="bottomLeft" state="frozen"/>
      <selection pane="bottomLeft" activeCell="S86" sqref="S86:S88"/>
    </sheetView>
  </sheetViews>
  <sheetFormatPr defaultColWidth="8.7109375" defaultRowHeight="15" customHeight="1" x14ac:dyDescent="0.25"/>
  <cols>
    <col min="2" max="2" width="21" customWidth="1"/>
    <col min="3" max="3" width="18.28515625" customWidth="1"/>
    <col min="6" max="8" width="0" hidden="1" customWidth="1"/>
    <col min="13" max="13" width="9.140625" style="31" customWidth="1"/>
    <col min="17" max="17" width="8.7109375" style="90"/>
  </cols>
  <sheetData>
    <row r="1" spans="1:20" ht="112.5" x14ac:dyDescent="0.25">
      <c r="A1" s="32" t="s">
        <v>15</v>
      </c>
      <c r="B1" s="32" t="s">
        <v>16</v>
      </c>
      <c r="C1" s="33" t="s">
        <v>205</v>
      </c>
      <c r="D1" s="33" t="s">
        <v>198</v>
      </c>
      <c r="E1" s="33" t="s">
        <v>4</v>
      </c>
      <c r="F1" s="34" t="s">
        <v>159</v>
      </c>
      <c r="G1" s="34" t="s">
        <v>160</v>
      </c>
      <c r="H1" s="34" t="s">
        <v>161</v>
      </c>
      <c r="I1" s="34" t="s">
        <v>162</v>
      </c>
      <c r="J1" s="34" t="s">
        <v>163</v>
      </c>
      <c r="K1" s="34" t="s">
        <v>164</v>
      </c>
      <c r="L1" s="34" t="s">
        <v>165</v>
      </c>
      <c r="M1" s="35" t="s">
        <v>166</v>
      </c>
      <c r="N1" s="34" t="s">
        <v>167</v>
      </c>
      <c r="O1" s="34" t="s">
        <v>168</v>
      </c>
      <c r="P1" s="34" t="s">
        <v>169</v>
      </c>
      <c r="Q1" s="88" t="s">
        <v>211</v>
      </c>
      <c r="R1" s="34" t="s">
        <v>214</v>
      </c>
      <c r="S1" s="34" t="s">
        <v>27</v>
      </c>
      <c r="T1" s="34" t="s">
        <v>213</v>
      </c>
    </row>
    <row r="2" spans="1:20" x14ac:dyDescent="0.25">
      <c r="A2" s="36">
        <v>1</v>
      </c>
      <c r="B2" s="37" t="s">
        <v>29</v>
      </c>
      <c r="C2" s="38">
        <f>VLOOKUP(B:B,Courts!B:C,2,FALSE())</f>
        <v>48</v>
      </c>
      <c r="D2" s="38">
        <f>VLOOKUP(B:B,Courts!B:E,4,FALSE())</f>
        <v>0</v>
      </c>
      <c r="E2" s="38">
        <f>VLOOKUP(B:B,Courts!B:D,3,FALSE())</f>
        <v>0</v>
      </c>
      <c r="F2" s="38">
        <v>28</v>
      </c>
      <c r="G2" s="38">
        <v>1</v>
      </c>
      <c r="H2" s="38">
        <v>24</v>
      </c>
      <c r="I2" s="38">
        <v>68</v>
      </c>
      <c r="J2" s="39"/>
      <c r="K2" s="39">
        <f t="shared" ref="K2:K33" si="0">I2-J2</f>
        <v>68</v>
      </c>
      <c r="L2" s="38">
        <v>16</v>
      </c>
      <c r="M2" s="40">
        <v>39</v>
      </c>
      <c r="N2" s="38">
        <v>6</v>
      </c>
      <c r="O2" s="38">
        <f t="shared" ref="O2:O33" si="1">K2+L2+N2</f>
        <v>90</v>
      </c>
      <c r="P2" s="18">
        <f t="shared" ref="P2:P33" si="2">SUM(C2+E2)*2</f>
        <v>96</v>
      </c>
      <c r="Q2" s="89">
        <f t="shared" ref="Q2" si="3">D2*1</f>
        <v>0</v>
      </c>
      <c r="R2" s="18">
        <f t="shared" ref="R2:R33" si="4">SUM(P2:Q2)</f>
        <v>96</v>
      </c>
      <c r="S2" s="18">
        <f t="shared" ref="S2:S33" si="5">O2-R2</f>
        <v>-6</v>
      </c>
      <c r="T2" s="18">
        <v>5</v>
      </c>
    </row>
    <row r="3" spans="1:20" x14ac:dyDescent="0.25">
      <c r="A3" s="36">
        <v>2</v>
      </c>
      <c r="B3" s="36" t="s">
        <v>30</v>
      </c>
      <c r="C3" s="38">
        <f>VLOOKUP(B:B,Courts!B:C,2,FALSE())</f>
        <v>5</v>
      </c>
      <c r="D3" s="38">
        <f>VLOOKUP(B:B,Courts!B:E,4,FALSE())</f>
        <v>1</v>
      </c>
      <c r="E3" s="38">
        <f>VLOOKUP(B:B,Courts!B:D,3,FALSE())</f>
        <v>0</v>
      </c>
      <c r="F3" s="38"/>
      <c r="G3" s="38"/>
      <c r="H3" s="38"/>
      <c r="I3" s="38">
        <v>8</v>
      </c>
      <c r="J3" s="39"/>
      <c r="K3" s="39">
        <f t="shared" si="0"/>
        <v>8</v>
      </c>
      <c r="L3" s="38">
        <v>3</v>
      </c>
      <c r="M3" s="40">
        <v>3</v>
      </c>
      <c r="N3" s="38">
        <v>0</v>
      </c>
      <c r="O3" s="38">
        <f t="shared" si="1"/>
        <v>11</v>
      </c>
      <c r="P3" s="18">
        <f t="shared" si="2"/>
        <v>10</v>
      </c>
      <c r="Q3" s="89">
        <v>0</v>
      </c>
      <c r="R3" s="18">
        <f t="shared" si="4"/>
        <v>10</v>
      </c>
      <c r="S3" s="18">
        <f t="shared" si="5"/>
        <v>1</v>
      </c>
      <c r="T3" s="18">
        <f t="shared" ref="T3:T33" si="6">IF(S3&lt;0, -S3, 0)</f>
        <v>0</v>
      </c>
    </row>
    <row r="4" spans="1:20" x14ac:dyDescent="0.25">
      <c r="A4" s="36">
        <v>3</v>
      </c>
      <c r="B4" s="36" t="s">
        <v>31</v>
      </c>
      <c r="C4" s="38">
        <f>VLOOKUP(B:B,Courts!B:C,2,FALSE())</f>
        <v>4</v>
      </c>
      <c r="D4" s="38">
        <f>VLOOKUP(B:B,Courts!B:E,4,FALSE())</f>
        <v>1</v>
      </c>
      <c r="E4" s="38">
        <f>VLOOKUP(B:B,Courts!B:D,3,FALSE())</f>
        <v>0</v>
      </c>
      <c r="F4" s="38">
        <v>2</v>
      </c>
      <c r="G4" s="38"/>
      <c r="H4" s="38"/>
      <c r="I4" s="38">
        <v>2</v>
      </c>
      <c r="J4" s="39"/>
      <c r="K4" s="39">
        <f t="shared" si="0"/>
        <v>2</v>
      </c>
      <c r="L4" s="38">
        <v>5</v>
      </c>
      <c r="M4" s="40">
        <v>4</v>
      </c>
      <c r="N4" s="38">
        <v>1</v>
      </c>
      <c r="O4" s="38">
        <f t="shared" si="1"/>
        <v>8</v>
      </c>
      <c r="P4" s="18">
        <f t="shared" si="2"/>
        <v>8</v>
      </c>
      <c r="Q4" s="89">
        <v>0</v>
      </c>
      <c r="R4" s="18">
        <f t="shared" si="4"/>
        <v>8</v>
      </c>
      <c r="S4" s="18">
        <f t="shared" si="5"/>
        <v>0</v>
      </c>
      <c r="T4" s="18">
        <f t="shared" si="6"/>
        <v>0</v>
      </c>
    </row>
    <row r="5" spans="1:20" x14ac:dyDescent="0.25">
      <c r="A5" s="36">
        <v>4</v>
      </c>
      <c r="B5" s="37" t="s">
        <v>32</v>
      </c>
      <c r="C5" s="38">
        <f>VLOOKUP(B:B,Courts!B:C,2,FALSE())</f>
        <v>11</v>
      </c>
      <c r="D5" s="38">
        <f>VLOOKUP(B:B,Courts!B:E,4,FALSE())</f>
        <v>0</v>
      </c>
      <c r="E5" s="38">
        <f>VLOOKUP(B:B,Courts!B:D,3,FALSE())</f>
        <v>0</v>
      </c>
      <c r="F5" s="38">
        <v>14</v>
      </c>
      <c r="G5" s="38"/>
      <c r="H5" s="38"/>
      <c r="I5" s="38">
        <v>16</v>
      </c>
      <c r="J5" s="39">
        <v>1</v>
      </c>
      <c r="K5" s="39">
        <f t="shared" si="0"/>
        <v>15</v>
      </c>
      <c r="L5" s="38">
        <v>9</v>
      </c>
      <c r="M5" s="40">
        <v>13</v>
      </c>
      <c r="N5" s="38">
        <v>2</v>
      </c>
      <c r="O5" s="38">
        <f t="shared" si="1"/>
        <v>26</v>
      </c>
      <c r="P5" s="18">
        <f t="shared" si="2"/>
        <v>22</v>
      </c>
      <c r="Q5" s="89">
        <v>0</v>
      </c>
      <c r="R5" s="18">
        <f t="shared" si="4"/>
        <v>22</v>
      </c>
      <c r="S5" s="18">
        <f t="shared" si="5"/>
        <v>4</v>
      </c>
      <c r="T5" s="18">
        <f t="shared" si="6"/>
        <v>0</v>
      </c>
    </row>
    <row r="6" spans="1:20" x14ac:dyDescent="0.25">
      <c r="A6" s="36">
        <v>5</v>
      </c>
      <c r="B6" s="37" t="s">
        <v>33</v>
      </c>
      <c r="C6" s="38">
        <f>VLOOKUP(B:B,Courts!B:C,2,FALSE())</f>
        <v>25</v>
      </c>
      <c r="D6" s="38">
        <f>VLOOKUP(B:B,Courts!B:E,4,FALSE())</f>
        <v>0</v>
      </c>
      <c r="E6" s="38">
        <f>VLOOKUP(B:B,Courts!B:D,3,FALSE())</f>
        <v>0</v>
      </c>
      <c r="F6" s="38">
        <v>17</v>
      </c>
      <c r="G6" s="38"/>
      <c r="H6" s="38"/>
      <c r="I6" s="38">
        <v>36</v>
      </c>
      <c r="J6" s="39"/>
      <c r="K6" s="39">
        <f t="shared" si="0"/>
        <v>36</v>
      </c>
      <c r="L6" s="38">
        <v>11</v>
      </c>
      <c r="M6" s="40">
        <v>25</v>
      </c>
      <c r="N6" s="38">
        <v>7</v>
      </c>
      <c r="O6" s="38">
        <f t="shared" si="1"/>
        <v>54</v>
      </c>
      <c r="P6" s="18">
        <f t="shared" si="2"/>
        <v>50</v>
      </c>
      <c r="Q6" s="89">
        <v>0</v>
      </c>
      <c r="R6" s="18">
        <f t="shared" si="4"/>
        <v>50</v>
      </c>
      <c r="S6" s="18">
        <f t="shared" si="5"/>
        <v>4</v>
      </c>
      <c r="T6" s="18">
        <f t="shared" si="6"/>
        <v>0</v>
      </c>
    </row>
    <row r="7" spans="1:20" x14ac:dyDescent="0.25">
      <c r="A7" s="36">
        <v>6</v>
      </c>
      <c r="B7" s="36" t="s">
        <v>34</v>
      </c>
      <c r="C7" s="38">
        <f>VLOOKUP(B:B,Courts!B:C,2,FALSE())</f>
        <v>6</v>
      </c>
      <c r="D7" s="38">
        <f>VLOOKUP(B:B,Courts!B:E,4,FALSE())</f>
        <v>1</v>
      </c>
      <c r="E7" s="38">
        <f>VLOOKUP(B:B,Courts!B:D,3,FALSE())</f>
        <v>0</v>
      </c>
      <c r="F7" s="38">
        <v>2</v>
      </c>
      <c r="G7" s="38"/>
      <c r="H7" s="38"/>
      <c r="I7" s="38">
        <v>4</v>
      </c>
      <c r="J7" s="39">
        <v>2</v>
      </c>
      <c r="K7" s="39">
        <f t="shared" si="0"/>
        <v>2</v>
      </c>
      <c r="L7" s="38">
        <v>5</v>
      </c>
      <c r="M7" s="40">
        <v>4</v>
      </c>
      <c r="N7" s="38">
        <v>5</v>
      </c>
      <c r="O7" s="38">
        <f t="shared" si="1"/>
        <v>12</v>
      </c>
      <c r="P7" s="18">
        <f t="shared" si="2"/>
        <v>12</v>
      </c>
      <c r="Q7" s="89">
        <v>0</v>
      </c>
      <c r="R7" s="18">
        <f t="shared" si="4"/>
        <v>12</v>
      </c>
      <c r="S7" s="18">
        <f t="shared" si="5"/>
        <v>0</v>
      </c>
      <c r="T7" s="18">
        <f t="shared" si="6"/>
        <v>0</v>
      </c>
    </row>
    <row r="8" spans="1:20" x14ac:dyDescent="0.25">
      <c r="A8" s="36">
        <v>7</v>
      </c>
      <c r="B8" s="36" t="s">
        <v>35</v>
      </c>
      <c r="C8" s="38">
        <f>VLOOKUP(B:B,Courts!B:C,2,FALSE())</f>
        <v>4</v>
      </c>
      <c r="D8" s="38">
        <f>VLOOKUP(B:B,Courts!B:E,4,FALSE())</f>
        <v>1</v>
      </c>
      <c r="E8" s="38">
        <f>VLOOKUP(B:B,Courts!B:D,3,FALSE())</f>
        <v>0</v>
      </c>
      <c r="F8" s="38">
        <v>2</v>
      </c>
      <c r="G8" s="38"/>
      <c r="H8" s="38"/>
      <c r="I8" s="38">
        <v>4</v>
      </c>
      <c r="J8" s="39"/>
      <c r="K8" s="39">
        <f t="shared" si="0"/>
        <v>4</v>
      </c>
      <c r="L8" s="38">
        <v>3</v>
      </c>
      <c r="M8" s="40">
        <v>2</v>
      </c>
      <c r="N8" s="38">
        <v>3</v>
      </c>
      <c r="O8" s="38">
        <f t="shared" si="1"/>
        <v>10</v>
      </c>
      <c r="P8" s="18">
        <f t="shared" si="2"/>
        <v>8</v>
      </c>
      <c r="Q8" s="89">
        <v>0</v>
      </c>
      <c r="R8" s="18">
        <f t="shared" si="4"/>
        <v>8</v>
      </c>
      <c r="S8" s="18">
        <f t="shared" si="5"/>
        <v>2</v>
      </c>
      <c r="T8" s="18">
        <f t="shared" si="6"/>
        <v>0</v>
      </c>
    </row>
    <row r="9" spans="1:20" x14ac:dyDescent="0.25">
      <c r="A9" s="36">
        <v>8</v>
      </c>
      <c r="B9" s="37" t="s">
        <v>36</v>
      </c>
      <c r="C9" s="38">
        <f>VLOOKUP(B:B,Courts!B:C,2,FALSE())</f>
        <v>12</v>
      </c>
      <c r="D9" s="38">
        <f>VLOOKUP(B:B,Courts!B:E,4,FALSE())</f>
        <v>0</v>
      </c>
      <c r="E9" s="38">
        <f>VLOOKUP(B:B,Courts!B:D,3,FALSE())</f>
        <v>0</v>
      </c>
      <c r="F9" s="38">
        <v>10</v>
      </c>
      <c r="G9" s="38"/>
      <c r="H9" s="38"/>
      <c r="I9" s="38">
        <v>22</v>
      </c>
      <c r="J9" s="39"/>
      <c r="K9" s="39">
        <f t="shared" si="0"/>
        <v>22</v>
      </c>
      <c r="L9" s="38">
        <v>5</v>
      </c>
      <c r="M9" s="40">
        <v>14</v>
      </c>
      <c r="N9" s="38">
        <v>0</v>
      </c>
      <c r="O9" s="38">
        <f t="shared" si="1"/>
        <v>27</v>
      </c>
      <c r="P9" s="18">
        <f t="shared" si="2"/>
        <v>24</v>
      </c>
      <c r="Q9" s="89">
        <v>0</v>
      </c>
      <c r="R9" s="18">
        <f t="shared" si="4"/>
        <v>24</v>
      </c>
      <c r="S9" s="18">
        <f t="shared" si="5"/>
        <v>3</v>
      </c>
      <c r="T9" s="18">
        <f t="shared" si="6"/>
        <v>0</v>
      </c>
    </row>
    <row r="10" spans="1:20" x14ac:dyDescent="0.25">
      <c r="A10" s="36">
        <v>9</v>
      </c>
      <c r="B10" s="36" t="s">
        <v>37</v>
      </c>
      <c r="C10" s="38">
        <f>VLOOKUP(B:B,Courts!B:C,2,FALSE())</f>
        <v>2</v>
      </c>
      <c r="D10" s="38">
        <f>VLOOKUP(B:B,Courts!B:E,4,FALSE())</f>
        <v>0</v>
      </c>
      <c r="E10" s="38">
        <f>VLOOKUP(B:B,Courts!B:D,3,FALSE())</f>
        <v>0</v>
      </c>
      <c r="F10" s="38">
        <v>1</v>
      </c>
      <c r="G10" s="38"/>
      <c r="H10" s="38"/>
      <c r="I10" s="38">
        <v>2</v>
      </c>
      <c r="J10" s="39">
        <v>2</v>
      </c>
      <c r="K10" s="39">
        <f t="shared" si="0"/>
        <v>0</v>
      </c>
      <c r="L10" s="38">
        <v>0</v>
      </c>
      <c r="M10" s="40">
        <v>4</v>
      </c>
      <c r="N10" s="38">
        <v>4</v>
      </c>
      <c r="O10" s="38">
        <f t="shared" si="1"/>
        <v>4</v>
      </c>
      <c r="P10" s="18">
        <f t="shared" si="2"/>
        <v>4</v>
      </c>
      <c r="Q10" s="89">
        <v>0</v>
      </c>
      <c r="R10" s="18">
        <f t="shared" si="4"/>
        <v>4</v>
      </c>
      <c r="S10" s="18">
        <f t="shared" si="5"/>
        <v>0</v>
      </c>
      <c r="T10" s="18">
        <f t="shared" si="6"/>
        <v>0</v>
      </c>
    </row>
    <row r="11" spans="1:20" x14ac:dyDescent="0.25">
      <c r="A11" s="36">
        <v>10</v>
      </c>
      <c r="B11" s="37" t="s">
        <v>38</v>
      </c>
      <c r="C11" s="38">
        <f>VLOOKUP(B:B,Courts!B:C,2,FALSE())</f>
        <v>11</v>
      </c>
      <c r="D11" s="38">
        <f>VLOOKUP(B:B,Courts!B:E,4,FALSE())</f>
        <v>0</v>
      </c>
      <c r="E11" s="38">
        <f>VLOOKUP(B:B,Courts!B:D,3,FALSE())</f>
        <v>0</v>
      </c>
      <c r="F11" s="38">
        <v>12</v>
      </c>
      <c r="G11" s="38"/>
      <c r="H11" s="38"/>
      <c r="I11" s="38">
        <v>24</v>
      </c>
      <c r="J11" s="39">
        <v>6</v>
      </c>
      <c r="K11" s="39">
        <f t="shared" si="0"/>
        <v>18</v>
      </c>
      <c r="L11" s="38">
        <v>5</v>
      </c>
      <c r="M11" s="40">
        <v>13</v>
      </c>
      <c r="N11" s="38">
        <v>1</v>
      </c>
      <c r="O11" s="38">
        <f t="shared" si="1"/>
        <v>24</v>
      </c>
      <c r="P11" s="18">
        <f t="shared" si="2"/>
        <v>22</v>
      </c>
      <c r="Q11" s="89">
        <v>0</v>
      </c>
      <c r="R11" s="18">
        <f t="shared" si="4"/>
        <v>22</v>
      </c>
      <c r="S11" s="18">
        <f t="shared" si="5"/>
        <v>2</v>
      </c>
      <c r="T11" s="18">
        <f t="shared" si="6"/>
        <v>0</v>
      </c>
    </row>
    <row r="12" spans="1:20" x14ac:dyDescent="0.25">
      <c r="A12" s="36">
        <v>11</v>
      </c>
      <c r="B12" s="36" t="s">
        <v>39</v>
      </c>
      <c r="C12" s="38">
        <f>VLOOKUP(B:B,Courts!B:C,2,FALSE())</f>
        <v>4</v>
      </c>
      <c r="D12" s="38">
        <f>VLOOKUP(B:B,Courts!B:E,4,FALSE())</f>
        <v>1</v>
      </c>
      <c r="E12" s="38">
        <f>VLOOKUP(B:B,Courts!B:D,3,FALSE())</f>
        <v>0</v>
      </c>
      <c r="F12" s="38"/>
      <c r="G12" s="38"/>
      <c r="H12" s="38"/>
      <c r="I12" s="38">
        <v>4</v>
      </c>
      <c r="J12" s="39"/>
      <c r="K12" s="39">
        <f t="shared" si="0"/>
        <v>4</v>
      </c>
      <c r="L12" s="38">
        <v>3</v>
      </c>
      <c r="M12" s="40">
        <v>2</v>
      </c>
      <c r="N12" s="38">
        <v>3</v>
      </c>
      <c r="O12" s="38">
        <f t="shared" si="1"/>
        <v>10</v>
      </c>
      <c r="P12" s="18">
        <f t="shared" si="2"/>
        <v>8</v>
      </c>
      <c r="Q12" s="89">
        <v>0</v>
      </c>
      <c r="R12" s="18">
        <f t="shared" si="4"/>
        <v>8</v>
      </c>
      <c r="S12" s="18">
        <f t="shared" si="5"/>
        <v>2</v>
      </c>
      <c r="T12" s="18">
        <f t="shared" si="6"/>
        <v>0</v>
      </c>
    </row>
    <row r="13" spans="1:20" x14ac:dyDescent="0.25">
      <c r="A13" s="36">
        <v>12</v>
      </c>
      <c r="B13" s="36" t="s">
        <v>40</v>
      </c>
      <c r="C13" s="38">
        <f>VLOOKUP(B:B,Courts!B:C,2,FALSE())</f>
        <v>2</v>
      </c>
      <c r="D13" s="38">
        <f>VLOOKUP(B:B,Courts!B:E,4,FALSE())</f>
        <v>1</v>
      </c>
      <c r="E13" s="38">
        <f>VLOOKUP(B:B,Courts!B:D,3,FALSE())</f>
        <v>0</v>
      </c>
      <c r="F13" s="38"/>
      <c r="G13" s="38"/>
      <c r="H13" s="38"/>
      <c r="I13" s="38">
        <v>2</v>
      </c>
      <c r="J13" s="39">
        <v>1</v>
      </c>
      <c r="K13" s="39">
        <f t="shared" si="0"/>
        <v>1</v>
      </c>
      <c r="L13" s="38">
        <v>3</v>
      </c>
      <c r="M13" s="40">
        <v>3</v>
      </c>
      <c r="N13" s="38">
        <v>0</v>
      </c>
      <c r="O13" s="38">
        <f t="shared" si="1"/>
        <v>4</v>
      </c>
      <c r="P13" s="18">
        <f t="shared" si="2"/>
        <v>4</v>
      </c>
      <c r="Q13" s="89">
        <v>0</v>
      </c>
      <c r="R13" s="18">
        <f t="shared" si="4"/>
        <v>4</v>
      </c>
      <c r="S13" s="18">
        <f t="shared" si="5"/>
        <v>0</v>
      </c>
      <c r="T13" s="18">
        <v>0</v>
      </c>
    </row>
    <row r="14" spans="1:20" x14ac:dyDescent="0.25">
      <c r="A14" s="36">
        <v>13</v>
      </c>
      <c r="B14" s="37" t="s">
        <v>41</v>
      </c>
      <c r="C14" s="38">
        <f>VLOOKUP(B:B,Courts!B:C,2,FALSE())</f>
        <v>12</v>
      </c>
      <c r="D14" s="38">
        <f>VLOOKUP(B:B,Courts!B:E,4,FALSE())</f>
        <v>0</v>
      </c>
      <c r="E14" s="38">
        <f>VLOOKUP(B:B,Courts!B:D,3,FALSE())</f>
        <v>0</v>
      </c>
      <c r="F14" s="38">
        <v>4</v>
      </c>
      <c r="G14" s="38"/>
      <c r="H14" s="38"/>
      <c r="I14" s="38">
        <v>18</v>
      </c>
      <c r="J14" s="39"/>
      <c r="K14" s="39">
        <f t="shared" si="0"/>
        <v>18</v>
      </c>
      <c r="L14" s="38">
        <v>7</v>
      </c>
      <c r="M14" s="40">
        <v>16</v>
      </c>
      <c r="N14" s="38">
        <v>1</v>
      </c>
      <c r="O14" s="38">
        <f t="shared" si="1"/>
        <v>26</v>
      </c>
      <c r="P14" s="18">
        <f t="shared" si="2"/>
        <v>24</v>
      </c>
      <c r="Q14" s="89">
        <v>0</v>
      </c>
      <c r="R14" s="18">
        <f t="shared" si="4"/>
        <v>24</v>
      </c>
      <c r="S14" s="18">
        <f t="shared" si="5"/>
        <v>2</v>
      </c>
      <c r="T14" s="18">
        <f t="shared" si="6"/>
        <v>0</v>
      </c>
    </row>
    <row r="15" spans="1:20" x14ac:dyDescent="0.25">
      <c r="A15" s="36">
        <v>14</v>
      </c>
      <c r="B15" s="36" t="s">
        <v>42</v>
      </c>
      <c r="C15" s="38">
        <f>VLOOKUP(B:B,Courts!B:C,2,FALSE())</f>
        <v>7</v>
      </c>
      <c r="D15" s="38">
        <f>VLOOKUP(B:B,Courts!B:E,4,FALSE())</f>
        <v>1</v>
      </c>
      <c r="E15" s="38">
        <f>VLOOKUP(B:B,Courts!B:D,3,FALSE())</f>
        <v>0</v>
      </c>
      <c r="F15" s="38">
        <v>2</v>
      </c>
      <c r="G15" s="38"/>
      <c r="H15" s="38"/>
      <c r="I15" s="38">
        <v>8</v>
      </c>
      <c r="J15" s="39"/>
      <c r="K15" s="39">
        <f t="shared" si="0"/>
        <v>8</v>
      </c>
      <c r="L15" s="38">
        <v>7</v>
      </c>
      <c r="M15" s="40">
        <v>3</v>
      </c>
      <c r="N15" s="38">
        <v>0</v>
      </c>
      <c r="O15" s="38">
        <f t="shared" si="1"/>
        <v>15</v>
      </c>
      <c r="P15" s="18">
        <f t="shared" si="2"/>
        <v>14</v>
      </c>
      <c r="Q15" s="89">
        <v>0</v>
      </c>
      <c r="R15" s="18">
        <f t="shared" si="4"/>
        <v>14</v>
      </c>
      <c r="S15" s="18">
        <f t="shared" si="5"/>
        <v>1</v>
      </c>
      <c r="T15" s="18">
        <f t="shared" si="6"/>
        <v>0</v>
      </c>
    </row>
    <row r="16" spans="1:20" x14ac:dyDescent="0.25">
      <c r="A16" s="36">
        <v>15</v>
      </c>
      <c r="B16" s="36" t="s">
        <v>43</v>
      </c>
      <c r="C16" s="38">
        <f>VLOOKUP(B:B,Courts!B:C,2,FALSE())</f>
        <v>4</v>
      </c>
      <c r="D16" s="38">
        <f>VLOOKUP(B:B,Courts!B:E,4,FALSE())</f>
        <v>1</v>
      </c>
      <c r="E16" s="38">
        <f>VLOOKUP(B:B,Courts!B:D,3,FALSE())</f>
        <v>0</v>
      </c>
      <c r="F16" s="38">
        <v>2</v>
      </c>
      <c r="G16" s="38"/>
      <c r="H16" s="38"/>
      <c r="I16" s="38">
        <v>4</v>
      </c>
      <c r="J16" s="39"/>
      <c r="K16" s="39">
        <f t="shared" si="0"/>
        <v>4</v>
      </c>
      <c r="L16" s="38">
        <v>1</v>
      </c>
      <c r="M16" s="40">
        <v>4</v>
      </c>
      <c r="N16" s="38">
        <v>3</v>
      </c>
      <c r="O16" s="38">
        <f t="shared" si="1"/>
        <v>8</v>
      </c>
      <c r="P16" s="18">
        <f t="shared" si="2"/>
        <v>8</v>
      </c>
      <c r="Q16" s="89">
        <v>0</v>
      </c>
      <c r="R16" s="18">
        <f t="shared" si="4"/>
        <v>8</v>
      </c>
      <c r="S16" s="18">
        <f t="shared" si="5"/>
        <v>0</v>
      </c>
      <c r="T16" s="18">
        <v>0</v>
      </c>
    </row>
    <row r="17" spans="1:20" x14ac:dyDescent="0.25">
      <c r="A17" s="36">
        <v>16</v>
      </c>
      <c r="B17" s="37" t="s">
        <v>44</v>
      </c>
      <c r="C17" s="38">
        <f>VLOOKUP(B:B,Courts!B:C,2,FALSE())</f>
        <v>16</v>
      </c>
      <c r="D17" s="38">
        <f>VLOOKUP(B:B,Courts!B:E,4,FALSE())</f>
        <v>0</v>
      </c>
      <c r="E17" s="38">
        <f>VLOOKUP(B:B,Courts!B:D,3,FALSE())</f>
        <v>0</v>
      </c>
      <c r="F17" s="38">
        <v>9</v>
      </c>
      <c r="G17" s="38"/>
      <c r="H17" s="38"/>
      <c r="I17" s="38">
        <v>32</v>
      </c>
      <c r="J17" s="39">
        <v>5</v>
      </c>
      <c r="K17" s="39">
        <f t="shared" si="0"/>
        <v>27</v>
      </c>
      <c r="L17" s="38">
        <v>6</v>
      </c>
      <c r="M17" s="40">
        <v>20</v>
      </c>
      <c r="N17" s="38">
        <v>1</v>
      </c>
      <c r="O17" s="38">
        <f t="shared" si="1"/>
        <v>34</v>
      </c>
      <c r="P17" s="18">
        <f t="shared" si="2"/>
        <v>32</v>
      </c>
      <c r="Q17" s="89">
        <v>0</v>
      </c>
      <c r="R17" s="18">
        <f t="shared" si="4"/>
        <v>32</v>
      </c>
      <c r="S17" s="18">
        <f t="shared" si="5"/>
        <v>2</v>
      </c>
      <c r="T17" s="18">
        <f t="shared" si="6"/>
        <v>0</v>
      </c>
    </row>
    <row r="18" spans="1:20" x14ac:dyDescent="0.25">
      <c r="A18" s="36">
        <v>17</v>
      </c>
      <c r="B18" s="36" t="s">
        <v>45</v>
      </c>
      <c r="C18" s="38">
        <f>VLOOKUP(B:B,Courts!B:C,2,FALSE())</f>
        <v>3</v>
      </c>
      <c r="D18" s="38">
        <f>VLOOKUP(B:B,Courts!B:E,4,FALSE())</f>
        <v>1</v>
      </c>
      <c r="E18" s="38">
        <f>VLOOKUP(B:B,Courts!B:D,3,FALSE())</f>
        <v>0</v>
      </c>
      <c r="F18" s="38">
        <v>3</v>
      </c>
      <c r="G18" s="38"/>
      <c r="H18" s="38"/>
      <c r="I18" s="38">
        <v>4</v>
      </c>
      <c r="J18" s="39">
        <v>2</v>
      </c>
      <c r="K18" s="39">
        <f t="shared" si="0"/>
        <v>2</v>
      </c>
      <c r="L18" s="38">
        <v>1</v>
      </c>
      <c r="M18" s="40">
        <v>4</v>
      </c>
      <c r="N18" s="38">
        <v>3</v>
      </c>
      <c r="O18" s="38">
        <f t="shared" si="1"/>
        <v>6</v>
      </c>
      <c r="P18" s="18">
        <f t="shared" si="2"/>
        <v>6</v>
      </c>
      <c r="Q18" s="89">
        <v>0</v>
      </c>
      <c r="R18" s="18">
        <f t="shared" si="4"/>
        <v>6</v>
      </c>
      <c r="S18" s="18">
        <f t="shared" si="5"/>
        <v>0</v>
      </c>
      <c r="T18" s="18">
        <v>0</v>
      </c>
    </row>
    <row r="19" spans="1:20" x14ac:dyDescent="0.25">
      <c r="A19" s="36">
        <v>18</v>
      </c>
      <c r="B19" s="36" t="s">
        <v>46</v>
      </c>
      <c r="C19" s="38">
        <f>VLOOKUP(B:B,Courts!B:C,2,FALSE())</f>
        <v>3</v>
      </c>
      <c r="D19" s="38">
        <f>VLOOKUP(B:B,Courts!B:E,4,FALSE())</f>
        <v>1</v>
      </c>
      <c r="E19" s="38">
        <f>VLOOKUP(B:B,Courts!B:D,3,FALSE())</f>
        <v>0</v>
      </c>
      <c r="F19" s="38">
        <v>2</v>
      </c>
      <c r="G19" s="38"/>
      <c r="H19" s="38"/>
      <c r="I19" s="38">
        <v>6</v>
      </c>
      <c r="J19" s="39">
        <v>1</v>
      </c>
      <c r="K19" s="39">
        <f t="shared" si="0"/>
        <v>5</v>
      </c>
      <c r="L19" s="38">
        <v>1</v>
      </c>
      <c r="M19" s="40">
        <v>2</v>
      </c>
      <c r="N19" s="38">
        <v>2</v>
      </c>
      <c r="O19" s="38">
        <f t="shared" si="1"/>
        <v>8</v>
      </c>
      <c r="P19" s="18">
        <f t="shared" si="2"/>
        <v>6</v>
      </c>
      <c r="Q19" s="89">
        <v>0</v>
      </c>
      <c r="R19" s="18">
        <f t="shared" si="4"/>
        <v>6</v>
      </c>
      <c r="S19" s="18">
        <f t="shared" si="5"/>
        <v>2</v>
      </c>
      <c r="T19" s="18">
        <f t="shared" si="6"/>
        <v>0</v>
      </c>
    </row>
    <row r="20" spans="1:20" x14ac:dyDescent="0.25">
      <c r="A20" s="36">
        <v>19</v>
      </c>
      <c r="B20" s="37" t="s">
        <v>47</v>
      </c>
      <c r="C20" s="38">
        <f>VLOOKUP(B:B,Courts!B:C,2,FALSE())</f>
        <v>18</v>
      </c>
      <c r="D20" s="38">
        <f>VLOOKUP(B:B,Courts!B:E,4,FALSE())</f>
        <v>0</v>
      </c>
      <c r="E20" s="38">
        <f>VLOOKUP(B:B,Courts!B:D,3,FALSE())</f>
        <v>0</v>
      </c>
      <c r="F20" s="38">
        <v>18</v>
      </c>
      <c r="G20" s="38"/>
      <c r="H20" s="38"/>
      <c r="I20" s="38">
        <v>34</v>
      </c>
      <c r="J20" s="39"/>
      <c r="K20" s="39">
        <f t="shared" si="0"/>
        <v>34</v>
      </c>
      <c r="L20" s="38">
        <v>7</v>
      </c>
      <c r="M20" s="40">
        <v>18</v>
      </c>
      <c r="N20" s="38">
        <v>0</v>
      </c>
      <c r="O20" s="38">
        <f t="shared" si="1"/>
        <v>41</v>
      </c>
      <c r="P20" s="18">
        <f t="shared" si="2"/>
        <v>36</v>
      </c>
      <c r="Q20" s="89">
        <v>0</v>
      </c>
      <c r="R20" s="18">
        <f t="shared" si="4"/>
        <v>36</v>
      </c>
      <c r="S20" s="18">
        <f t="shared" si="5"/>
        <v>5</v>
      </c>
      <c r="T20" s="18">
        <f t="shared" si="6"/>
        <v>0</v>
      </c>
    </row>
    <row r="21" spans="1:20" x14ac:dyDescent="0.25">
      <c r="A21" s="36">
        <v>20</v>
      </c>
      <c r="B21" s="36" t="s">
        <v>48</v>
      </c>
      <c r="C21" s="38">
        <f>VLOOKUP(B:B,Courts!B:C,2,FALSE())</f>
        <v>9</v>
      </c>
      <c r="D21" s="38">
        <f>VLOOKUP(B:B,Courts!B:E,4,FALSE())</f>
        <v>1</v>
      </c>
      <c r="E21" s="38">
        <f>VLOOKUP(B:B,Courts!B:D,3,FALSE())</f>
        <v>0</v>
      </c>
      <c r="F21" s="38">
        <v>7</v>
      </c>
      <c r="G21" s="38"/>
      <c r="H21" s="38"/>
      <c r="I21" s="38">
        <v>14</v>
      </c>
      <c r="J21" s="39"/>
      <c r="K21" s="39">
        <f t="shared" si="0"/>
        <v>14</v>
      </c>
      <c r="L21" s="38">
        <v>5</v>
      </c>
      <c r="M21" s="40">
        <v>5</v>
      </c>
      <c r="N21" s="38">
        <v>0</v>
      </c>
      <c r="O21" s="38">
        <f t="shared" si="1"/>
        <v>19</v>
      </c>
      <c r="P21" s="18">
        <f t="shared" si="2"/>
        <v>18</v>
      </c>
      <c r="Q21" s="89">
        <v>0</v>
      </c>
      <c r="R21" s="18">
        <f t="shared" si="4"/>
        <v>18</v>
      </c>
      <c r="S21" s="18">
        <f t="shared" si="5"/>
        <v>1</v>
      </c>
      <c r="T21" s="18">
        <f t="shared" si="6"/>
        <v>0</v>
      </c>
    </row>
    <row r="22" spans="1:20" x14ac:dyDescent="0.25">
      <c r="A22" s="36">
        <v>21</v>
      </c>
      <c r="B22" s="37" t="s">
        <v>49</v>
      </c>
      <c r="C22" s="38">
        <f>VLOOKUP(B:B,Courts!B:C,2,FALSE())</f>
        <v>19</v>
      </c>
      <c r="D22" s="38">
        <f>VLOOKUP(B:B,Courts!B:E,4,FALSE())</f>
        <v>0</v>
      </c>
      <c r="E22" s="38">
        <f>VLOOKUP(B:B,Courts!B:D,3,FALSE())</f>
        <v>0</v>
      </c>
      <c r="F22" s="38">
        <v>11</v>
      </c>
      <c r="G22" s="38"/>
      <c r="H22" s="38"/>
      <c r="I22" s="38">
        <v>36</v>
      </c>
      <c r="J22" s="39">
        <v>2</v>
      </c>
      <c r="K22" s="39">
        <f t="shared" si="0"/>
        <v>34</v>
      </c>
      <c r="L22" s="38">
        <v>7</v>
      </c>
      <c r="M22" s="40">
        <v>16</v>
      </c>
      <c r="N22" s="38">
        <v>1</v>
      </c>
      <c r="O22" s="38">
        <f t="shared" si="1"/>
        <v>42</v>
      </c>
      <c r="P22" s="18">
        <f t="shared" si="2"/>
        <v>38</v>
      </c>
      <c r="Q22" s="89">
        <v>0</v>
      </c>
      <c r="R22" s="18">
        <f t="shared" si="4"/>
        <v>38</v>
      </c>
      <c r="S22" s="18">
        <f t="shared" si="5"/>
        <v>4</v>
      </c>
      <c r="T22" s="18">
        <f t="shared" si="6"/>
        <v>0</v>
      </c>
    </row>
    <row r="23" spans="1:20" x14ac:dyDescent="0.25">
      <c r="A23" s="36">
        <v>22</v>
      </c>
      <c r="B23" s="36" t="s">
        <v>50</v>
      </c>
      <c r="C23" s="38">
        <f>VLOOKUP(B:B,Courts!B:C,2,FALSE())</f>
        <v>4</v>
      </c>
      <c r="D23" s="38">
        <f>VLOOKUP(B:B,Courts!B:E,4,FALSE())</f>
        <v>1</v>
      </c>
      <c r="E23" s="38">
        <f>VLOOKUP(B:B,Courts!B:D,3,FALSE())</f>
        <v>0</v>
      </c>
      <c r="F23" s="38">
        <v>2</v>
      </c>
      <c r="G23" s="38"/>
      <c r="H23" s="38"/>
      <c r="I23" s="38">
        <v>10</v>
      </c>
      <c r="J23" s="39">
        <v>3</v>
      </c>
      <c r="K23" s="39">
        <f t="shared" si="0"/>
        <v>7</v>
      </c>
      <c r="L23" s="38">
        <v>3</v>
      </c>
      <c r="M23" s="40">
        <v>2</v>
      </c>
      <c r="N23" s="38">
        <v>0</v>
      </c>
      <c r="O23" s="38">
        <f t="shared" si="1"/>
        <v>10</v>
      </c>
      <c r="P23" s="18">
        <f t="shared" si="2"/>
        <v>8</v>
      </c>
      <c r="Q23" s="89">
        <v>0</v>
      </c>
      <c r="R23" s="18">
        <f t="shared" si="4"/>
        <v>8</v>
      </c>
      <c r="S23" s="18">
        <f t="shared" si="5"/>
        <v>2</v>
      </c>
      <c r="T23" s="18">
        <f t="shared" si="6"/>
        <v>0</v>
      </c>
    </row>
    <row r="24" spans="1:20" x14ac:dyDescent="0.25">
      <c r="A24" s="36">
        <v>23</v>
      </c>
      <c r="B24" s="36" t="s">
        <v>51</v>
      </c>
      <c r="C24" s="38">
        <f>VLOOKUP(B:B,Courts!B:C,2,FALSE())</f>
        <v>3</v>
      </c>
      <c r="D24" s="38">
        <f>VLOOKUP(B:B,Courts!B:E,4,FALSE())</f>
        <v>1</v>
      </c>
      <c r="E24" s="38">
        <f>VLOOKUP(B:B,Courts!B:D,3,FALSE())</f>
        <v>0</v>
      </c>
      <c r="F24" s="38">
        <v>1</v>
      </c>
      <c r="G24" s="38"/>
      <c r="H24" s="38"/>
      <c r="I24" s="38">
        <v>4</v>
      </c>
      <c r="J24" s="39"/>
      <c r="K24" s="39">
        <f t="shared" si="0"/>
        <v>4</v>
      </c>
      <c r="L24" s="38">
        <v>3</v>
      </c>
      <c r="M24" s="40">
        <v>2</v>
      </c>
      <c r="N24" s="38">
        <v>1</v>
      </c>
      <c r="O24" s="38">
        <f t="shared" si="1"/>
        <v>8</v>
      </c>
      <c r="P24" s="18">
        <f t="shared" si="2"/>
        <v>6</v>
      </c>
      <c r="Q24" s="89">
        <v>0</v>
      </c>
      <c r="R24" s="18">
        <f t="shared" si="4"/>
        <v>6</v>
      </c>
      <c r="S24" s="18">
        <f t="shared" si="5"/>
        <v>2</v>
      </c>
      <c r="T24" s="18">
        <f t="shared" si="6"/>
        <v>0</v>
      </c>
    </row>
    <row r="25" spans="1:20" x14ac:dyDescent="0.25">
      <c r="A25" s="36">
        <v>24</v>
      </c>
      <c r="B25" s="36" t="s">
        <v>52</v>
      </c>
      <c r="C25" s="38">
        <f>VLOOKUP(B:B,Courts!B:C,2,FALSE())</f>
        <v>3</v>
      </c>
      <c r="D25" s="38">
        <f>VLOOKUP(B:B,Courts!B:E,4,FALSE())</f>
        <v>1</v>
      </c>
      <c r="E25" s="38">
        <f>VLOOKUP(B:B,Courts!B:D,3,FALSE())</f>
        <v>0</v>
      </c>
      <c r="F25" s="38">
        <v>2</v>
      </c>
      <c r="G25" s="38"/>
      <c r="H25" s="38"/>
      <c r="I25" s="38">
        <v>6</v>
      </c>
      <c r="J25" s="39"/>
      <c r="K25" s="39">
        <f t="shared" si="0"/>
        <v>6</v>
      </c>
      <c r="L25" s="38">
        <v>3</v>
      </c>
      <c r="M25" s="40">
        <v>0</v>
      </c>
      <c r="N25" s="38">
        <v>0</v>
      </c>
      <c r="O25" s="38">
        <f t="shared" si="1"/>
        <v>9</v>
      </c>
      <c r="P25" s="18">
        <f t="shared" si="2"/>
        <v>6</v>
      </c>
      <c r="Q25" s="89">
        <v>0</v>
      </c>
      <c r="R25" s="18">
        <f t="shared" si="4"/>
        <v>6</v>
      </c>
      <c r="S25" s="18">
        <f t="shared" si="5"/>
        <v>3</v>
      </c>
      <c r="T25" s="18">
        <f t="shared" si="6"/>
        <v>0</v>
      </c>
    </row>
    <row r="26" spans="1:20" x14ac:dyDescent="0.25">
      <c r="A26" s="36">
        <v>25</v>
      </c>
      <c r="B26" s="37" t="s">
        <v>53</v>
      </c>
      <c r="C26" s="38">
        <f>VLOOKUP(B:B,Courts!B:C,2,FALSE())</f>
        <v>45</v>
      </c>
      <c r="D26" s="38">
        <f>VLOOKUP(B:B,Courts!B:E,4,FALSE())</f>
        <v>0</v>
      </c>
      <c r="E26" s="38">
        <f>VLOOKUP(B:B,Courts!B:D,3,FALSE())</f>
        <v>0</v>
      </c>
      <c r="F26" s="38">
        <v>50</v>
      </c>
      <c r="G26" s="38"/>
      <c r="H26" s="38"/>
      <c r="I26" s="38">
        <v>66</v>
      </c>
      <c r="J26" s="39">
        <v>5</v>
      </c>
      <c r="K26" s="39">
        <f t="shared" si="0"/>
        <v>61</v>
      </c>
      <c r="L26" s="38">
        <v>31</v>
      </c>
      <c r="M26" s="40">
        <v>30</v>
      </c>
      <c r="N26" s="38">
        <v>0</v>
      </c>
      <c r="O26" s="38">
        <f t="shared" si="1"/>
        <v>92</v>
      </c>
      <c r="P26" s="18">
        <f t="shared" si="2"/>
        <v>90</v>
      </c>
      <c r="Q26" s="89">
        <v>0</v>
      </c>
      <c r="R26" s="18">
        <f t="shared" si="4"/>
        <v>90</v>
      </c>
      <c r="S26" s="18">
        <f t="shared" si="5"/>
        <v>2</v>
      </c>
      <c r="T26" s="18">
        <f t="shared" si="6"/>
        <v>0</v>
      </c>
    </row>
    <row r="27" spans="1:20" x14ac:dyDescent="0.25">
      <c r="A27" s="36">
        <v>26</v>
      </c>
      <c r="B27" s="36" t="s">
        <v>54</v>
      </c>
      <c r="C27" s="38">
        <f>VLOOKUP(B:B,Courts!B:C,2,FALSE())</f>
        <v>3</v>
      </c>
      <c r="D27" s="38">
        <f>VLOOKUP(B:B,Courts!B:E,4,FALSE())</f>
        <v>1</v>
      </c>
      <c r="E27" s="38">
        <f>VLOOKUP(B:B,Courts!B:D,3,FALSE())</f>
        <v>0</v>
      </c>
      <c r="F27" s="38">
        <v>2</v>
      </c>
      <c r="G27" s="38"/>
      <c r="H27" s="38"/>
      <c r="I27" s="38">
        <v>8</v>
      </c>
      <c r="J27" s="39"/>
      <c r="K27" s="39">
        <f t="shared" si="0"/>
        <v>8</v>
      </c>
      <c r="L27" s="38">
        <v>3</v>
      </c>
      <c r="M27" s="40">
        <v>0</v>
      </c>
      <c r="N27" s="38">
        <v>0</v>
      </c>
      <c r="O27" s="38">
        <f t="shared" si="1"/>
        <v>11</v>
      </c>
      <c r="P27" s="18">
        <f t="shared" si="2"/>
        <v>6</v>
      </c>
      <c r="Q27" s="89">
        <v>0</v>
      </c>
      <c r="R27" s="18">
        <f t="shared" si="4"/>
        <v>6</v>
      </c>
      <c r="S27" s="18">
        <f t="shared" si="5"/>
        <v>5</v>
      </c>
      <c r="T27" s="18">
        <f t="shared" si="6"/>
        <v>0</v>
      </c>
    </row>
    <row r="28" spans="1:20" x14ac:dyDescent="0.25">
      <c r="A28" s="36">
        <v>27</v>
      </c>
      <c r="B28" s="36" t="s">
        <v>55</v>
      </c>
      <c r="C28" s="38">
        <f>VLOOKUP(B:B,Courts!B:C,2,FALSE())</f>
        <v>5</v>
      </c>
      <c r="D28" s="38">
        <f>VLOOKUP(B:B,Courts!B:E,4,FALSE())</f>
        <v>1</v>
      </c>
      <c r="E28" s="38">
        <f>VLOOKUP(B:B,Courts!B:D,3,FALSE())</f>
        <v>0</v>
      </c>
      <c r="F28" s="38">
        <v>3</v>
      </c>
      <c r="G28" s="38"/>
      <c r="H28" s="38"/>
      <c r="I28" s="38">
        <v>8</v>
      </c>
      <c r="J28" s="39">
        <v>2</v>
      </c>
      <c r="K28" s="39">
        <f t="shared" si="0"/>
        <v>6</v>
      </c>
      <c r="L28" s="38">
        <v>4</v>
      </c>
      <c r="M28" s="40">
        <v>2</v>
      </c>
      <c r="N28" s="38">
        <v>2</v>
      </c>
      <c r="O28" s="38">
        <f t="shared" si="1"/>
        <v>12</v>
      </c>
      <c r="P28" s="18">
        <f t="shared" si="2"/>
        <v>10</v>
      </c>
      <c r="Q28" s="89">
        <v>0</v>
      </c>
      <c r="R28" s="18">
        <f t="shared" si="4"/>
        <v>10</v>
      </c>
      <c r="S28" s="18">
        <f t="shared" si="5"/>
        <v>2</v>
      </c>
      <c r="T28" s="18">
        <f t="shared" si="6"/>
        <v>0</v>
      </c>
    </row>
    <row r="29" spans="1:20" x14ac:dyDescent="0.25">
      <c r="A29" s="36">
        <v>28</v>
      </c>
      <c r="B29" s="37" t="s">
        <v>56</v>
      </c>
      <c r="C29" s="38">
        <f>VLOOKUP(B:B,Courts!B:C,2,FALSE())</f>
        <v>10</v>
      </c>
      <c r="D29" s="38">
        <f>VLOOKUP(B:B,Courts!B:E,4,FALSE())</f>
        <v>0</v>
      </c>
      <c r="E29" s="38">
        <f>VLOOKUP(B:B,Courts!B:D,3,FALSE())</f>
        <v>0</v>
      </c>
      <c r="F29" s="41">
        <v>13</v>
      </c>
      <c r="G29" s="41"/>
      <c r="H29" s="41">
        <v>5</v>
      </c>
      <c r="I29" s="38">
        <v>24</v>
      </c>
      <c r="J29" s="39"/>
      <c r="K29" s="39">
        <f t="shared" si="0"/>
        <v>24</v>
      </c>
      <c r="L29" s="38">
        <v>6</v>
      </c>
      <c r="M29" s="40">
        <v>5</v>
      </c>
      <c r="N29" s="38">
        <v>0</v>
      </c>
      <c r="O29" s="38">
        <f t="shared" si="1"/>
        <v>30</v>
      </c>
      <c r="P29" s="18">
        <f t="shared" si="2"/>
        <v>20</v>
      </c>
      <c r="Q29" s="89">
        <v>0</v>
      </c>
      <c r="R29" s="18">
        <f t="shared" si="4"/>
        <v>20</v>
      </c>
      <c r="S29" s="18">
        <f t="shared" si="5"/>
        <v>10</v>
      </c>
      <c r="T29" s="18">
        <f t="shared" si="6"/>
        <v>0</v>
      </c>
    </row>
    <row r="30" spans="1:20" x14ac:dyDescent="0.25">
      <c r="A30" s="36">
        <v>29</v>
      </c>
      <c r="B30" s="36" t="s">
        <v>57</v>
      </c>
      <c r="C30" s="38">
        <f>VLOOKUP(B:B,Courts!B:C,2,FALSE())</f>
        <v>4</v>
      </c>
      <c r="D30" s="38">
        <f>VLOOKUP(B:B,Courts!B:E,4,FALSE())</f>
        <v>1</v>
      </c>
      <c r="E30" s="38">
        <f>VLOOKUP(B:B,Courts!B:D,3,FALSE())</f>
        <v>0</v>
      </c>
      <c r="F30" s="41">
        <v>3</v>
      </c>
      <c r="G30" s="41"/>
      <c r="H30" s="41"/>
      <c r="I30" s="38">
        <v>8</v>
      </c>
      <c r="J30" s="39"/>
      <c r="K30" s="39">
        <f t="shared" si="0"/>
        <v>8</v>
      </c>
      <c r="L30" s="38">
        <v>2</v>
      </c>
      <c r="M30" s="40">
        <v>2</v>
      </c>
      <c r="N30" s="38">
        <v>0</v>
      </c>
      <c r="O30" s="38">
        <f t="shared" si="1"/>
        <v>10</v>
      </c>
      <c r="P30" s="18">
        <f t="shared" si="2"/>
        <v>8</v>
      </c>
      <c r="Q30" s="89">
        <v>0</v>
      </c>
      <c r="R30" s="18">
        <f t="shared" si="4"/>
        <v>8</v>
      </c>
      <c r="S30" s="18">
        <f t="shared" si="5"/>
        <v>2</v>
      </c>
      <c r="T30" s="18">
        <f t="shared" si="6"/>
        <v>0</v>
      </c>
    </row>
    <row r="31" spans="1:20" x14ac:dyDescent="0.25">
      <c r="A31" s="36">
        <v>30</v>
      </c>
      <c r="B31" s="36" t="s">
        <v>58</v>
      </c>
      <c r="C31" s="38">
        <f>VLOOKUP(B:B,Courts!B:C,2,FALSE())</f>
        <v>3</v>
      </c>
      <c r="D31" s="38">
        <f>VLOOKUP(B:B,Courts!B:E,4,FALSE())</f>
        <v>1</v>
      </c>
      <c r="E31" s="38">
        <f>VLOOKUP(B:B,Courts!B:D,3,FALSE())</f>
        <v>0</v>
      </c>
      <c r="F31" s="41">
        <v>1</v>
      </c>
      <c r="G31" s="41"/>
      <c r="H31" s="41"/>
      <c r="I31" s="38">
        <v>4</v>
      </c>
      <c r="J31" s="39"/>
      <c r="K31" s="39">
        <f t="shared" si="0"/>
        <v>4</v>
      </c>
      <c r="L31" s="38">
        <v>1</v>
      </c>
      <c r="M31" s="40">
        <v>4</v>
      </c>
      <c r="N31" s="38">
        <v>1</v>
      </c>
      <c r="O31" s="38">
        <f t="shared" si="1"/>
        <v>6</v>
      </c>
      <c r="P31" s="18">
        <f t="shared" si="2"/>
        <v>6</v>
      </c>
      <c r="Q31" s="89">
        <v>0</v>
      </c>
      <c r="R31" s="18">
        <f t="shared" si="4"/>
        <v>6</v>
      </c>
      <c r="S31" s="18">
        <f t="shared" si="5"/>
        <v>0</v>
      </c>
      <c r="T31" s="18">
        <v>0</v>
      </c>
    </row>
    <row r="32" spans="1:20" x14ac:dyDescent="0.25">
      <c r="A32" s="36">
        <v>31</v>
      </c>
      <c r="B32" s="36" t="s">
        <v>59</v>
      </c>
      <c r="C32" s="38">
        <f>VLOOKUP(B:B,Courts!B:C,2,FALSE())</f>
        <v>1</v>
      </c>
      <c r="D32" s="38">
        <f>VLOOKUP(B:B,Courts!B:E,4,FALSE())</f>
        <v>1</v>
      </c>
      <c r="E32" s="38">
        <f>VLOOKUP(B:B,Courts!B:D,3,FALSE())</f>
        <v>0</v>
      </c>
      <c r="F32" s="41"/>
      <c r="G32" s="41"/>
      <c r="H32" s="41"/>
      <c r="I32" s="38">
        <v>0</v>
      </c>
      <c r="J32" s="39"/>
      <c r="K32" s="39">
        <f t="shared" si="0"/>
        <v>0</v>
      </c>
      <c r="L32" s="38">
        <v>2</v>
      </c>
      <c r="M32" s="40">
        <v>4</v>
      </c>
      <c r="N32" s="38">
        <v>2</v>
      </c>
      <c r="O32" s="38">
        <f t="shared" si="1"/>
        <v>4</v>
      </c>
      <c r="P32" s="18">
        <f t="shared" si="2"/>
        <v>2</v>
      </c>
      <c r="Q32" s="89">
        <v>0</v>
      </c>
      <c r="R32" s="18">
        <f t="shared" si="4"/>
        <v>2</v>
      </c>
      <c r="S32" s="18">
        <f t="shared" si="5"/>
        <v>2</v>
      </c>
      <c r="T32" s="18">
        <v>0</v>
      </c>
    </row>
    <row r="33" spans="1:20" x14ac:dyDescent="0.25">
      <c r="A33" s="36">
        <v>32</v>
      </c>
      <c r="B33" s="37" t="s">
        <v>60</v>
      </c>
      <c r="C33" s="38">
        <f>VLOOKUP(B:B,Courts!B:C,2,FALSE())</f>
        <v>73</v>
      </c>
      <c r="D33" s="38">
        <f>VLOOKUP(B:B,Courts!B:E,4,FALSE())</f>
        <v>0</v>
      </c>
      <c r="E33" s="38">
        <f>VLOOKUP(B:B,Courts!B:D,3,FALSE())</f>
        <v>0</v>
      </c>
      <c r="F33" s="38">
        <v>55</v>
      </c>
      <c r="G33" s="38"/>
      <c r="H33" s="38"/>
      <c r="I33" s="38">
        <v>112</v>
      </c>
      <c r="J33" s="39">
        <v>6</v>
      </c>
      <c r="K33" s="39">
        <f t="shared" si="0"/>
        <v>106</v>
      </c>
      <c r="L33" s="38">
        <v>30</v>
      </c>
      <c r="M33" s="40">
        <v>46</v>
      </c>
      <c r="N33" s="38">
        <v>14</v>
      </c>
      <c r="O33" s="38">
        <f t="shared" si="1"/>
        <v>150</v>
      </c>
      <c r="P33" s="18">
        <f t="shared" si="2"/>
        <v>146</v>
      </c>
      <c r="Q33" s="89">
        <v>0</v>
      </c>
      <c r="R33" s="18">
        <f t="shared" si="4"/>
        <v>146</v>
      </c>
      <c r="S33" s="18">
        <f t="shared" si="5"/>
        <v>4</v>
      </c>
      <c r="T33" s="18">
        <f t="shared" si="6"/>
        <v>0</v>
      </c>
    </row>
    <row r="34" spans="1:20" x14ac:dyDescent="0.25">
      <c r="A34" s="36">
        <v>33</v>
      </c>
      <c r="B34" s="36" t="s">
        <v>61</v>
      </c>
      <c r="C34" s="38">
        <f>VLOOKUP(B:B,Courts!B:C,2,FALSE())</f>
        <v>3</v>
      </c>
      <c r="D34" s="38">
        <f>VLOOKUP(B:B,Courts!B:E,4,FALSE())</f>
        <v>1</v>
      </c>
      <c r="E34" s="38">
        <f>VLOOKUP(B:B,Courts!B:D,3,FALSE())</f>
        <v>0</v>
      </c>
      <c r="F34" s="38"/>
      <c r="G34" s="38"/>
      <c r="H34" s="38"/>
      <c r="I34" s="38">
        <v>4</v>
      </c>
      <c r="J34" s="39">
        <v>1</v>
      </c>
      <c r="K34" s="39">
        <f t="shared" ref="K34:K65" si="7">I34-J34</f>
        <v>3</v>
      </c>
      <c r="L34" s="38">
        <v>5</v>
      </c>
      <c r="M34" s="40">
        <v>2</v>
      </c>
      <c r="N34" s="38">
        <v>0</v>
      </c>
      <c r="O34" s="38">
        <f t="shared" ref="O34:O65" si="8">K34+L34+N34</f>
        <v>8</v>
      </c>
      <c r="P34" s="18">
        <f t="shared" ref="P34:P65" si="9">SUM(C34+E34)*2</f>
        <v>6</v>
      </c>
      <c r="Q34" s="89">
        <v>0</v>
      </c>
      <c r="R34" s="18">
        <f t="shared" ref="R34:R65" si="10">SUM(P34:Q34)</f>
        <v>6</v>
      </c>
      <c r="S34" s="18">
        <f t="shared" ref="S34:S65" si="11">O34-R34</f>
        <v>2</v>
      </c>
      <c r="T34" s="18">
        <f t="shared" ref="T34:T65" si="12">IF(S34&lt;0, -S34, 0)</f>
        <v>0</v>
      </c>
    </row>
    <row r="35" spans="1:20" x14ac:dyDescent="0.25">
      <c r="A35" s="36">
        <v>34</v>
      </c>
      <c r="B35" s="36" t="s">
        <v>62</v>
      </c>
      <c r="C35" s="38">
        <f>VLOOKUP(B:B,Courts!B:C,2,FALSE())</f>
        <v>4</v>
      </c>
      <c r="D35" s="38">
        <f>VLOOKUP(B:B,Courts!B:E,4,FALSE())</f>
        <v>1</v>
      </c>
      <c r="E35" s="38">
        <f>VLOOKUP(B:B,Courts!B:D,3,FALSE())</f>
        <v>0</v>
      </c>
      <c r="F35" s="38"/>
      <c r="G35" s="38"/>
      <c r="H35" s="38"/>
      <c r="I35" s="38">
        <v>6</v>
      </c>
      <c r="J35" s="39">
        <v>3</v>
      </c>
      <c r="K35" s="39">
        <f t="shared" si="7"/>
        <v>3</v>
      </c>
      <c r="L35" s="38">
        <v>6</v>
      </c>
      <c r="M35" s="40">
        <v>3</v>
      </c>
      <c r="N35" s="38">
        <v>0</v>
      </c>
      <c r="O35" s="38">
        <f t="shared" si="8"/>
        <v>9</v>
      </c>
      <c r="P35" s="18">
        <f t="shared" si="9"/>
        <v>8</v>
      </c>
      <c r="Q35" s="89">
        <v>0</v>
      </c>
      <c r="R35" s="18">
        <f t="shared" si="10"/>
        <v>8</v>
      </c>
      <c r="S35" s="18">
        <f t="shared" si="11"/>
        <v>1</v>
      </c>
      <c r="T35" s="18">
        <f t="shared" si="12"/>
        <v>0</v>
      </c>
    </row>
    <row r="36" spans="1:20" x14ac:dyDescent="0.25">
      <c r="A36" s="36">
        <v>35</v>
      </c>
      <c r="B36" s="36" t="s">
        <v>63</v>
      </c>
      <c r="C36" s="38">
        <f>VLOOKUP(B:B,Courts!B:C,2,FALSE())</f>
        <v>6</v>
      </c>
      <c r="D36" s="38">
        <f>VLOOKUP(B:B,Courts!B:E,4,FALSE())</f>
        <v>1</v>
      </c>
      <c r="E36" s="38">
        <f>VLOOKUP(B:B,Courts!B:D,3,FALSE())</f>
        <v>0</v>
      </c>
      <c r="F36" s="38"/>
      <c r="G36" s="38"/>
      <c r="H36" s="38"/>
      <c r="I36" s="38">
        <v>10</v>
      </c>
      <c r="J36" s="39"/>
      <c r="K36" s="39">
        <f t="shared" si="7"/>
        <v>10</v>
      </c>
      <c r="L36" s="38">
        <v>4</v>
      </c>
      <c r="M36" s="40">
        <v>2</v>
      </c>
      <c r="N36" s="38">
        <v>0</v>
      </c>
      <c r="O36" s="38">
        <f t="shared" si="8"/>
        <v>14</v>
      </c>
      <c r="P36" s="18">
        <f t="shared" si="9"/>
        <v>12</v>
      </c>
      <c r="Q36" s="89">
        <v>0</v>
      </c>
      <c r="R36" s="18">
        <f t="shared" si="10"/>
        <v>12</v>
      </c>
      <c r="S36" s="18">
        <f t="shared" si="11"/>
        <v>2</v>
      </c>
      <c r="T36" s="18">
        <f t="shared" si="12"/>
        <v>0</v>
      </c>
    </row>
    <row r="37" spans="1:20" x14ac:dyDescent="0.25">
      <c r="A37" s="36">
        <v>36</v>
      </c>
      <c r="B37" s="36" t="s">
        <v>64</v>
      </c>
      <c r="C37" s="38">
        <f>VLOOKUP(B:B,Courts!B:C,2,FALSE())</f>
        <v>3</v>
      </c>
      <c r="D37" s="38">
        <f>VLOOKUP(B:B,Courts!B:E,4,FALSE())</f>
        <v>1</v>
      </c>
      <c r="E37" s="38">
        <f>VLOOKUP(B:B,Courts!B:D,3,FALSE())</f>
        <v>0</v>
      </c>
      <c r="F37" s="38"/>
      <c r="G37" s="38"/>
      <c r="H37" s="38"/>
      <c r="I37" s="38">
        <v>6</v>
      </c>
      <c r="J37" s="39"/>
      <c r="K37" s="39">
        <f t="shared" si="7"/>
        <v>6</v>
      </c>
      <c r="L37" s="38">
        <v>3</v>
      </c>
      <c r="M37" s="40">
        <v>1</v>
      </c>
      <c r="N37" s="38">
        <v>0</v>
      </c>
      <c r="O37" s="38">
        <f t="shared" si="8"/>
        <v>9</v>
      </c>
      <c r="P37" s="18">
        <f t="shared" si="9"/>
        <v>6</v>
      </c>
      <c r="Q37" s="89">
        <v>0</v>
      </c>
      <c r="R37" s="18">
        <f t="shared" si="10"/>
        <v>6</v>
      </c>
      <c r="S37" s="18">
        <f t="shared" si="11"/>
        <v>3</v>
      </c>
      <c r="T37" s="18">
        <f t="shared" si="12"/>
        <v>0</v>
      </c>
    </row>
    <row r="38" spans="1:20" x14ac:dyDescent="0.25">
      <c r="A38" s="36">
        <v>37</v>
      </c>
      <c r="B38" s="37" t="s">
        <v>65</v>
      </c>
      <c r="C38" s="38">
        <f>VLOOKUP(B:B,Courts!B:C,2,FALSE())</f>
        <v>10</v>
      </c>
      <c r="D38" s="38">
        <f>VLOOKUP(B:B,Courts!B:E,4,FALSE())</f>
        <v>0</v>
      </c>
      <c r="E38" s="38">
        <f>VLOOKUP(B:B,Courts!B:D,3,FALSE())</f>
        <v>0</v>
      </c>
      <c r="F38" s="38">
        <v>8</v>
      </c>
      <c r="G38" s="38"/>
      <c r="H38" s="38"/>
      <c r="I38" s="38">
        <v>16</v>
      </c>
      <c r="J38" s="39">
        <v>2</v>
      </c>
      <c r="K38" s="39">
        <f t="shared" si="7"/>
        <v>14</v>
      </c>
      <c r="L38" s="38">
        <v>4</v>
      </c>
      <c r="M38" s="40">
        <v>17</v>
      </c>
      <c r="N38" s="38">
        <v>2</v>
      </c>
      <c r="O38" s="38">
        <f t="shared" si="8"/>
        <v>20</v>
      </c>
      <c r="P38" s="18">
        <f t="shared" si="9"/>
        <v>20</v>
      </c>
      <c r="Q38" s="89">
        <v>0</v>
      </c>
      <c r="R38" s="18">
        <f t="shared" si="10"/>
        <v>20</v>
      </c>
      <c r="S38" s="18">
        <f t="shared" si="11"/>
        <v>0</v>
      </c>
      <c r="T38" s="18">
        <f t="shared" si="12"/>
        <v>0</v>
      </c>
    </row>
    <row r="39" spans="1:20" x14ac:dyDescent="0.25">
      <c r="A39" s="36">
        <v>38</v>
      </c>
      <c r="B39" s="36" t="s">
        <v>66</v>
      </c>
      <c r="C39" s="38">
        <f>VLOOKUP(B:B,Courts!B:C,2,FALSE())</f>
        <v>2</v>
      </c>
      <c r="D39" s="38">
        <f>VLOOKUP(B:B,Courts!B:E,4,FALSE())</f>
        <v>1</v>
      </c>
      <c r="E39" s="38">
        <f>VLOOKUP(B:B,Courts!B:D,3,FALSE())</f>
        <v>0</v>
      </c>
      <c r="F39" s="38">
        <v>2</v>
      </c>
      <c r="G39" s="38"/>
      <c r="H39" s="38"/>
      <c r="I39" s="38">
        <v>2</v>
      </c>
      <c r="J39" s="39"/>
      <c r="K39" s="39">
        <f t="shared" si="7"/>
        <v>2</v>
      </c>
      <c r="L39" s="38">
        <v>3</v>
      </c>
      <c r="M39" s="40">
        <v>2</v>
      </c>
      <c r="N39" s="38">
        <v>0</v>
      </c>
      <c r="O39" s="38">
        <f t="shared" si="8"/>
        <v>5</v>
      </c>
      <c r="P39" s="18">
        <f t="shared" si="9"/>
        <v>4</v>
      </c>
      <c r="Q39" s="89">
        <v>0</v>
      </c>
      <c r="R39" s="18">
        <f t="shared" si="10"/>
        <v>4</v>
      </c>
      <c r="S39" s="18">
        <f t="shared" si="11"/>
        <v>1</v>
      </c>
      <c r="T39" s="18">
        <f t="shared" si="12"/>
        <v>0</v>
      </c>
    </row>
    <row r="40" spans="1:20" x14ac:dyDescent="0.25">
      <c r="A40" s="36">
        <v>39</v>
      </c>
      <c r="B40" s="36" t="s">
        <v>67</v>
      </c>
      <c r="C40" s="38">
        <f>VLOOKUP(B:B,Courts!B:C,2,FALSE())</f>
        <v>3</v>
      </c>
      <c r="D40" s="38">
        <f>VLOOKUP(B:B,Courts!B:E,4,FALSE())</f>
        <v>1</v>
      </c>
      <c r="E40" s="38">
        <f>VLOOKUP(B:B,Courts!B:D,3,FALSE())</f>
        <v>0</v>
      </c>
      <c r="F40" s="38">
        <v>3</v>
      </c>
      <c r="G40" s="38"/>
      <c r="H40" s="38"/>
      <c r="I40" s="38">
        <v>4</v>
      </c>
      <c r="J40" s="39"/>
      <c r="K40" s="39">
        <f t="shared" si="7"/>
        <v>4</v>
      </c>
      <c r="L40" s="38">
        <v>1</v>
      </c>
      <c r="M40" s="40">
        <v>2</v>
      </c>
      <c r="N40" s="38">
        <v>3</v>
      </c>
      <c r="O40" s="38">
        <f t="shared" si="8"/>
        <v>8</v>
      </c>
      <c r="P40" s="18">
        <f t="shared" si="9"/>
        <v>6</v>
      </c>
      <c r="Q40" s="89">
        <v>0</v>
      </c>
      <c r="R40" s="18">
        <f t="shared" si="10"/>
        <v>6</v>
      </c>
      <c r="S40" s="18">
        <f t="shared" si="11"/>
        <v>2</v>
      </c>
      <c r="T40" s="18">
        <f t="shared" si="12"/>
        <v>0</v>
      </c>
    </row>
    <row r="41" spans="1:20" x14ac:dyDescent="0.25">
      <c r="A41" s="36">
        <v>40</v>
      </c>
      <c r="B41" s="37" t="s">
        <v>68</v>
      </c>
      <c r="C41" s="38">
        <f>VLOOKUP(B:B,Courts!B:C,2,FALSE())</f>
        <v>15</v>
      </c>
      <c r="D41" s="38">
        <f>VLOOKUP(B:B,Courts!B:E,4,FALSE())</f>
        <v>0</v>
      </c>
      <c r="E41" s="38">
        <f>VLOOKUP(B:B,Courts!B:D,3,FALSE())</f>
        <v>0</v>
      </c>
      <c r="F41" s="38">
        <v>13</v>
      </c>
      <c r="G41" s="38"/>
      <c r="H41" s="38"/>
      <c r="I41" s="38">
        <v>22</v>
      </c>
      <c r="J41" s="39"/>
      <c r="K41" s="39">
        <f t="shared" si="7"/>
        <v>22</v>
      </c>
      <c r="L41" s="38">
        <v>8</v>
      </c>
      <c r="M41" s="40">
        <v>13</v>
      </c>
      <c r="N41" s="38">
        <v>0</v>
      </c>
      <c r="O41" s="38">
        <f t="shared" si="8"/>
        <v>30</v>
      </c>
      <c r="P41" s="18">
        <f t="shared" si="9"/>
        <v>30</v>
      </c>
      <c r="Q41" s="89">
        <v>0</v>
      </c>
      <c r="R41" s="18">
        <f t="shared" si="10"/>
        <v>30</v>
      </c>
      <c r="S41" s="18">
        <f t="shared" si="11"/>
        <v>0</v>
      </c>
      <c r="T41" s="18">
        <f t="shared" si="12"/>
        <v>0</v>
      </c>
    </row>
    <row r="42" spans="1:20" x14ac:dyDescent="0.25">
      <c r="A42" s="36">
        <v>41</v>
      </c>
      <c r="B42" s="36" t="s">
        <v>69</v>
      </c>
      <c r="C42" s="38">
        <f>VLOOKUP(B:B,Courts!B:C,2,FALSE())</f>
        <v>2</v>
      </c>
      <c r="D42" s="38">
        <f>VLOOKUP(B:B,Courts!B:E,4,FALSE())</f>
        <v>1</v>
      </c>
      <c r="E42" s="38">
        <f>VLOOKUP(B:B,Courts!B:D,3,FALSE())</f>
        <v>0</v>
      </c>
      <c r="F42" s="38">
        <v>4</v>
      </c>
      <c r="G42" s="38"/>
      <c r="H42" s="38"/>
      <c r="I42" s="38">
        <v>2</v>
      </c>
      <c r="J42" s="39"/>
      <c r="K42" s="39">
        <f t="shared" si="7"/>
        <v>2</v>
      </c>
      <c r="L42" s="38">
        <v>0</v>
      </c>
      <c r="M42" s="40">
        <v>4</v>
      </c>
      <c r="N42" s="38">
        <v>2</v>
      </c>
      <c r="O42" s="38">
        <f t="shared" si="8"/>
        <v>4</v>
      </c>
      <c r="P42" s="18">
        <f t="shared" si="9"/>
        <v>4</v>
      </c>
      <c r="Q42" s="89">
        <v>0</v>
      </c>
      <c r="R42" s="18">
        <f t="shared" si="10"/>
        <v>4</v>
      </c>
      <c r="S42" s="18">
        <f t="shared" si="11"/>
        <v>0</v>
      </c>
      <c r="T42" s="18">
        <f t="shared" si="12"/>
        <v>0</v>
      </c>
    </row>
    <row r="43" spans="1:20" x14ac:dyDescent="0.25">
      <c r="A43" s="36">
        <v>42</v>
      </c>
      <c r="B43" s="36" t="s">
        <v>70</v>
      </c>
      <c r="C43" s="38">
        <f>VLOOKUP(B:B,Courts!B:C,2,FALSE())</f>
        <v>2</v>
      </c>
      <c r="D43" s="38">
        <f>VLOOKUP(B:B,Courts!B:E,4,FALSE())</f>
        <v>1</v>
      </c>
      <c r="E43" s="38">
        <f>VLOOKUP(B:B,Courts!B:D,3,FALSE())</f>
        <v>0</v>
      </c>
      <c r="F43" s="38"/>
      <c r="G43" s="38"/>
      <c r="H43" s="38"/>
      <c r="I43" s="38">
        <v>4</v>
      </c>
      <c r="J43" s="39">
        <v>2</v>
      </c>
      <c r="K43" s="39">
        <f t="shared" si="7"/>
        <v>2</v>
      </c>
      <c r="L43" s="38">
        <v>0</v>
      </c>
      <c r="M43" s="40">
        <v>4</v>
      </c>
      <c r="N43" s="38">
        <v>2</v>
      </c>
      <c r="O43" s="38">
        <f t="shared" si="8"/>
        <v>4</v>
      </c>
      <c r="P43" s="18">
        <f t="shared" si="9"/>
        <v>4</v>
      </c>
      <c r="Q43" s="89">
        <v>0</v>
      </c>
      <c r="R43" s="18">
        <f t="shared" si="10"/>
        <v>4</v>
      </c>
      <c r="S43" s="18">
        <f t="shared" si="11"/>
        <v>0</v>
      </c>
      <c r="T43" s="18">
        <v>0</v>
      </c>
    </row>
    <row r="44" spans="1:20" ht="30" x14ac:dyDescent="0.25">
      <c r="A44" s="36">
        <v>43</v>
      </c>
      <c r="B44" s="36" t="s">
        <v>71</v>
      </c>
      <c r="C44" s="38">
        <f>VLOOKUP(B:B,Courts!B:C,2,FALSE())</f>
        <v>0</v>
      </c>
      <c r="D44" s="38">
        <f>VLOOKUP(B:B,Courts!B:E,4,FALSE())</f>
        <v>1</v>
      </c>
      <c r="E44" s="38">
        <f>VLOOKUP(B:B,Courts!B:D,3,FALSE())</f>
        <v>0</v>
      </c>
      <c r="F44" s="38"/>
      <c r="G44" s="38"/>
      <c r="H44" s="38"/>
      <c r="I44" s="38">
        <v>0</v>
      </c>
      <c r="J44" s="39"/>
      <c r="K44" s="39">
        <f t="shared" si="7"/>
        <v>0</v>
      </c>
      <c r="L44" s="38">
        <v>0</v>
      </c>
      <c r="M44" s="40">
        <v>0</v>
      </c>
      <c r="N44" s="38">
        <v>0</v>
      </c>
      <c r="O44" s="38">
        <f t="shared" si="8"/>
        <v>0</v>
      </c>
      <c r="P44" s="18">
        <f t="shared" si="9"/>
        <v>0</v>
      </c>
      <c r="Q44" s="89">
        <v>0</v>
      </c>
      <c r="R44" s="18">
        <v>0</v>
      </c>
      <c r="S44" s="18">
        <f t="shared" si="11"/>
        <v>0</v>
      </c>
      <c r="T44" s="18">
        <v>0</v>
      </c>
    </row>
    <row r="45" spans="1:20" x14ac:dyDescent="0.25">
      <c r="A45" s="36">
        <v>44</v>
      </c>
      <c r="B45" s="37" t="s">
        <v>72</v>
      </c>
      <c r="C45" s="38">
        <f>VLOOKUP(B:B,Courts!B:C,2,FALSE())</f>
        <v>13</v>
      </c>
      <c r="D45" s="38">
        <f>VLOOKUP(B:B,Courts!B:E,4,FALSE())</f>
        <v>0</v>
      </c>
      <c r="E45" s="38">
        <f>VLOOKUP(B:B,Courts!B:D,3,FALSE())</f>
        <v>0</v>
      </c>
      <c r="F45" s="38">
        <v>9</v>
      </c>
      <c r="G45" s="38"/>
      <c r="H45" s="38"/>
      <c r="I45" s="38">
        <v>18</v>
      </c>
      <c r="J45" s="39"/>
      <c r="K45" s="39">
        <f t="shared" si="7"/>
        <v>18</v>
      </c>
      <c r="L45" s="38">
        <v>7</v>
      </c>
      <c r="M45" s="40">
        <v>15</v>
      </c>
      <c r="N45" s="38">
        <v>1</v>
      </c>
      <c r="O45" s="38">
        <f t="shared" si="8"/>
        <v>26</v>
      </c>
      <c r="P45" s="18">
        <f t="shared" si="9"/>
        <v>26</v>
      </c>
      <c r="Q45" s="89">
        <v>0</v>
      </c>
      <c r="R45" s="18">
        <f t="shared" si="10"/>
        <v>26</v>
      </c>
      <c r="S45" s="18">
        <f t="shared" si="11"/>
        <v>0</v>
      </c>
      <c r="T45" s="18">
        <f t="shared" si="12"/>
        <v>0</v>
      </c>
    </row>
    <row r="46" spans="1:20" x14ac:dyDescent="0.25">
      <c r="A46" s="36">
        <v>45</v>
      </c>
      <c r="B46" s="37" t="s">
        <v>73</v>
      </c>
      <c r="C46" s="38">
        <f>VLOOKUP(B:B,Courts!B:C,2,FALSE())</f>
        <v>35</v>
      </c>
      <c r="D46" s="38">
        <f>VLOOKUP(B:B,Courts!B:E,4,FALSE())</f>
        <v>0</v>
      </c>
      <c r="E46" s="38">
        <f>VLOOKUP(B:B,Courts!B:D,3,FALSE())</f>
        <v>0</v>
      </c>
      <c r="F46" s="38">
        <v>20</v>
      </c>
      <c r="G46" s="38"/>
      <c r="H46" s="38"/>
      <c r="I46" s="38">
        <v>50</v>
      </c>
      <c r="J46" s="39"/>
      <c r="K46" s="39">
        <f t="shared" si="7"/>
        <v>50</v>
      </c>
      <c r="L46" s="38">
        <v>19</v>
      </c>
      <c r="M46" s="40">
        <v>26</v>
      </c>
      <c r="N46" s="38">
        <v>0</v>
      </c>
      <c r="O46" s="38">
        <f t="shared" si="8"/>
        <v>69</v>
      </c>
      <c r="P46" s="18">
        <f t="shared" si="9"/>
        <v>70</v>
      </c>
      <c r="Q46" s="89">
        <v>0</v>
      </c>
      <c r="R46" s="18">
        <f t="shared" si="10"/>
        <v>70</v>
      </c>
      <c r="S46" s="18">
        <f t="shared" si="11"/>
        <v>-1</v>
      </c>
      <c r="T46" s="18">
        <v>0</v>
      </c>
    </row>
    <row r="47" spans="1:20" x14ac:dyDescent="0.25">
      <c r="A47" s="36">
        <v>46</v>
      </c>
      <c r="B47" s="36" t="s">
        <v>74</v>
      </c>
      <c r="C47" s="38">
        <f>VLOOKUP(B:B,Courts!B:C,2,FALSE())</f>
        <v>5</v>
      </c>
      <c r="D47" s="38">
        <f>VLOOKUP(B:B,Courts!B:E,4,FALSE())</f>
        <v>1</v>
      </c>
      <c r="E47" s="38">
        <f>VLOOKUP(B:B,Courts!B:D,3,FALSE())</f>
        <v>0</v>
      </c>
      <c r="F47" s="38">
        <v>4</v>
      </c>
      <c r="G47" s="38"/>
      <c r="H47" s="38"/>
      <c r="I47" s="38">
        <v>6</v>
      </c>
      <c r="J47" s="39"/>
      <c r="K47" s="39">
        <f t="shared" si="7"/>
        <v>6</v>
      </c>
      <c r="L47" s="38">
        <v>6</v>
      </c>
      <c r="M47" s="40">
        <v>0</v>
      </c>
      <c r="N47" s="38">
        <v>2</v>
      </c>
      <c r="O47" s="38">
        <f t="shared" si="8"/>
        <v>14</v>
      </c>
      <c r="P47" s="18">
        <f t="shared" si="9"/>
        <v>10</v>
      </c>
      <c r="Q47" s="89">
        <v>0</v>
      </c>
      <c r="R47" s="18">
        <f t="shared" si="10"/>
        <v>10</v>
      </c>
      <c r="S47" s="18">
        <f t="shared" si="11"/>
        <v>4</v>
      </c>
      <c r="T47" s="18">
        <f t="shared" si="12"/>
        <v>0</v>
      </c>
    </row>
    <row r="48" spans="1:20" x14ac:dyDescent="0.25">
      <c r="A48" s="36">
        <v>47</v>
      </c>
      <c r="B48" s="36" t="s">
        <v>75</v>
      </c>
      <c r="C48" s="38">
        <f>VLOOKUP(B:B,Courts!B:C,2,FALSE())</f>
        <v>6</v>
      </c>
      <c r="D48" s="38">
        <f>VLOOKUP(B:B,Courts!B:E,4,FALSE())</f>
        <v>1</v>
      </c>
      <c r="E48" s="38">
        <f>VLOOKUP(B:B,Courts!B:D,3,FALSE())</f>
        <v>0</v>
      </c>
      <c r="F48" s="38">
        <v>5</v>
      </c>
      <c r="G48" s="38"/>
      <c r="H48" s="38"/>
      <c r="I48" s="38">
        <v>10</v>
      </c>
      <c r="J48" s="39">
        <v>2</v>
      </c>
      <c r="K48" s="39">
        <f t="shared" si="7"/>
        <v>8</v>
      </c>
      <c r="L48" s="38">
        <v>4</v>
      </c>
      <c r="M48" s="40">
        <v>4</v>
      </c>
      <c r="N48" s="38">
        <v>2</v>
      </c>
      <c r="O48" s="38">
        <f t="shared" si="8"/>
        <v>14</v>
      </c>
      <c r="P48" s="18">
        <f t="shared" si="9"/>
        <v>12</v>
      </c>
      <c r="Q48" s="89">
        <v>0</v>
      </c>
      <c r="R48" s="18">
        <f t="shared" si="10"/>
        <v>12</v>
      </c>
      <c r="S48" s="18">
        <f t="shared" si="11"/>
        <v>2</v>
      </c>
      <c r="T48" s="18">
        <f t="shared" si="12"/>
        <v>0</v>
      </c>
    </row>
    <row r="49" spans="1:20" x14ac:dyDescent="0.25">
      <c r="A49" s="36">
        <v>48</v>
      </c>
      <c r="B49" s="36" t="s">
        <v>76</v>
      </c>
      <c r="C49" s="38">
        <f>VLOOKUP(B:B,Courts!B:C,2,FALSE())</f>
        <v>6</v>
      </c>
      <c r="D49" s="38">
        <f>VLOOKUP(B:B,Courts!B:E,4,FALSE())</f>
        <v>1</v>
      </c>
      <c r="E49" s="38">
        <f>VLOOKUP(B:B,Courts!B:D,3,FALSE())</f>
        <v>0</v>
      </c>
      <c r="F49" s="38"/>
      <c r="G49" s="38"/>
      <c r="H49" s="38"/>
      <c r="I49" s="38">
        <v>6</v>
      </c>
      <c r="J49" s="39"/>
      <c r="K49" s="39">
        <f t="shared" si="7"/>
        <v>6</v>
      </c>
      <c r="L49" s="38">
        <v>6</v>
      </c>
      <c r="M49" s="40">
        <v>4</v>
      </c>
      <c r="N49" s="38">
        <v>0</v>
      </c>
      <c r="O49" s="38">
        <f t="shared" si="8"/>
        <v>12</v>
      </c>
      <c r="P49" s="18">
        <f t="shared" si="9"/>
        <v>12</v>
      </c>
      <c r="Q49" s="89">
        <v>0</v>
      </c>
      <c r="R49" s="18">
        <f t="shared" si="10"/>
        <v>12</v>
      </c>
      <c r="S49" s="18">
        <f t="shared" si="11"/>
        <v>0</v>
      </c>
      <c r="T49" s="18">
        <v>0</v>
      </c>
    </row>
    <row r="50" spans="1:20" x14ac:dyDescent="0.25">
      <c r="A50" s="36">
        <v>49</v>
      </c>
      <c r="B50" s="37" t="s">
        <v>77</v>
      </c>
      <c r="C50" s="38">
        <f>VLOOKUP(B:B,Courts!B:C,2,FALSE())</f>
        <v>14</v>
      </c>
      <c r="D50" s="38">
        <f>VLOOKUP(B:B,Courts!B:E,4,FALSE())</f>
        <v>0</v>
      </c>
      <c r="E50" s="38">
        <f>VLOOKUP(B:B,Courts!B:D,3,FALSE())</f>
        <v>0</v>
      </c>
      <c r="F50" s="38"/>
      <c r="G50" s="38"/>
      <c r="H50" s="38">
        <v>5</v>
      </c>
      <c r="I50" s="38">
        <v>28</v>
      </c>
      <c r="J50" s="39">
        <v>6</v>
      </c>
      <c r="K50" s="39">
        <f t="shared" si="7"/>
        <v>22</v>
      </c>
      <c r="L50" s="38">
        <v>6</v>
      </c>
      <c r="M50" s="40">
        <v>14</v>
      </c>
      <c r="N50" s="38">
        <v>0</v>
      </c>
      <c r="O50" s="38">
        <f t="shared" si="8"/>
        <v>28</v>
      </c>
      <c r="P50" s="18">
        <f t="shared" si="9"/>
        <v>28</v>
      </c>
      <c r="Q50" s="89">
        <v>0</v>
      </c>
      <c r="R50" s="18">
        <f t="shared" si="10"/>
        <v>28</v>
      </c>
      <c r="S50" s="18">
        <f t="shared" si="11"/>
        <v>0</v>
      </c>
      <c r="T50" s="18">
        <f t="shared" si="12"/>
        <v>0</v>
      </c>
    </row>
    <row r="51" spans="1:20" x14ac:dyDescent="0.25">
      <c r="A51" s="36">
        <v>50</v>
      </c>
      <c r="B51" s="36" t="s">
        <v>78</v>
      </c>
      <c r="C51" s="38">
        <f>VLOOKUP(B:B,Courts!B:C,2,FALSE())</f>
        <v>3</v>
      </c>
      <c r="D51" s="38">
        <f>VLOOKUP(B:B,Courts!B:E,4,FALSE())</f>
        <v>1</v>
      </c>
      <c r="E51" s="38">
        <f>VLOOKUP(B:B,Courts!B:D,3,FALSE())</f>
        <v>0</v>
      </c>
      <c r="F51" s="38"/>
      <c r="G51" s="38"/>
      <c r="H51" s="38">
        <v>1</v>
      </c>
      <c r="I51" s="38">
        <v>6</v>
      </c>
      <c r="J51" s="39"/>
      <c r="K51" s="39">
        <f t="shared" si="7"/>
        <v>6</v>
      </c>
      <c r="L51" s="38">
        <v>4</v>
      </c>
      <c r="M51" s="40">
        <v>0</v>
      </c>
      <c r="N51" s="38">
        <v>0</v>
      </c>
      <c r="O51" s="38">
        <f t="shared" si="8"/>
        <v>10</v>
      </c>
      <c r="P51" s="18">
        <f t="shared" si="9"/>
        <v>6</v>
      </c>
      <c r="Q51" s="89">
        <v>0</v>
      </c>
      <c r="R51" s="18">
        <f t="shared" si="10"/>
        <v>6</v>
      </c>
      <c r="S51" s="18">
        <f t="shared" si="11"/>
        <v>4</v>
      </c>
      <c r="T51" s="18">
        <f t="shared" si="12"/>
        <v>0</v>
      </c>
    </row>
    <row r="52" spans="1:20" x14ac:dyDescent="0.25">
      <c r="A52" s="36">
        <v>51</v>
      </c>
      <c r="B52" s="36" t="s">
        <v>79</v>
      </c>
      <c r="C52" s="38">
        <f>VLOOKUP(B:B,Courts!B:C,2,FALSE())</f>
        <v>2</v>
      </c>
      <c r="D52" s="38">
        <f>VLOOKUP(B:B,Courts!B:E,4,FALSE())</f>
        <v>1</v>
      </c>
      <c r="E52" s="38">
        <f>VLOOKUP(B:B,Courts!B:D,3,FALSE())</f>
        <v>0</v>
      </c>
      <c r="F52" s="38"/>
      <c r="G52" s="38"/>
      <c r="H52" s="38"/>
      <c r="I52" s="38">
        <v>0</v>
      </c>
      <c r="J52" s="39"/>
      <c r="K52" s="39">
        <f t="shared" si="7"/>
        <v>0</v>
      </c>
      <c r="L52" s="38">
        <v>0</v>
      </c>
      <c r="M52" s="40">
        <v>4</v>
      </c>
      <c r="N52" s="38">
        <v>2</v>
      </c>
      <c r="O52" s="38">
        <f t="shared" si="8"/>
        <v>2</v>
      </c>
      <c r="P52" s="18">
        <f t="shared" si="9"/>
        <v>4</v>
      </c>
      <c r="Q52" s="89">
        <v>0</v>
      </c>
      <c r="R52" s="18">
        <f t="shared" si="10"/>
        <v>4</v>
      </c>
      <c r="S52" s="18">
        <f t="shared" si="11"/>
        <v>-2</v>
      </c>
      <c r="T52" s="18">
        <v>0</v>
      </c>
    </row>
    <row r="53" spans="1:20" ht="30" x14ac:dyDescent="0.25">
      <c r="A53" s="36">
        <v>52</v>
      </c>
      <c r="B53" s="36" t="s">
        <v>80</v>
      </c>
      <c r="C53" s="38">
        <f>VLOOKUP(B:B,Courts!B:C,2,FALSE())</f>
        <v>0</v>
      </c>
      <c r="D53" s="38">
        <f>VLOOKUP(B:B,Courts!B:E,4,FALSE())</f>
        <v>1</v>
      </c>
      <c r="E53" s="38">
        <f>VLOOKUP(B:B,Courts!B:D,3,FALSE())</f>
        <v>0</v>
      </c>
      <c r="F53" s="38"/>
      <c r="G53" s="38"/>
      <c r="H53" s="38"/>
      <c r="I53" s="38">
        <v>0</v>
      </c>
      <c r="J53" s="39"/>
      <c r="K53" s="39">
        <f t="shared" si="7"/>
        <v>0</v>
      </c>
      <c r="L53" s="38">
        <v>2</v>
      </c>
      <c r="M53" s="40">
        <v>0</v>
      </c>
      <c r="N53" s="38">
        <v>0</v>
      </c>
      <c r="O53" s="38">
        <f t="shared" si="8"/>
        <v>2</v>
      </c>
      <c r="P53" s="18">
        <f t="shared" si="9"/>
        <v>0</v>
      </c>
      <c r="Q53" s="89">
        <v>0</v>
      </c>
      <c r="R53" s="18">
        <f t="shared" si="10"/>
        <v>0</v>
      </c>
      <c r="S53" s="18">
        <f t="shared" si="11"/>
        <v>2</v>
      </c>
      <c r="T53" s="18">
        <f t="shared" si="12"/>
        <v>0</v>
      </c>
    </row>
    <row r="54" spans="1:20" x14ac:dyDescent="0.25">
      <c r="A54" s="36">
        <v>53</v>
      </c>
      <c r="B54" s="37" t="s">
        <v>81</v>
      </c>
      <c r="C54" s="38">
        <f>VLOOKUP(B:B,Courts!B:C,2,FALSE())</f>
        <v>22</v>
      </c>
      <c r="D54" s="38">
        <f>VLOOKUP(B:B,Courts!B:E,4,FALSE())</f>
        <v>0</v>
      </c>
      <c r="E54" s="38">
        <f>VLOOKUP(B:B,Courts!B:D,3,FALSE())</f>
        <v>0</v>
      </c>
      <c r="F54" s="38">
        <v>3</v>
      </c>
      <c r="G54" s="38"/>
      <c r="H54" s="38"/>
      <c r="I54" s="38">
        <v>26</v>
      </c>
      <c r="J54" s="39">
        <v>4</v>
      </c>
      <c r="K54" s="39">
        <f t="shared" si="7"/>
        <v>22</v>
      </c>
      <c r="L54" s="38">
        <v>13</v>
      </c>
      <c r="M54" s="40">
        <v>22</v>
      </c>
      <c r="N54" s="38">
        <v>7</v>
      </c>
      <c r="O54" s="38">
        <f t="shared" si="8"/>
        <v>42</v>
      </c>
      <c r="P54" s="18">
        <f t="shared" si="9"/>
        <v>44</v>
      </c>
      <c r="Q54" s="89">
        <v>0</v>
      </c>
      <c r="R54" s="18">
        <f t="shared" si="10"/>
        <v>44</v>
      </c>
      <c r="S54" s="18">
        <f t="shared" si="11"/>
        <v>-2</v>
      </c>
      <c r="T54" s="18">
        <v>2</v>
      </c>
    </row>
    <row r="55" spans="1:20" x14ac:dyDescent="0.25">
      <c r="A55" s="36">
        <v>54</v>
      </c>
      <c r="B55" s="36" t="s">
        <v>82</v>
      </c>
      <c r="C55" s="38">
        <f>VLOOKUP(B:B,Courts!B:C,2,FALSE())</f>
        <v>9</v>
      </c>
      <c r="D55" s="38">
        <f>VLOOKUP(B:B,Courts!B:E,4,FALSE())</f>
        <v>1</v>
      </c>
      <c r="E55" s="38">
        <f>VLOOKUP(B:B,Courts!B:D,3,FALSE())</f>
        <v>0</v>
      </c>
      <c r="F55" s="38"/>
      <c r="G55" s="38"/>
      <c r="H55" s="38"/>
      <c r="I55" s="38">
        <v>10</v>
      </c>
      <c r="J55" s="39">
        <v>1</v>
      </c>
      <c r="K55" s="39">
        <f t="shared" si="7"/>
        <v>9</v>
      </c>
      <c r="L55" s="38">
        <v>2</v>
      </c>
      <c r="M55" s="40">
        <v>4</v>
      </c>
      <c r="N55" s="38">
        <v>7</v>
      </c>
      <c r="O55" s="38">
        <f t="shared" si="8"/>
        <v>18</v>
      </c>
      <c r="P55" s="18">
        <f t="shared" si="9"/>
        <v>18</v>
      </c>
      <c r="Q55" s="89">
        <v>0</v>
      </c>
      <c r="R55" s="18">
        <f t="shared" si="10"/>
        <v>18</v>
      </c>
      <c r="S55" s="18">
        <f t="shared" si="11"/>
        <v>0</v>
      </c>
      <c r="T55" s="18">
        <f t="shared" si="12"/>
        <v>0</v>
      </c>
    </row>
    <row r="56" spans="1:20" x14ac:dyDescent="0.25">
      <c r="A56" s="36">
        <v>55</v>
      </c>
      <c r="B56" s="36" t="s">
        <v>83</v>
      </c>
      <c r="C56" s="38">
        <f>VLOOKUP(B:B,Courts!B:C,2,FALSE())</f>
        <v>8</v>
      </c>
      <c r="D56" s="38">
        <f>VLOOKUP(B:B,Courts!B:E,4,FALSE())</f>
        <v>1</v>
      </c>
      <c r="E56" s="38">
        <f>VLOOKUP(B:B,Courts!B:D,3,FALSE())</f>
        <v>0</v>
      </c>
      <c r="F56" s="38"/>
      <c r="G56" s="38"/>
      <c r="H56" s="38"/>
      <c r="I56" s="38">
        <v>10</v>
      </c>
      <c r="J56" s="39">
        <v>7</v>
      </c>
      <c r="K56" s="39">
        <f t="shared" si="7"/>
        <v>3</v>
      </c>
      <c r="L56" s="38">
        <v>5</v>
      </c>
      <c r="M56" s="40">
        <v>2</v>
      </c>
      <c r="N56" s="38">
        <v>8</v>
      </c>
      <c r="O56" s="38">
        <f t="shared" si="8"/>
        <v>16</v>
      </c>
      <c r="P56" s="18">
        <f t="shared" si="9"/>
        <v>16</v>
      </c>
      <c r="Q56" s="89">
        <v>0</v>
      </c>
      <c r="R56" s="18">
        <f t="shared" si="10"/>
        <v>16</v>
      </c>
      <c r="S56" s="18">
        <f t="shared" si="11"/>
        <v>0</v>
      </c>
      <c r="T56" s="18">
        <f t="shared" si="12"/>
        <v>0</v>
      </c>
    </row>
    <row r="57" spans="1:20" x14ac:dyDescent="0.25">
      <c r="A57" s="36">
        <v>56</v>
      </c>
      <c r="B57" s="37" t="s">
        <v>84</v>
      </c>
      <c r="C57" s="38">
        <f>VLOOKUP(B:B,Courts!B:C,2,FALSE())</f>
        <v>17</v>
      </c>
      <c r="D57" s="38">
        <f>VLOOKUP(B:B,Courts!B:E,4,FALSE())</f>
        <v>0</v>
      </c>
      <c r="E57" s="38">
        <f>VLOOKUP(B:B,Courts!B:D,3,FALSE())</f>
        <v>0</v>
      </c>
      <c r="F57" s="38">
        <v>12</v>
      </c>
      <c r="G57" s="38"/>
      <c r="H57" s="38"/>
      <c r="I57" s="38">
        <v>30</v>
      </c>
      <c r="J57" s="39">
        <v>2</v>
      </c>
      <c r="K57" s="39">
        <f t="shared" si="7"/>
        <v>28</v>
      </c>
      <c r="L57" s="38">
        <v>12</v>
      </c>
      <c r="M57" s="40">
        <v>16</v>
      </c>
      <c r="N57" s="38">
        <v>0</v>
      </c>
      <c r="O57" s="38">
        <f t="shared" si="8"/>
        <v>40</v>
      </c>
      <c r="P57" s="18">
        <f t="shared" si="9"/>
        <v>34</v>
      </c>
      <c r="Q57" s="89">
        <v>0</v>
      </c>
      <c r="R57" s="18">
        <f t="shared" si="10"/>
        <v>34</v>
      </c>
      <c r="S57" s="18">
        <f t="shared" si="11"/>
        <v>6</v>
      </c>
      <c r="T57" s="18">
        <f t="shared" si="12"/>
        <v>0</v>
      </c>
    </row>
    <row r="58" spans="1:20" x14ac:dyDescent="0.25">
      <c r="A58" s="36">
        <v>57</v>
      </c>
      <c r="B58" s="36" t="s">
        <v>85</v>
      </c>
      <c r="C58" s="38">
        <f>VLOOKUP(B:B,Courts!B:C,2,FALSE())</f>
        <v>7</v>
      </c>
      <c r="D58" s="38">
        <f>VLOOKUP(B:B,Courts!B:E,4,FALSE())</f>
        <v>1</v>
      </c>
      <c r="E58" s="38">
        <f>VLOOKUP(B:B,Courts!B:D,3,FALSE())</f>
        <v>0</v>
      </c>
      <c r="F58" s="38">
        <v>2</v>
      </c>
      <c r="G58" s="38"/>
      <c r="H58" s="38"/>
      <c r="I58" s="38">
        <v>10</v>
      </c>
      <c r="J58" s="39">
        <v>1</v>
      </c>
      <c r="K58" s="39">
        <f t="shared" si="7"/>
        <v>9</v>
      </c>
      <c r="L58" s="38">
        <v>2</v>
      </c>
      <c r="M58" s="40">
        <v>6</v>
      </c>
      <c r="N58" s="38">
        <v>1</v>
      </c>
      <c r="O58" s="38">
        <f t="shared" si="8"/>
        <v>12</v>
      </c>
      <c r="P58" s="18">
        <f t="shared" si="9"/>
        <v>14</v>
      </c>
      <c r="Q58" s="89">
        <v>0</v>
      </c>
      <c r="R58" s="18">
        <f t="shared" si="10"/>
        <v>14</v>
      </c>
      <c r="S58" s="18">
        <f t="shared" si="11"/>
        <v>-2</v>
      </c>
      <c r="T58" s="18">
        <v>0</v>
      </c>
    </row>
    <row r="59" spans="1:20" x14ac:dyDescent="0.25">
      <c r="A59" s="36">
        <v>58</v>
      </c>
      <c r="B59" s="36" t="s">
        <v>86</v>
      </c>
      <c r="C59" s="38">
        <f>VLOOKUP(B:B,Courts!B:C,2,FALSE())</f>
        <v>5</v>
      </c>
      <c r="D59" s="38">
        <f>VLOOKUP(B:B,Courts!B:E,4,FALSE())</f>
        <v>1</v>
      </c>
      <c r="E59" s="38">
        <f>VLOOKUP(B:B,Courts!B:D,3,FALSE())</f>
        <v>0</v>
      </c>
      <c r="F59" s="38">
        <v>1</v>
      </c>
      <c r="G59" s="38"/>
      <c r="H59" s="38"/>
      <c r="I59" s="38">
        <v>8</v>
      </c>
      <c r="J59" s="39">
        <v>1</v>
      </c>
      <c r="K59" s="39">
        <f t="shared" si="7"/>
        <v>7</v>
      </c>
      <c r="L59" s="38">
        <v>2</v>
      </c>
      <c r="M59" s="40">
        <v>5</v>
      </c>
      <c r="N59" s="38">
        <v>0</v>
      </c>
      <c r="O59" s="38">
        <f t="shared" si="8"/>
        <v>9</v>
      </c>
      <c r="P59" s="18">
        <f t="shared" si="9"/>
        <v>10</v>
      </c>
      <c r="Q59" s="89">
        <v>0</v>
      </c>
      <c r="R59" s="18">
        <f t="shared" si="10"/>
        <v>10</v>
      </c>
      <c r="S59" s="18">
        <f t="shared" si="11"/>
        <v>-1</v>
      </c>
      <c r="T59" s="18">
        <v>0</v>
      </c>
    </row>
    <row r="60" spans="1:20" x14ac:dyDescent="0.25">
      <c r="A60" s="36">
        <v>59</v>
      </c>
      <c r="B60" s="36" t="s">
        <v>87</v>
      </c>
      <c r="C60" s="38">
        <f>VLOOKUP(B:B,Courts!B:C,2,FALSE())</f>
        <v>3</v>
      </c>
      <c r="D60" s="38">
        <f>VLOOKUP(B:B,Courts!B:E,4,FALSE())</f>
        <v>1</v>
      </c>
      <c r="E60" s="38">
        <f>VLOOKUP(B:B,Courts!B:D,3,FALSE())</f>
        <v>0</v>
      </c>
      <c r="F60" s="38">
        <v>1</v>
      </c>
      <c r="G60" s="38"/>
      <c r="H60" s="38"/>
      <c r="I60" s="38">
        <v>2</v>
      </c>
      <c r="J60" s="39"/>
      <c r="K60" s="39">
        <f t="shared" si="7"/>
        <v>2</v>
      </c>
      <c r="L60" s="38">
        <v>5</v>
      </c>
      <c r="M60" s="40">
        <v>3</v>
      </c>
      <c r="N60" s="38">
        <v>0</v>
      </c>
      <c r="O60" s="38">
        <f t="shared" si="8"/>
        <v>7</v>
      </c>
      <c r="P60" s="18">
        <f t="shared" si="9"/>
        <v>6</v>
      </c>
      <c r="Q60" s="89">
        <v>0</v>
      </c>
      <c r="R60" s="18">
        <f t="shared" si="10"/>
        <v>6</v>
      </c>
      <c r="S60" s="18">
        <f t="shared" si="11"/>
        <v>1</v>
      </c>
      <c r="T60" s="18">
        <f t="shared" si="12"/>
        <v>0</v>
      </c>
    </row>
    <row r="61" spans="1:20" x14ac:dyDescent="0.25">
      <c r="A61" s="36">
        <v>60</v>
      </c>
      <c r="B61" s="36" t="s">
        <v>88</v>
      </c>
      <c r="C61" s="38">
        <f>VLOOKUP(B:B,Courts!B:C,2,FALSE())</f>
        <v>5</v>
      </c>
      <c r="D61" s="38">
        <f>VLOOKUP(B:B,Courts!B:E,4,FALSE())</f>
        <v>1</v>
      </c>
      <c r="E61" s="38">
        <f>VLOOKUP(B:B,Courts!B:D,3,FALSE())</f>
        <v>0</v>
      </c>
      <c r="F61" s="38">
        <v>2</v>
      </c>
      <c r="G61" s="38"/>
      <c r="H61" s="38"/>
      <c r="I61" s="38">
        <v>6</v>
      </c>
      <c r="J61" s="39">
        <v>2</v>
      </c>
      <c r="K61" s="39">
        <f t="shared" si="7"/>
        <v>4</v>
      </c>
      <c r="L61" s="38">
        <v>1</v>
      </c>
      <c r="M61" s="40">
        <v>2</v>
      </c>
      <c r="N61" s="38">
        <v>7</v>
      </c>
      <c r="O61" s="38">
        <f t="shared" si="8"/>
        <v>12</v>
      </c>
      <c r="P61" s="18">
        <f t="shared" si="9"/>
        <v>10</v>
      </c>
      <c r="Q61" s="89">
        <v>0</v>
      </c>
      <c r="R61" s="18">
        <f t="shared" si="10"/>
        <v>10</v>
      </c>
      <c r="S61" s="18">
        <f t="shared" si="11"/>
        <v>2</v>
      </c>
      <c r="T61" s="18">
        <f t="shared" si="12"/>
        <v>0</v>
      </c>
    </row>
    <row r="62" spans="1:20" x14ac:dyDescent="0.25">
      <c r="A62" s="36">
        <v>61</v>
      </c>
      <c r="B62" s="37" t="s">
        <v>89</v>
      </c>
      <c r="C62" s="38">
        <f>VLOOKUP(B:B,Courts!B:C,2,FALSE())</f>
        <v>9</v>
      </c>
      <c r="D62" s="38">
        <f>VLOOKUP(B:B,Courts!B:E,4,FALSE())</f>
        <v>0</v>
      </c>
      <c r="E62" s="38">
        <f>VLOOKUP(B:B,Courts!B:D,3,FALSE())</f>
        <v>0</v>
      </c>
      <c r="F62" s="38">
        <v>6</v>
      </c>
      <c r="G62" s="38"/>
      <c r="H62" s="38"/>
      <c r="I62" s="38">
        <v>14</v>
      </c>
      <c r="J62" s="39">
        <v>3</v>
      </c>
      <c r="K62" s="39">
        <f t="shared" si="7"/>
        <v>11</v>
      </c>
      <c r="L62" s="38">
        <v>3</v>
      </c>
      <c r="M62" s="40">
        <v>15</v>
      </c>
      <c r="N62" s="38">
        <v>4</v>
      </c>
      <c r="O62" s="38">
        <f t="shared" si="8"/>
        <v>18</v>
      </c>
      <c r="P62" s="18">
        <f t="shared" si="9"/>
        <v>18</v>
      </c>
      <c r="Q62" s="89">
        <v>0</v>
      </c>
      <c r="R62" s="18">
        <f t="shared" si="10"/>
        <v>18</v>
      </c>
      <c r="S62" s="18">
        <f t="shared" si="11"/>
        <v>0</v>
      </c>
      <c r="T62" s="18">
        <f t="shared" si="12"/>
        <v>0</v>
      </c>
    </row>
    <row r="63" spans="1:20" x14ac:dyDescent="0.25">
      <c r="A63" s="36">
        <v>62</v>
      </c>
      <c r="B63" s="36" t="s">
        <v>90</v>
      </c>
      <c r="C63" s="38">
        <f>VLOOKUP(B:B,Courts!B:C,2,FALSE())</f>
        <v>3</v>
      </c>
      <c r="D63" s="38">
        <f>VLOOKUP(B:B,Courts!B:E,4,FALSE())</f>
        <v>1</v>
      </c>
      <c r="E63" s="38">
        <f>VLOOKUP(B:B,Courts!B:D,3,FALSE())</f>
        <v>0</v>
      </c>
      <c r="F63" s="38">
        <v>2</v>
      </c>
      <c r="G63" s="38"/>
      <c r="H63" s="38"/>
      <c r="I63" s="38">
        <v>4</v>
      </c>
      <c r="J63" s="39">
        <v>2</v>
      </c>
      <c r="K63" s="39">
        <f t="shared" si="7"/>
        <v>2</v>
      </c>
      <c r="L63" s="38">
        <v>1</v>
      </c>
      <c r="M63" s="40">
        <v>2</v>
      </c>
      <c r="N63" s="38">
        <v>5</v>
      </c>
      <c r="O63" s="38">
        <f t="shared" si="8"/>
        <v>8</v>
      </c>
      <c r="P63" s="18">
        <f t="shared" si="9"/>
        <v>6</v>
      </c>
      <c r="Q63" s="89">
        <v>0</v>
      </c>
      <c r="R63" s="18">
        <f t="shared" si="10"/>
        <v>6</v>
      </c>
      <c r="S63" s="18">
        <f t="shared" si="11"/>
        <v>2</v>
      </c>
      <c r="T63" s="18">
        <f t="shared" si="12"/>
        <v>0</v>
      </c>
    </row>
    <row r="64" spans="1:20" x14ac:dyDescent="0.25">
      <c r="A64" s="36">
        <v>63</v>
      </c>
      <c r="B64" s="36" t="s">
        <v>91</v>
      </c>
      <c r="C64" s="38">
        <f>VLOOKUP(B:B,Courts!B:C,2,FALSE())</f>
        <v>6</v>
      </c>
      <c r="D64" s="38">
        <f>VLOOKUP(B:B,Courts!B:E,4,FALSE())</f>
        <v>1</v>
      </c>
      <c r="E64" s="38">
        <f>VLOOKUP(B:B,Courts!B:D,3,FALSE())</f>
        <v>0</v>
      </c>
      <c r="F64" s="38">
        <v>2</v>
      </c>
      <c r="G64" s="38"/>
      <c r="H64" s="38"/>
      <c r="I64" s="38">
        <v>6</v>
      </c>
      <c r="J64" s="39">
        <v>3</v>
      </c>
      <c r="K64" s="39">
        <f t="shared" si="7"/>
        <v>3</v>
      </c>
      <c r="L64" s="38">
        <v>1</v>
      </c>
      <c r="M64" s="40">
        <v>4</v>
      </c>
      <c r="N64" s="38">
        <v>8</v>
      </c>
      <c r="O64" s="38">
        <f t="shared" si="8"/>
        <v>12</v>
      </c>
      <c r="P64" s="18">
        <f t="shared" si="9"/>
        <v>12</v>
      </c>
      <c r="Q64" s="89">
        <v>0</v>
      </c>
      <c r="R64" s="18">
        <f t="shared" si="10"/>
        <v>12</v>
      </c>
      <c r="S64" s="18">
        <f t="shared" si="11"/>
        <v>0</v>
      </c>
      <c r="T64" s="18">
        <v>0</v>
      </c>
    </row>
    <row r="65" spans="1:20" x14ac:dyDescent="0.25">
      <c r="A65" s="36">
        <v>64</v>
      </c>
      <c r="B65" s="37" t="s">
        <v>92</v>
      </c>
      <c r="C65" s="38">
        <f>VLOOKUP(B:B,Courts!B:C,2,FALSE())</f>
        <v>13</v>
      </c>
      <c r="D65" s="38">
        <f>VLOOKUP(B:B,Courts!B:E,4,FALSE())</f>
        <v>0</v>
      </c>
      <c r="E65" s="38">
        <f>VLOOKUP(B:B,Courts!B:D,3,FALSE())</f>
        <v>0</v>
      </c>
      <c r="F65" s="38">
        <v>13</v>
      </c>
      <c r="G65" s="38"/>
      <c r="H65" s="38"/>
      <c r="I65" s="38">
        <v>16</v>
      </c>
      <c r="J65" s="39">
        <v>1</v>
      </c>
      <c r="K65" s="39">
        <f t="shared" si="7"/>
        <v>15</v>
      </c>
      <c r="L65" s="38">
        <v>9</v>
      </c>
      <c r="M65" s="40">
        <v>15</v>
      </c>
      <c r="N65" s="38">
        <v>2</v>
      </c>
      <c r="O65" s="38">
        <f t="shared" si="8"/>
        <v>26</v>
      </c>
      <c r="P65" s="18">
        <f t="shared" si="9"/>
        <v>26</v>
      </c>
      <c r="Q65" s="89">
        <v>0</v>
      </c>
      <c r="R65" s="18">
        <f t="shared" si="10"/>
        <v>26</v>
      </c>
      <c r="S65" s="18">
        <f t="shared" si="11"/>
        <v>0</v>
      </c>
      <c r="T65" s="18">
        <f t="shared" si="12"/>
        <v>0</v>
      </c>
    </row>
    <row r="66" spans="1:20" x14ac:dyDescent="0.25">
      <c r="A66" s="36">
        <v>65</v>
      </c>
      <c r="B66" s="36" t="s">
        <v>93</v>
      </c>
      <c r="C66" s="38">
        <f>VLOOKUP(B:B,Courts!B:C,2,FALSE())</f>
        <v>2</v>
      </c>
      <c r="D66" s="38">
        <f>VLOOKUP(B:B,Courts!B:E,4,FALSE())</f>
        <v>1</v>
      </c>
      <c r="E66" s="38">
        <f>VLOOKUP(B:B,Courts!B:D,3,FALSE())</f>
        <v>0</v>
      </c>
      <c r="F66" s="38">
        <v>3</v>
      </c>
      <c r="G66" s="38"/>
      <c r="H66" s="38"/>
      <c r="I66" s="38">
        <v>2</v>
      </c>
      <c r="J66" s="39"/>
      <c r="K66" s="39">
        <f t="shared" ref="K66:K99" si="13">I66-J66</f>
        <v>2</v>
      </c>
      <c r="L66" s="38">
        <v>5</v>
      </c>
      <c r="M66" s="40">
        <v>1</v>
      </c>
      <c r="N66" s="38">
        <v>0</v>
      </c>
      <c r="O66" s="38">
        <f t="shared" ref="O66:O99" si="14">K66+L66+N66</f>
        <v>7</v>
      </c>
      <c r="P66" s="18">
        <f t="shared" ref="P66:P99" si="15">SUM(C66+E66)*2</f>
        <v>4</v>
      </c>
      <c r="Q66" s="89">
        <v>0</v>
      </c>
      <c r="R66" s="18">
        <f t="shared" ref="R66:R99" si="16">SUM(P66:Q66)</f>
        <v>4</v>
      </c>
      <c r="S66" s="18">
        <f t="shared" ref="S66:S99" si="17">O66-R66</f>
        <v>3</v>
      </c>
      <c r="T66" s="18">
        <f t="shared" ref="T66:T99" si="18">IF(S66&lt;0, -S66, 0)</f>
        <v>0</v>
      </c>
    </row>
    <row r="67" spans="1:20" x14ac:dyDescent="0.25">
      <c r="A67" s="36">
        <v>66</v>
      </c>
      <c r="B67" s="37" t="s">
        <v>94</v>
      </c>
      <c r="C67" s="38">
        <f>VLOOKUP(B:B,Courts!B:C,2,FALSE())</f>
        <v>10</v>
      </c>
      <c r="D67" s="38">
        <f>VLOOKUP(B:B,Courts!B:E,4,FALSE())</f>
        <v>0</v>
      </c>
      <c r="E67" s="38">
        <f>VLOOKUP(B:B,Courts!B:D,3,FALSE())</f>
        <v>0</v>
      </c>
      <c r="F67" s="38">
        <v>2</v>
      </c>
      <c r="G67" s="38"/>
      <c r="H67" s="38"/>
      <c r="I67" s="38">
        <v>22</v>
      </c>
      <c r="J67" s="39"/>
      <c r="K67" s="39">
        <f t="shared" si="13"/>
        <v>22</v>
      </c>
      <c r="L67" s="38">
        <v>4</v>
      </c>
      <c r="M67" s="40">
        <v>11</v>
      </c>
      <c r="N67" s="38">
        <v>0</v>
      </c>
      <c r="O67" s="38">
        <f t="shared" si="14"/>
        <v>26</v>
      </c>
      <c r="P67" s="18">
        <f t="shared" si="15"/>
        <v>20</v>
      </c>
      <c r="Q67" s="89">
        <v>0</v>
      </c>
      <c r="R67" s="18">
        <f t="shared" si="16"/>
        <v>20</v>
      </c>
      <c r="S67" s="18">
        <f t="shared" si="17"/>
        <v>6</v>
      </c>
      <c r="T67" s="18">
        <f t="shared" si="18"/>
        <v>0</v>
      </c>
    </row>
    <row r="68" spans="1:20" x14ac:dyDescent="0.25">
      <c r="A68" s="36">
        <v>67</v>
      </c>
      <c r="B68" s="36" t="s">
        <v>95</v>
      </c>
      <c r="C68" s="38">
        <f>VLOOKUP(B:B,Courts!B:C,2,FALSE())</f>
        <v>6</v>
      </c>
      <c r="D68" s="38">
        <f>VLOOKUP(B:B,Courts!B:E,4,FALSE())</f>
        <v>1</v>
      </c>
      <c r="E68" s="38">
        <f>VLOOKUP(B:B,Courts!B:D,3,FALSE())</f>
        <v>0</v>
      </c>
      <c r="F68" s="38">
        <v>6</v>
      </c>
      <c r="G68" s="38"/>
      <c r="H68" s="38"/>
      <c r="I68" s="38">
        <v>6</v>
      </c>
      <c r="J68" s="39"/>
      <c r="K68" s="39">
        <f t="shared" si="13"/>
        <v>6</v>
      </c>
      <c r="L68" s="38">
        <v>1</v>
      </c>
      <c r="M68" s="40">
        <v>4</v>
      </c>
      <c r="N68" s="38">
        <v>5</v>
      </c>
      <c r="O68" s="38">
        <f t="shared" si="14"/>
        <v>12</v>
      </c>
      <c r="P68" s="18">
        <f t="shared" si="15"/>
        <v>12</v>
      </c>
      <c r="Q68" s="89">
        <v>0</v>
      </c>
      <c r="R68" s="18">
        <f t="shared" si="16"/>
        <v>12</v>
      </c>
      <c r="S68" s="18">
        <f t="shared" si="17"/>
        <v>0</v>
      </c>
      <c r="T68" s="18">
        <v>0</v>
      </c>
    </row>
    <row r="69" spans="1:20" x14ac:dyDescent="0.25">
      <c r="A69" s="36">
        <v>68</v>
      </c>
      <c r="B69" s="36" t="s">
        <v>96</v>
      </c>
      <c r="C69" s="38">
        <f>VLOOKUP(B:B,Courts!B:C,2,FALSE())</f>
        <v>2</v>
      </c>
      <c r="D69" s="38">
        <f>VLOOKUP(B:B,Courts!B:E,4,FALSE())</f>
        <v>1</v>
      </c>
      <c r="E69" s="38">
        <f>VLOOKUP(B:B,Courts!B:D,3,FALSE())</f>
        <v>0</v>
      </c>
      <c r="F69" s="38">
        <v>2</v>
      </c>
      <c r="G69" s="38"/>
      <c r="H69" s="38"/>
      <c r="I69" s="38">
        <v>2</v>
      </c>
      <c r="J69" s="39"/>
      <c r="K69" s="39">
        <f t="shared" si="13"/>
        <v>2</v>
      </c>
      <c r="L69" s="38">
        <v>0</v>
      </c>
      <c r="M69" s="40">
        <v>4</v>
      </c>
      <c r="N69" s="38">
        <v>2</v>
      </c>
      <c r="O69" s="38">
        <f t="shared" si="14"/>
        <v>4</v>
      </c>
      <c r="P69" s="18">
        <f t="shared" si="15"/>
        <v>4</v>
      </c>
      <c r="Q69" s="89">
        <v>0</v>
      </c>
      <c r="R69" s="18">
        <f t="shared" si="16"/>
        <v>4</v>
      </c>
      <c r="S69" s="18">
        <f t="shared" si="17"/>
        <v>0</v>
      </c>
      <c r="T69" s="18">
        <v>0</v>
      </c>
    </row>
    <row r="70" spans="1:20" x14ac:dyDescent="0.25">
      <c r="A70" s="36">
        <v>69</v>
      </c>
      <c r="B70" s="37" t="s">
        <v>97</v>
      </c>
      <c r="C70" s="38">
        <f>VLOOKUP(B:B,Courts!B:C,2,FALSE())</f>
        <v>28</v>
      </c>
      <c r="D70" s="38">
        <f>VLOOKUP(B:B,Courts!B:E,4,FALSE())</f>
        <v>0</v>
      </c>
      <c r="E70" s="38">
        <f>VLOOKUP(B:B,Courts!B:D,3,FALSE())</f>
        <v>0</v>
      </c>
      <c r="F70" s="38">
        <f>68+22</f>
        <v>90</v>
      </c>
      <c r="G70" s="38"/>
      <c r="H70" s="38"/>
      <c r="I70" s="38">
        <v>58</v>
      </c>
      <c r="J70" s="39">
        <v>5</v>
      </c>
      <c r="K70" s="39">
        <f t="shared" si="13"/>
        <v>53</v>
      </c>
      <c r="L70" s="38">
        <v>12</v>
      </c>
      <c r="M70" s="40">
        <v>20</v>
      </c>
      <c r="N70" s="38">
        <v>0</v>
      </c>
      <c r="O70" s="38">
        <f t="shared" si="14"/>
        <v>65</v>
      </c>
      <c r="P70" s="18">
        <f t="shared" si="15"/>
        <v>56</v>
      </c>
      <c r="Q70" s="89">
        <v>0</v>
      </c>
      <c r="R70" s="18">
        <f t="shared" si="16"/>
        <v>56</v>
      </c>
      <c r="S70" s="18">
        <f t="shared" si="17"/>
        <v>9</v>
      </c>
      <c r="T70" s="18">
        <f t="shared" si="18"/>
        <v>0</v>
      </c>
    </row>
    <row r="71" spans="1:20" x14ac:dyDescent="0.25">
      <c r="A71" s="36">
        <v>70</v>
      </c>
      <c r="B71" s="37" t="s">
        <v>98</v>
      </c>
      <c r="C71" s="38">
        <f>VLOOKUP(B:B,Courts!B:C,2,FALSE())</f>
        <v>22</v>
      </c>
      <c r="D71" s="38">
        <f>VLOOKUP(B:B,Courts!B:E,4,FALSE())</f>
        <v>0</v>
      </c>
      <c r="E71" s="38">
        <f>VLOOKUP(B:B,Courts!B:D,3,FALSE())</f>
        <v>5</v>
      </c>
      <c r="F71" s="38">
        <v>9</v>
      </c>
      <c r="G71" s="38"/>
      <c r="H71" s="38"/>
      <c r="I71" s="38">
        <v>40</v>
      </c>
      <c r="J71" s="39">
        <v>6</v>
      </c>
      <c r="K71" s="39">
        <f t="shared" si="13"/>
        <v>34</v>
      </c>
      <c r="L71" s="38">
        <v>7</v>
      </c>
      <c r="M71" s="40">
        <v>32</v>
      </c>
      <c r="N71" s="38">
        <v>0</v>
      </c>
      <c r="O71" s="38">
        <f t="shared" si="14"/>
        <v>41</v>
      </c>
      <c r="P71" s="18">
        <f t="shared" si="15"/>
        <v>54</v>
      </c>
      <c r="Q71" s="89">
        <v>0</v>
      </c>
      <c r="R71" s="18">
        <f t="shared" si="16"/>
        <v>54</v>
      </c>
      <c r="S71" s="18">
        <f t="shared" si="17"/>
        <v>-13</v>
      </c>
      <c r="T71" s="18">
        <v>11</v>
      </c>
    </row>
    <row r="72" spans="1:20" x14ac:dyDescent="0.25">
      <c r="A72" s="36">
        <v>71</v>
      </c>
      <c r="B72" s="36" t="s">
        <v>99</v>
      </c>
      <c r="C72" s="38">
        <f>VLOOKUP(B:B,Courts!B:C,2,FALSE())</f>
        <v>2</v>
      </c>
      <c r="D72" s="38">
        <f>VLOOKUP(B:B,Courts!B:E,4,FALSE())</f>
        <v>1</v>
      </c>
      <c r="E72" s="38">
        <f>VLOOKUP(B:B,Courts!B:D,3,FALSE())</f>
        <v>1</v>
      </c>
      <c r="F72" s="38">
        <v>3</v>
      </c>
      <c r="G72" s="38"/>
      <c r="H72" s="38"/>
      <c r="I72" s="38">
        <v>6</v>
      </c>
      <c r="J72" s="39">
        <v>1</v>
      </c>
      <c r="K72" s="39">
        <f t="shared" si="13"/>
        <v>5</v>
      </c>
      <c r="L72" s="38">
        <v>3</v>
      </c>
      <c r="M72" s="40">
        <v>1</v>
      </c>
      <c r="N72" s="38">
        <v>0</v>
      </c>
      <c r="O72" s="38">
        <f t="shared" si="14"/>
        <v>8</v>
      </c>
      <c r="P72" s="18">
        <f t="shared" si="15"/>
        <v>6</v>
      </c>
      <c r="Q72" s="89">
        <v>0</v>
      </c>
      <c r="R72" s="18">
        <f t="shared" si="16"/>
        <v>6</v>
      </c>
      <c r="S72" s="18">
        <f t="shared" si="17"/>
        <v>2</v>
      </c>
      <c r="T72" s="18">
        <f t="shared" si="18"/>
        <v>0</v>
      </c>
    </row>
    <row r="73" spans="1:20" x14ac:dyDescent="0.25">
      <c r="A73" s="36">
        <v>72</v>
      </c>
      <c r="B73" s="37" t="s">
        <v>100</v>
      </c>
      <c r="C73" s="38">
        <f>VLOOKUP(B:B,Courts!B:C,2,FALSE())</f>
        <v>15</v>
      </c>
      <c r="D73" s="38">
        <f>VLOOKUP(B:B,Courts!B:E,4,FALSE())</f>
        <v>0</v>
      </c>
      <c r="E73" s="38">
        <f>VLOOKUP(B:B,Courts!B:D,3,FALSE())</f>
        <v>3</v>
      </c>
      <c r="F73" s="38">
        <v>12</v>
      </c>
      <c r="G73" s="38"/>
      <c r="H73" s="38"/>
      <c r="I73" s="38">
        <v>32</v>
      </c>
      <c r="J73" s="39">
        <v>7</v>
      </c>
      <c r="K73" s="39">
        <f t="shared" si="13"/>
        <v>25</v>
      </c>
      <c r="L73" s="38">
        <v>7</v>
      </c>
      <c r="M73" s="40">
        <v>26</v>
      </c>
      <c r="N73" s="38">
        <v>0</v>
      </c>
      <c r="O73" s="38">
        <f t="shared" si="14"/>
        <v>32</v>
      </c>
      <c r="P73" s="18">
        <f t="shared" si="15"/>
        <v>36</v>
      </c>
      <c r="Q73" s="89">
        <v>0</v>
      </c>
      <c r="R73" s="18">
        <f t="shared" si="16"/>
        <v>36</v>
      </c>
      <c r="S73" s="18">
        <f t="shared" si="17"/>
        <v>-4</v>
      </c>
      <c r="T73" s="18">
        <v>2</v>
      </c>
    </row>
    <row r="74" spans="1:20" x14ac:dyDescent="0.25">
      <c r="A74" s="36">
        <v>73</v>
      </c>
      <c r="B74" s="36" t="s">
        <v>101</v>
      </c>
      <c r="C74" s="38">
        <f>VLOOKUP(B:B,Courts!B:C,2,FALSE())</f>
        <v>2</v>
      </c>
      <c r="D74" s="38">
        <f>VLOOKUP(B:B,Courts!B:E,4,FALSE())</f>
        <v>1</v>
      </c>
      <c r="E74" s="38">
        <f>VLOOKUP(B:B,Courts!B:D,3,FALSE())</f>
        <v>0</v>
      </c>
      <c r="F74" s="38"/>
      <c r="G74" s="38"/>
      <c r="H74" s="38"/>
      <c r="I74" s="38">
        <v>2</v>
      </c>
      <c r="J74" s="39"/>
      <c r="K74" s="39">
        <f t="shared" si="13"/>
        <v>2</v>
      </c>
      <c r="L74" s="38">
        <v>2</v>
      </c>
      <c r="M74" s="40">
        <v>4</v>
      </c>
      <c r="N74" s="38">
        <v>0</v>
      </c>
      <c r="O74" s="38">
        <f t="shared" si="14"/>
        <v>4</v>
      </c>
      <c r="P74" s="18">
        <f t="shared" si="15"/>
        <v>4</v>
      </c>
      <c r="Q74" s="89">
        <v>0</v>
      </c>
      <c r="R74" s="18">
        <f t="shared" si="16"/>
        <v>4</v>
      </c>
      <c r="S74" s="18">
        <f t="shared" si="17"/>
        <v>0</v>
      </c>
      <c r="T74" s="18">
        <f t="shared" si="18"/>
        <v>0</v>
      </c>
    </row>
    <row r="75" spans="1:20" x14ac:dyDescent="0.25">
      <c r="A75" s="36">
        <v>74</v>
      </c>
      <c r="B75" s="36" t="s">
        <v>102</v>
      </c>
      <c r="C75" s="38">
        <f>VLOOKUP(B:B,Courts!B:C,2,FALSE())</f>
        <v>1</v>
      </c>
      <c r="D75" s="38">
        <f>VLOOKUP(B:B,Courts!B:E,4,FALSE())</f>
        <v>1</v>
      </c>
      <c r="E75" s="38">
        <f>VLOOKUP(B:B,Courts!B:D,3,FALSE())</f>
        <v>0</v>
      </c>
      <c r="F75" s="38"/>
      <c r="G75" s="38"/>
      <c r="H75" s="38"/>
      <c r="I75" s="38">
        <v>2</v>
      </c>
      <c r="J75" s="39"/>
      <c r="K75" s="39">
        <f t="shared" si="13"/>
        <v>2</v>
      </c>
      <c r="L75" s="38">
        <v>0</v>
      </c>
      <c r="M75" s="40">
        <v>4</v>
      </c>
      <c r="N75" s="38">
        <v>0</v>
      </c>
      <c r="O75" s="38">
        <f t="shared" si="14"/>
        <v>2</v>
      </c>
      <c r="P75" s="18">
        <f t="shared" si="15"/>
        <v>2</v>
      </c>
      <c r="Q75" s="89">
        <v>0</v>
      </c>
      <c r="R75" s="18">
        <f t="shared" si="16"/>
        <v>2</v>
      </c>
      <c r="S75" s="18">
        <f t="shared" si="17"/>
        <v>0</v>
      </c>
      <c r="T75" s="18">
        <v>0</v>
      </c>
    </row>
    <row r="76" spans="1:20" x14ac:dyDescent="0.25">
      <c r="A76" s="36">
        <v>75</v>
      </c>
      <c r="B76" s="36" t="s">
        <v>103</v>
      </c>
      <c r="C76" s="38">
        <f>VLOOKUP(B:B,Courts!B:C,2,FALSE())</f>
        <v>1</v>
      </c>
      <c r="D76" s="38">
        <f>VLOOKUP(B:B,Courts!B:E,4,FALSE())</f>
        <v>1</v>
      </c>
      <c r="E76" s="38">
        <f>VLOOKUP(B:B,Courts!B:D,3,FALSE())</f>
        <v>0</v>
      </c>
      <c r="F76" s="38"/>
      <c r="G76" s="38"/>
      <c r="H76" s="38"/>
      <c r="I76" s="38">
        <v>2</v>
      </c>
      <c r="J76" s="39"/>
      <c r="K76" s="39">
        <f t="shared" si="13"/>
        <v>2</v>
      </c>
      <c r="L76" s="38">
        <v>0</v>
      </c>
      <c r="M76" s="40">
        <v>2</v>
      </c>
      <c r="N76" s="38">
        <v>2</v>
      </c>
      <c r="O76" s="38">
        <f t="shared" si="14"/>
        <v>4</v>
      </c>
      <c r="P76" s="18">
        <f t="shared" si="15"/>
        <v>2</v>
      </c>
      <c r="Q76" s="89">
        <v>0</v>
      </c>
      <c r="R76" s="18">
        <f t="shared" si="16"/>
        <v>2</v>
      </c>
      <c r="S76" s="18">
        <f t="shared" si="17"/>
        <v>2</v>
      </c>
      <c r="T76" s="18">
        <f t="shared" si="18"/>
        <v>0</v>
      </c>
    </row>
    <row r="77" spans="1:20" x14ac:dyDescent="0.25">
      <c r="A77" s="36">
        <v>76</v>
      </c>
      <c r="B77" s="37" t="s">
        <v>104</v>
      </c>
      <c r="C77" s="38">
        <f>VLOOKUP(B:B,Courts!B:C,2,FALSE())</f>
        <v>8</v>
      </c>
      <c r="D77" s="38">
        <f>VLOOKUP(B:B,Courts!B:E,4,FALSE())</f>
        <v>0</v>
      </c>
      <c r="E77" s="38">
        <f>VLOOKUP(B:B,Courts!B:D,3,FALSE())</f>
        <v>1</v>
      </c>
      <c r="F77" s="38"/>
      <c r="G77" s="38"/>
      <c r="H77" s="38"/>
      <c r="I77" s="38">
        <v>8</v>
      </c>
      <c r="J77" s="39">
        <v>1</v>
      </c>
      <c r="K77" s="39">
        <f t="shared" si="13"/>
        <v>7</v>
      </c>
      <c r="L77" s="38">
        <v>4</v>
      </c>
      <c r="M77" s="40">
        <v>17</v>
      </c>
      <c r="N77" s="38">
        <v>7</v>
      </c>
      <c r="O77" s="38">
        <f t="shared" si="14"/>
        <v>18</v>
      </c>
      <c r="P77" s="18">
        <f t="shared" si="15"/>
        <v>18</v>
      </c>
      <c r="Q77" s="89">
        <v>0</v>
      </c>
      <c r="R77" s="18">
        <f t="shared" si="16"/>
        <v>18</v>
      </c>
      <c r="S77" s="18">
        <f t="shared" si="17"/>
        <v>0</v>
      </c>
      <c r="T77" s="18">
        <f t="shared" si="18"/>
        <v>0</v>
      </c>
    </row>
    <row r="78" spans="1:20" x14ac:dyDescent="0.25">
      <c r="A78" s="36">
        <v>77</v>
      </c>
      <c r="B78" s="37" t="s">
        <v>105</v>
      </c>
      <c r="C78" s="38">
        <f>VLOOKUP(B:B,Courts!B:C,2,FALSE())</f>
        <v>39</v>
      </c>
      <c r="D78" s="38">
        <f>VLOOKUP(B:B,Courts!B:E,4,FALSE())</f>
        <v>0</v>
      </c>
      <c r="E78" s="38">
        <f>VLOOKUP(B:B,Courts!B:D,3,FALSE())</f>
        <v>10</v>
      </c>
      <c r="F78" s="38">
        <v>28</v>
      </c>
      <c r="G78" s="38"/>
      <c r="H78" s="38"/>
      <c r="I78" s="38">
        <v>66</v>
      </c>
      <c r="J78" s="39">
        <v>11</v>
      </c>
      <c r="K78" s="39">
        <f t="shared" si="13"/>
        <v>55</v>
      </c>
      <c r="L78" s="38">
        <v>15</v>
      </c>
      <c r="M78" s="40">
        <v>55</v>
      </c>
      <c r="N78" s="38">
        <v>4</v>
      </c>
      <c r="O78" s="38">
        <f t="shared" si="14"/>
        <v>74</v>
      </c>
      <c r="P78" s="18">
        <f t="shared" si="15"/>
        <v>98</v>
      </c>
      <c r="Q78" s="89">
        <v>0</v>
      </c>
      <c r="R78" s="18">
        <f t="shared" si="16"/>
        <v>98</v>
      </c>
      <c r="S78" s="18">
        <f t="shared" si="17"/>
        <v>-24</v>
      </c>
      <c r="T78" s="18">
        <f t="shared" si="18"/>
        <v>24</v>
      </c>
    </row>
    <row r="79" spans="1:20" x14ac:dyDescent="0.25">
      <c r="A79" s="36">
        <v>78</v>
      </c>
      <c r="B79" s="37" t="s">
        <v>106</v>
      </c>
      <c r="C79" s="38">
        <f>VLOOKUP(B:B,Courts!B:C,2,FALSE())</f>
        <v>11</v>
      </c>
      <c r="D79" s="38">
        <f>VLOOKUP(B:B,Courts!B:E,4,FALSE())</f>
        <v>0</v>
      </c>
      <c r="E79" s="38">
        <f>VLOOKUP(B:B,Courts!B:D,3,FALSE())</f>
        <v>1</v>
      </c>
      <c r="F79" s="42">
        <v>10</v>
      </c>
      <c r="G79" s="42"/>
      <c r="H79" s="42"/>
      <c r="I79" s="38">
        <v>18</v>
      </c>
      <c r="J79" s="42">
        <v>3</v>
      </c>
      <c r="K79" s="39">
        <f t="shared" si="13"/>
        <v>15</v>
      </c>
      <c r="L79" s="38">
        <v>7</v>
      </c>
      <c r="M79" s="40">
        <v>17</v>
      </c>
      <c r="N79" s="38">
        <v>2</v>
      </c>
      <c r="O79" s="38">
        <f t="shared" si="14"/>
        <v>24</v>
      </c>
      <c r="P79" s="18">
        <f t="shared" si="15"/>
        <v>24</v>
      </c>
      <c r="Q79" s="89">
        <v>0</v>
      </c>
      <c r="R79" s="18">
        <f t="shared" si="16"/>
        <v>24</v>
      </c>
      <c r="S79" s="18">
        <f t="shared" si="17"/>
        <v>0</v>
      </c>
      <c r="T79" s="18">
        <f t="shared" si="18"/>
        <v>0</v>
      </c>
    </row>
    <row r="80" spans="1:20" x14ac:dyDescent="0.25">
      <c r="A80" s="36">
        <v>79</v>
      </c>
      <c r="B80" s="36" t="s">
        <v>107</v>
      </c>
      <c r="C80" s="38">
        <f>VLOOKUP(B:B,Courts!B:C,2,FALSE())</f>
        <v>2</v>
      </c>
      <c r="D80" s="38">
        <f>VLOOKUP(B:B,Courts!B:E,4,FALSE())</f>
        <v>1</v>
      </c>
      <c r="E80" s="38">
        <f>VLOOKUP(B:B,Courts!B:D,3,FALSE())</f>
        <v>0</v>
      </c>
      <c r="F80" s="42">
        <v>2</v>
      </c>
      <c r="G80" s="42"/>
      <c r="H80" s="42"/>
      <c r="I80" s="38">
        <v>6</v>
      </c>
      <c r="J80" s="42">
        <v>1</v>
      </c>
      <c r="K80" s="39">
        <f t="shared" si="13"/>
        <v>5</v>
      </c>
      <c r="L80" s="38">
        <v>3</v>
      </c>
      <c r="M80" s="40">
        <v>0</v>
      </c>
      <c r="N80" s="38">
        <v>0</v>
      </c>
      <c r="O80" s="38">
        <f t="shared" si="14"/>
        <v>8</v>
      </c>
      <c r="P80" s="18">
        <f t="shared" si="15"/>
        <v>4</v>
      </c>
      <c r="Q80" s="89">
        <v>0</v>
      </c>
      <c r="R80" s="18">
        <f t="shared" si="16"/>
        <v>4</v>
      </c>
      <c r="S80" s="18">
        <f t="shared" si="17"/>
        <v>4</v>
      </c>
      <c r="T80" s="18">
        <f t="shared" si="18"/>
        <v>0</v>
      </c>
    </row>
    <row r="81" spans="1:20" x14ac:dyDescent="0.25">
      <c r="A81" s="36">
        <v>80</v>
      </c>
      <c r="B81" s="36" t="s">
        <v>108</v>
      </c>
      <c r="C81" s="38">
        <f>VLOOKUP(B:B,Courts!B:C,2,FALSE())</f>
        <v>2</v>
      </c>
      <c r="D81" s="38">
        <f>VLOOKUP(B:B,Courts!B:E,4,FALSE())</f>
        <v>1</v>
      </c>
      <c r="E81" s="38">
        <f>VLOOKUP(B:B,Courts!B:D,3,FALSE())</f>
        <v>1</v>
      </c>
      <c r="F81" s="42">
        <v>2</v>
      </c>
      <c r="G81" s="42"/>
      <c r="H81" s="42"/>
      <c r="I81" s="38">
        <v>2</v>
      </c>
      <c r="J81" s="42"/>
      <c r="K81" s="39">
        <f t="shared" si="13"/>
        <v>2</v>
      </c>
      <c r="L81" s="38">
        <v>2</v>
      </c>
      <c r="M81" s="40">
        <v>6</v>
      </c>
      <c r="N81" s="38">
        <v>0</v>
      </c>
      <c r="O81" s="38">
        <f t="shared" si="14"/>
        <v>4</v>
      </c>
      <c r="P81" s="18">
        <f t="shared" si="15"/>
        <v>6</v>
      </c>
      <c r="Q81" s="89">
        <v>0</v>
      </c>
      <c r="R81" s="18">
        <f t="shared" si="16"/>
        <v>6</v>
      </c>
      <c r="S81" s="18">
        <f t="shared" si="17"/>
        <v>-2</v>
      </c>
      <c r="T81" s="18">
        <v>0</v>
      </c>
    </row>
    <row r="82" spans="1:20" x14ac:dyDescent="0.25">
      <c r="A82" s="36">
        <v>81</v>
      </c>
      <c r="B82" s="37" t="s">
        <v>109</v>
      </c>
      <c r="C82" s="38">
        <f>VLOOKUP(B:B,Courts!B:C,2,FALSE())</f>
        <v>48</v>
      </c>
      <c r="D82" s="38">
        <f>VLOOKUP(B:B,Courts!B:E,4,FALSE())</f>
        <v>0</v>
      </c>
      <c r="E82" s="38">
        <f>VLOOKUP(B:B,Courts!B:D,3,FALSE())</f>
        <v>14</v>
      </c>
      <c r="F82" s="38">
        <v>60</v>
      </c>
      <c r="G82" s="38"/>
      <c r="H82" s="38"/>
      <c r="I82" s="38">
        <v>66</v>
      </c>
      <c r="J82" s="39">
        <v>16</v>
      </c>
      <c r="K82" s="39">
        <f t="shared" si="13"/>
        <v>50</v>
      </c>
      <c r="L82" s="38">
        <v>29</v>
      </c>
      <c r="M82" s="40">
        <v>33</v>
      </c>
      <c r="N82" s="38">
        <v>17</v>
      </c>
      <c r="O82" s="38">
        <f t="shared" si="14"/>
        <v>96</v>
      </c>
      <c r="P82" s="18">
        <f t="shared" si="15"/>
        <v>124</v>
      </c>
      <c r="Q82" s="89">
        <v>0</v>
      </c>
      <c r="R82" s="18">
        <f t="shared" si="16"/>
        <v>124</v>
      </c>
      <c r="S82" s="18">
        <f t="shared" si="17"/>
        <v>-28</v>
      </c>
      <c r="T82" s="18">
        <v>26</v>
      </c>
    </row>
    <row r="83" spans="1:20" x14ac:dyDescent="0.25">
      <c r="A83" s="36">
        <v>82</v>
      </c>
      <c r="B83" s="36" t="s">
        <v>110</v>
      </c>
      <c r="C83" s="38">
        <f>VLOOKUP(B:B,Courts!B:C,2,FALSE())</f>
        <v>3</v>
      </c>
      <c r="D83" s="38">
        <f>VLOOKUP(B:B,Courts!B:E,4,FALSE())</f>
        <v>1</v>
      </c>
      <c r="E83" s="38">
        <f>VLOOKUP(B:B,Courts!B:D,3,FALSE())</f>
        <v>1</v>
      </c>
      <c r="F83" s="38">
        <v>6</v>
      </c>
      <c r="G83" s="38"/>
      <c r="H83" s="38"/>
      <c r="I83" s="38">
        <v>6</v>
      </c>
      <c r="J83" s="39"/>
      <c r="K83" s="39">
        <f t="shared" si="13"/>
        <v>6</v>
      </c>
      <c r="L83" s="38">
        <v>3</v>
      </c>
      <c r="M83" s="40">
        <v>0</v>
      </c>
      <c r="N83" s="38">
        <v>0</v>
      </c>
      <c r="O83" s="38">
        <f t="shared" si="14"/>
        <v>9</v>
      </c>
      <c r="P83" s="18">
        <f t="shared" si="15"/>
        <v>8</v>
      </c>
      <c r="Q83" s="89">
        <v>0</v>
      </c>
      <c r="R83" s="18">
        <f t="shared" si="16"/>
        <v>8</v>
      </c>
      <c r="S83" s="18">
        <f t="shared" si="17"/>
        <v>1</v>
      </c>
      <c r="T83" s="18">
        <f t="shared" si="18"/>
        <v>0</v>
      </c>
    </row>
    <row r="84" spans="1:20" x14ac:dyDescent="0.25">
      <c r="A84" s="36">
        <v>83</v>
      </c>
      <c r="B84" s="36" t="s">
        <v>111</v>
      </c>
      <c r="C84" s="38">
        <f>VLOOKUP(B:B,Courts!B:C,2,FALSE())</f>
        <v>3</v>
      </c>
      <c r="D84" s="38">
        <f>VLOOKUP(B:B,Courts!B:E,4,FALSE())</f>
        <v>1</v>
      </c>
      <c r="E84" s="38">
        <f>VLOOKUP(B:B,Courts!B:D,3,FALSE())</f>
        <v>1</v>
      </c>
      <c r="F84" s="38">
        <v>6</v>
      </c>
      <c r="G84" s="38"/>
      <c r="H84" s="38"/>
      <c r="I84" s="38">
        <v>6</v>
      </c>
      <c r="J84" s="39"/>
      <c r="K84" s="39">
        <f t="shared" si="13"/>
        <v>6</v>
      </c>
      <c r="L84" s="38">
        <v>3</v>
      </c>
      <c r="M84" s="40">
        <v>0</v>
      </c>
      <c r="N84" s="38">
        <v>0</v>
      </c>
      <c r="O84" s="38">
        <f t="shared" si="14"/>
        <v>9</v>
      </c>
      <c r="P84" s="18">
        <f t="shared" si="15"/>
        <v>8</v>
      </c>
      <c r="Q84" s="89">
        <v>0</v>
      </c>
      <c r="R84" s="18">
        <f t="shared" si="16"/>
        <v>8</v>
      </c>
      <c r="S84" s="18">
        <f t="shared" si="17"/>
        <v>1</v>
      </c>
      <c r="T84" s="18">
        <f t="shared" si="18"/>
        <v>0</v>
      </c>
    </row>
    <row r="85" spans="1:20" x14ac:dyDescent="0.25">
      <c r="A85" s="36">
        <v>84</v>
      </c>
      <c r="B85" s="37" t="s">
        <v>112</v>
      </c>
      <c r="C85" s="38">
        <f>VLOOKUP(B:B,Courts!B:C,2,FALSE())</f>
        <v>23</v>
      </c>
      <c r="D85" s="38">
        <f>VLOOKUP(B:B,Courts!B:E,4,FALSE())</f>
        <v>0</v>
      </c>
      <c r="E85" s="38">
        <f>VLOOKUP(B:B,Courts!B:D,3,FALSE())</f>
        <v>9</v>
      </c>
      <c r="F85" s="38">
        <v>26</v>
      </c>
      <c r="G85" s="38"/>
      <c r="H85" s="38"/>
      <c r="I85" s="38">
        <v>44</v>
      </c>
      <c r="J85" s="39">
        <v>10</v>
      </c>
      <c r="K85" s="39">
        <f t="shared" si="13"/>
        <v>34</v>
      </c>
      <c r="L85" s="38">
        <v>9</v>
      </c>
      <c r="M85" s="40">
        <v>28</v>
      </c>
      <c r="N85" s="38">
        <v>1</v>
      </c>
      <c r="O85" s="38">
        <f t="shared" si="14"/>
        <v>44</v>
      </c>
      <c r="P85" s="18">
        <f t="shared" si="15"/>
        <v>64</v>
      </c>
      <c r="Q85" s="89">
        <v>0</v>
      </c>
      <c r="R85" s="18">
        <f t="shared" si="16"/>
        <v>64</v>
      </c>
      <c r="S85" s="18">
        <f t="shared" si="17"/>
        <v>-20</v>
      </c>
      <c r="T85" s="18">
        <v>19</v>
      </c>
    </row>
    <row r="86" spans="1:20" x14ac:dyDescent="0.25">
      <c r="A86" s="36">
        <v>85</v>
      </c>
      <c r="B86" s="36" t="s">
        <v>113</v>
      </c>
      <c r="C86" s="38">
        <f>VLOOKUP(B:B,Courts!B:C,2,FALSE())</f>
        <v>3</v>
      </c>
      <c r="D86" s="38">
        <f>VLOOKUP(B:B,Courts!B:E,4,FALSE())</f>
        <v>1</v>
      </c>
      <c r="E86" s="38">
        <f>VLOOKUP(B:B,Courts!B:D,3,FALSE())</f>
        <v>1</v>
      </c>
      <c r="F86" s="38">
        <v>4</v>
      </c>
      <c r="G86" s="38"/>
      <c r="H86" s="38"/>
      <c r="I86" s="38">
        <v>8</v>
      </c>
      <c r="J86" s="39">
        <v>2</v>
      </c>
      <c r="K86" s="39">
        <f t="shared" si="13"/>
        <v>6</v>
      </c>
      <c r="L86" s="38">
        <v>3</v>
      </c>
      <c r="M86" s="40">
        <v>3</v>
      </c>
      <c r="N86" s="38">
        <v>0</v>
      </c>
      <c r="O86" s="38">
        <f t="shared" si="14"/>
        <v>9</v>
      </c>
      <c r="P86" s="18">
        <f t="shared" si="15"/>
        <v>8</v>
      </c>
      <c r="Q86" s="89">
        <v>0</v>
      </c>
      <c r="R86" s="18">
        <f t="shared" si="16"/>
        <v>8</v>
      </c>
      <c r="S86" s="18">
        <f t="shared" si="17"/>
        <v>1</v>
      </c>
      <c r="T86" s="18">
        <f t="shared" si="18"/>
        <v>0</v>
      </c>
    </row>
    <row r="87" spans="1:20" x14ac:dyDescent="0.25">
      <c r="A87" s="36">
        <v>86</v>
      </c>
      <c r="B87" s="19" t="s">
        <v>221</v>
      </c>
      <c r="C87" s="38">
        <f>VLOOKUP(B:B,Courts!B:C,2,FALSE())</f>
        <v>1</v>
      </c>
      <c r="D87" s="38">
        <f>VLOOKUP(B:B,Courts!B:E,4,FALSE())</f>
        <v>1</v>
      </c>
      <c r="E87" s="38">
        <f>VLOOKUP(B:B,Courts!B:D,3,FALSE())</f>
        <v>0</v>
      </c>
      <c r="F87" s="38"/>
      <c r="G87" s="38"/>
      <c r="H87" s="38"/>
      <c r="I87" s="38">
        <v>0</v>
      </c>
      <c r="J87" s="38">
        <v>0</v>
      </c>
      <c r="K87" s="38">
        <v>0</v>
      </c>
      <c r="L87" s="38">
        <v>0</v>
      </c>
      <c r="M87" s="38">
        <v>0</v>
      </c>
      <c r="N87" s="38">
        <v>0</v>
      </c>
      <c r="O87" s="38">
        <f t="shared" si="14"/>
        <v>0</v>
      </c>
      <c r="P87" s="18">
        <f t="shared" si="15"/>
        <v>2</v>
      </c>
      <c r="Q87" s="89">
        <v>0</v>
      </c>
      <c r="R87" s="18">
        <f t="shared" si="16"/>
        <v>2</v>
      </c>
      <c r="S87" s="18">
        <f t="shared" si="17"/>
        <v>-2</v>
      </c>
      <c r="T87" s="18"/>
    </row>
    <row r="88" spans="1:20" x14ac:dyDescent="0.25">
      <c r="A88" s="36">
        <v>87</v>
      </c>
      <c r="B88" s="19" t="s">
        <v>222</v>
      </c>
      <c r="C88" s="38">
        <f>VLOOKUP(B:B,Courts!B:C,2,FALSE())</f>
        <v>2</v>
      </c>
      <c r="D88" s="38">
        <f>VLOOKUP(B:B,Courts!B:E,4,FALSE())</f>
        <v>1</v>
      </c>
      <c r="E88" s="38">
        <f>VLOOKUP(B:B,Courts!B:D,3,FALSE())</f>
        <v>0</v>
      </c>
      <c r="F88" s="38"/>
      <c r="G88" s="38"/>
      <c r="H88" s="38"/>
      <c r="I88" s="38">
        <v>0</v>
      </c>
      <c r="J88" s="38">
        <v>0</v>
      </c>
      <c r="K88" s="38">
        <v>0</v>
      </c>
      <c r="L88" s="38">
        <v>0</v>
      </c>
      <c r="M88" s="38">
        <v>0</v>
      </c>
      <c r="N88" s="38">
        <v>0</v>
      </c>
      <c r="O88" s="38">
        <f t="shared" si="14"/>
        <v>0</v>
      </c>
      <c r="P88" s="18">
        <f t="shared" si="15"/>
        <v>4</v>
      </c>
      <c r="Q88" s="89">
        <v>0</v>
      </c>
      <c r="R88" s="18">
        <f t="shared" si="16"/>
        <v>4</v>
      </c>
      <c r="S88" s="18">
        <f t="shared" si="17"/>
        <v>-4</v>
      </c>
      <c r="T88" s="18"/>
    </row>
    <row r="89" spans="1:20" x14ac:dyDescent="0.25">
      <c r="A89" s="36">
        <v>88</v>
      </c>
      <c r="B89" s="37" t="s">
        <v>114</v>
      </c>
      <c r="C89" s="38">
        <f>VLOOKUP(B:B,Courts!B:C,2,FALSE())</f>
        <v>11</v>
      </c>
      <c r="D89" s="38">
        <f>VLOOKUP(B:B,Courts!B:E,4,FALSE())</f>
        <v>0</v>
      </c>
      <c r="E89" s="38">
        <f>VLOOKUP(B:B,Courts!B:D,3,FALSE())</f>
        <v>2</v>
      </c>
      <c r="F89" s="38">
        <v>15</v>
      </c>
      <c r="G89" s="38"/>
      <c r="H89" s="38"/>
      <c r="I89" s="38">
        <v>30</v>
      </c>
      <c r="J89" s="39">
        <v>1</v>
      </c>
      <c r="K89" s="39">
        <f t="shared" si="13"/>
        <v>29</v>
      </c>
      <c r="L89" s="38">
        <v>4</v>
      </c>
      <c r="M89" s="40">
        <v>10</v>
      </c>
      <c r="N89" s="38">
        <v>0</v>
      </c>
      <c r="O89" s="38">
        <f t="shared" si="14"/>
        <v>33</v>
      </c>
      <c r="P89" s="18">
        <f t="shared" si="15"/>
        <v>26</v>
      </c>
      <c r="Q89" s="89">
        <v>0</v>
      </c>
      <c r="R89" s="18">
        <f t="shared" si="16"/>
        <v>26</v>
      </c>
      <c r="S89" s="18">
        <f t="shared" si="17"/>
        <v>7</v>
      </c>
      <c r="T89" s="18">
        <f t="shared" si="18"/>
        <v>0</v>
      </c>
    </row>
    <row r="90" spans="1:20" x14ac:dyDescent="0.25">
      <c r="A90" s="36">
        <v>89</v>
      </c>
      <c r="B90" s="36" t="s">
        <v>115</v>
      </c>
      <c r="C90" s="38">
        <f>VLOOKUP(B:B,Courts!B:C,2,FALSE())</f>
        <v>4</v>
      </c>
      <c r="D90" s="38">
        <f>VLOOKUP(B:B,Courts!B:E,4,FALSE())</f>
        <v>1</v>
      </c>
      <c r="E90" s="38">
        <f>VLOOKUP(B:B,Courts!B:D,3,FALSE())</f>
        <v>2</v>
      </c>
      <c r="F90" s="38"/>
      <c r="G90" s="38"/>
      <c r="H90" s="38"/>
      <c r="I90" s="38">
        <v>10</v>
      </c>
      <c r="J90" s="39"/>
      <c r="K90" s="39">
        <f t="shared" si="13"/>
        <v>10</v>
      </c>
      <c r="L90" s="38">
        <v>4</v>
      </c>
      <c r="M90" s="40">
        <v>2</v>
      </c>
      <c r="N90" s="38">
        <v>0</v>
      </c>
      <c r="O90" s="38">
        <f t="shared" si="14"/>
        <v>14</v>
      </c>
      <c r="P90" s="18">
        <f t="shared" si="15"/>
        <v>12</v>
      </c>
      <c r="Q90" s="89">
        <v>0</v>
      </c>
      <c r="R90" s="18">
        <f t="shared" si="16"/>
        <v>12</v>
      </c>
      <c r="S90" s="18">
        <f t="shared" si="17"/>
        <v>2</v>
      </c>
      <c r="T90" s="18">
        <f t="shared" si="18"/>
        <v>0</v>
      </c>
    </row>
    <row r="91" spans="1:20" x14ac:dyDescent="0.25">
      <c r="A91" s="36">
        <v>90</v>
      </c>
      <c r="B91" s="37" t="s">
        <v>116</v>
      </c>
      <c r="C91" s="38">
        <f>VLOOKUP(B:B,Courts!B:C,2,FALSE())</f>
        <v>10</v>
      </c>
      <c r="D91" s="38">
        <f>VLOOKUP(B:B,Courts!B:E,4,FALSE())</f>
        <v>0</v>
      </c>
      <c r="E91" s="38">
        <f>VLOOKUP(B:B,Courts!B:D,3,FALSE())</f>
        <v>3</v>
      </c>
      <c r="F91" s="38">
        <v>8</v>
      </c>
      <c r="G91" s="38"/>
      <c r="H91" s="38"/>
      <c r="I91" s="38">
        <v>24</v>
      </c>
      <c r="J91" s="39"/>
      <c r="K91" s="39">
        <f t="shared" si="13"/>
        <v>24</v>
      </c>
      <c r="L91" s="38">
        <v>6</v>
      </c>
      <c r="M91" s="40">
        <v>11</v>
      </c>
      <c r="N91" s="38">
        <v>0</v>
      </c>
      <c r="O91" s="38">
        <f t="shared" si="14"/>
        <v>30</v>
      </c>
      <c r="P91" s="18">
        <f t="shared" si="15"/>
        <v>26</v>
      </c>
      <c r="Q91" s="89">
        <v>0</v>
      </c>
      <c r="R91" s="18">
        <f t="shared" si="16"/>
        <v>26</v>
      </c>
      <c r="S91" s="18">
        <f t="shared" si="17"/>
        <v>4</v>
      </c>
      <c r="T91" s="18">
        <f t="shared" si="18"/>
        <v>0</v>
      </c>
    </row>
    <row r="92" spans="1:20" x14ac:dyDescent="0.25">
      <c r="A92" s="36">
        <v>91</v>
      </c>
      <c r="B92" s="36" t="s">
        <v>117</v>
      </c>
      <c r="C92" s="38">
        <f>VLOOKUP(B:B,Courts!B:C,2,FALSE())</f>
        <v>2</v>
      </c>
      <c r="D92" s="38">
        <f>VLOOKUP(B:B,Courts!B:E,4,FALSE())</f>
        <v>1</v>
      </c>
      <c r="E92" s="38">
        <f>VLOOKUP(B:B,Courts!B:D,3,FALSE())</f>
        <v>1</v>
      </c>
      <c r="F92" s="38"/>
      <c r="G92" s="38"/>
      <c r="H92" s="38"/>
      <c r="I92" s="38">
        <v>6</v>
      </c>
      <c r="J92" s="39"/>
      <c r="K92" s="39">
        <f t="shared" si="13"/>
        <v>6</v>
      </c>
      <c r="L92" s="38">
        <v>3</v>
      </c>
      <c r="M92" s="40">
        <v>1</v>
      </c>
      <c r="N92" s="38">
        <v>0</v>
      </c>
      <c r="O92" s="38">
        <f t="shared" si="14"/>
        <v>9</v>
      </c>
      <c r="P92" s="18">
        <f t="shared" si="15"/>
        <v>6</v>
      </c>
      <c r="Q92" s="89">
        <v>0</v>
      </c>
      <c r="R92" s="18">
        <f t="shared" si="16"/>
        <v>6</v>
      </c>
      <c r="S92" s="18">
        <f t="shared" si="17"/>
        <v>3</v>
      </c>
      <c r="T92" s="18">
        <f t="shared" si="18"/>
        <v>0</v>
      </c>
    </row>
    <row r="93" spans="1:20" x14ac:dyDescent="0.25">
      <c r="A93" s="36">
        <v>92</v>
      </c>
      <c r="B93" s="36" t="s">
        <v>118</v>
      </c>
      <c r="C93" s="38">
        <f>VLOOKUP(B:B,Courts!B:C,2,FALSE())</f>
        <v>2</v>
      </c>
      <c r="D93" s="38">
        <f>VLOOKUP(B:B,Courts!B:E,4,FALSE())</f>
        <v>1</v>
      </c>
      <c r="E93" s="38">
        <f>VLOOKUP(B:B,Courts!B:D,3,FALSE())</f>
        <v>1</v>
      </c>
      <c r="F93" s="38"/>
      <c r="G93" s="38"/>
      <c r="H93" s="38"/>
      <c r="I93" s="38">
        <v>4</v>
      </c>
      <c r="J93" s="39"/>
      <c r="K93" s="39">
        <f t="shared" si="13"/>
        <v>4</v>
      </c>
      <c r="L93" s="38">
        <v>3</v>
      </c>
      <c r="M93" s="40">
        <v>3</v>
      </c>
      <c r="N93" s="38">
        <v>0</v>
      </c>
      <c r="O93" s="38">
        <f t="shared" si="14"/>
        <v>7</v>
      </c>
      <c r="P93" s="18">
        <f t="shared" si="15"/>
        <v>6</v>
      </c>
      <c r="Q93" s="89">
        <v>0</v>
      </c>
      <c r="R93" s="18">
        <f t="shared" si="16"/>
        <v>6</v>
      </c>
      <c r="S93" s="18">
        <f t="shared" si="17"/>
        <v>1</v>
      </c>
      <c r="T93" s="18">
        <f t="shared" si="18"/>
        <v>0</v>
      </c>
    </row>
    <row r="94" spans="1:20" x14ac:dyDescent="0.25">
      <c r="A94" s="36">
        <v>93</v>
      </c>
      <c r="B94" s="37" t="s">
        <v>119</v>
      </c>
      <c r="C94" s="38">
        <f>VLOOKUP(B:B,Courts!B:C,2,FALSE())</f>
        <v>15</v>
      </c>
      <c r="D94" s="38">
        <f>VLOOKUP(B:B,Courts!B:E,4,FALSE())</f>
        <v>0</v>
      </c>
      <c r="E94" s="38">
        <f>VLOOKUP(B:B,Courts!B:D,3,FALSE())</f>
        <v>4</v>
      </c>
      <c r="F94" s="38">
        <v>15</v>
      </c>
      <c r="G94" s="38"/>
      <c r="H94" s="38"/>
      <c r="I94" s="38">
        <v>28</v>
      </c>
      <c r="J94" s="39"/>
      <c r="K94" s="39">
        <f t="shared" si="13"/>
        <v>28</v>
      </c>
      <c r="L94" s="38">
        <v>6</v>
      </c>
      <c r="M94" s="40">
        <v>16</v>
      </c>
      <c r="N94" s="38">
        <v>0</v>
      </c>
      <c r="O94" s="38">
        <f t="shared" si="14"/>
        <v>34</v>
      </c>
      <c r="P94" s="18">
        <f t="shared" si="15"/>
        <v>38</v>
      </c>
      <c r="Q94" s="89">
        <v>0</v>
      </c>
      <c r="R94" s="18">
        <f t="shared" si="16"/>
        <v>38</v>
      </c>
      <c r="S94" s="18">
        <f t="shared" si="17"/>
        <v>-4</v>
      </c>
      <c r="T94" s="18">
        <f t="shared" si="18"/>
        <v>4</v>
      </c>
    </row>
    <row r="95" spans="1:20" x14ac:dyDescent="0.25">
      <c r="A95" s="36">
        <v>94</v>
      </c>
      <c r="B95" s="36" t="s">
        <v>120</v>
      </c>
      <c r="C95" s="38">
        <f>VLOOKUP(B:B,Courts!B:C,2,FALSE())</f>
        <v>2</v>
      </c>
      <c r="D95" s="38">
        <f>VLOOKUP(B:B,Courts!B:E,4,FALSE())</f>
        <v>1</v>
      </c>
      <c r="E95" s="38">
        <f>VLOOKUP(B:B,Courts!B:D,3,FALSE())</f>
        <v>0</v>
      </c>
      <c r="F95" s="38">
        <v>2</v>
      </c>
      <c r="G95" s="38"/>
      <c r="H95" s="38"/>
      <c r="I95" s="38">
        <v>2</v>
      </c>
      <c r="J95" s="39"/>
      <c r="K95" s="39">
        <f t="shared" si="13"/>
        <v>2</v>
      </c>
      <c r="L95" s="38">
        <v>2</v>
      </c>
      <c r="M95" s="40">
        <v>4</v>
      </c>
      <c r="N95" s="38">
        <v>0</v>
      </c>
      <c r="O95" s="38">
        <f t="shared" si="14"/>
        <v>4</v>
      </c>
      <c r="P95" s="18">
        <f t="shared" si="15"/>
        <v>4</v>
      </c>
      <c r="Q95" s="89">
        <v>0</v>
      </c>
      <c r="R95" s="18">
        <f t="shared" si="16"/>
        <v>4</v>
      </c>
      <c r="S95" s="18">
        <f t="shared" si="17"/>
        <v>0</v>
      </c>
      <c r="T95" s="18">
        <f t="shared" si="18"/>
        <v>0</v>
      </c>
    </row>
    <row r="96" spans="1:20" x14ac:dyDescent="0.25">
      <c r="A96" s="36">
        <v>95</v>
      </c>
      <c r="B96" s="37" t="s">
        <v>121</v>
      </c>
      <c r="C96" s="38">
        <f>VLOOKUP(B:B,Courts!B:C,2,FALSE())</f>
        <v>26</v>
      </c>
      <c r="D96" s="38">
        <f>VLOOKUP(B:B,Courts!B:E,4,FALSE())</f>
        <v>0</v>
      </c>
      <c r="E96" s="38">
        <f>VLOOKUP(B:B,Courts!B:D,3,FALSE())</f>
        <v>7</v>
      </c>
      <c r="F96" s="38">
        <v>32</v>
      </c>
      <c r="G96" s="38"/>
      <c r="H96" s="38"/>
      <c r="I96" s="38">
        <v>46</v>
      </c>
      <c r="J96" s="39">
        <v>4</v>
      </c>
      <c r="K96" s="39">
        <f t="shared" si="13"/>
        <v>42</v>
      </c>
      <c r="L96" s="38">
        <v>9</v>
      </c>
      <c r="M96" s="40">
        <v>41</v>
      </c>
      <c r="N96" s="38">
        <v>3</v>
      </c>
      <c r="O96" s="38">
        <f t="shared" si="14"/>
        <v>54</v>
      </c>
      <c r="P96" s="18">
        <f t="shared" si="15"/>
        <v>66</v>
      </c>
      <c r="Q96" s="89">
        <v>0</v>
      </c>
      <c r="R96" s="18">
        <f t="shared" si="16"/>
        <v>66</v>
      </c>
      <c r="S96" s="18">
        <f t="shared" si="17"/>
        <v>-12</v>
      </c>
      <c r="T96" s="18">
        <v>8</v>
      </c>
    </row>
    <row r="97" spans="1:20" x14ac:dyDescent="0.25">
      <c r="A97" s="36">
        <v>96</v>
      </c>
      <c r="B97" s="36" t="s">
        <v>122</v>
      </c>
      <c r="C97" s="38">
        <f>VLOOKUP(B:B,Courts!B:C,2,FALSE())</f>
        <v>2</v>
      </c>
      <c r="D97" s="38">
        <f>VLOOKUP(B:B,Courts!B:E,4,FALSE())</f>
        <v>1</v>
      </c>
      <c r="E97" s="38">
        <f>VLOOKUP(B:B,Courts!B:D,3,FALSE())</f>
        <v>0</v>
      </c>
      <c r="F97" s="38">
        <v>2</v>
      </c>
      <c r="G97" s="38"/>
      <c r="H97" s="38"/>
      <c r="I97" s="38">
        <v>4</v>
      </c>
      <c r="J97" s="39"/>
      <c r="K97" s="39">
        <f t="shared" si="13"/>
        <v>4</v>
      </c>
      <c r="L97" s="38">
        <v>3</v>
      </c>
      <c r="M97" s="40">
        <v>1</v>
      </c>
      <c r="N97" s="38">
        <v>0</v>
      </c>
      <c r="O97" s="38">
        <f t="shared" si="14"/>
        <v>7</v>
      </c>
      <c r="P97" s="18">
        <f t="shared" si="15"/>
        <v>4</v>
      </c>
      <c r="Q97" s="89">
        <v>0</v>
      </c>
      <c r="R97" s="18">
        <f t="shared" si="16"/>
        <v>4</v>
      </c>
      <c r="S97" s="18">
        <f t="shared" si="17"/>
        <v>3</v>
      </c>
      <c r="T97" s="18">
        <f t="shared" si="18"/>
        <v>0</v>
      </c>
    </row>
    <row r="98" spans="1:20" x14ac:dyDescent="0.25">
      <c r="A98" s="36">
        <v>97</v>
      </c>
      <c r="B98" s="36" t="s">
        <v>123</v>
      </c>
      <c r="C98" s="38">
        <f>VLOOKUP(B:B,Courts!B:C,2,FALSE())</f>
        <v>1</v>
      </c>
      <c r="D98" s="38">
        <f>VLOOKUP(B:B,Courts!B:E,4,FALSE())</f>
        <v>0</v>
      </c>
      <c r="E98" s="38">
        <f>VLOOKUP(B:B,Courts!B:D,3,FALSE())</f>
        <v>0</v>
      </c>
      <c r="F98" s="38"/>
      <c r="G98" s="38"/>
      <c r="H98" s="38"/>
      <c r="I98" s="38">
        <v>0</v>
      </c>
      <c r="J98" s="39"/>
      <c r="K98" s="39">
        <f t="shared" si="13"/>
        <v>0</v>
      </c>
      <c r="L98" s="38">
        <v>0</v>
      </c>
      <c r="M98" s="40">
        <v>0</v>
      </c>
      <c r="N98" s="38">
        <v>0</v>
      </c>
      <c r="O98" s="38">
        <f t="shared" si="14"/>
        <v>0</v>
      </c>
      <c r="P98" s="18">
        <f t="shared" si="15"/>
        <v>2</v>
      </c>
      <c r="Q98" s="89">
        <v>0</v>
      </c>
      <c r="R98" s="18">
        <f t="shared" si="16"/>
        <v>2</v>
      </c>
      <c r="S98" s="18">
        <f t="shared" si="17"/>
        <v>-2</v>
      </c>
      <c r="T98" s="18">
        <v>0</v>
      </c>
    </row>
    <row r="99" spans="1:20" x14ac:dyDescent="0.25">
      <c r="A99" s="36">
        <v>98</v>
      </c>
      <c r="B99" s="36" t="s">
        <v>124</v>
      </c>
      <c r="C99" s="38">
        <f>VLOOKUP(B:B,Courts!B:C,2,FALSE())</f>
        <v>1</v>
      </c>
      <c r="D99" s="38">
        <f>VLOOKUP(B:B,Courts!B:E,4,FALSE())</f>
        <v>1</v>
      </c>
      <c r="E99" s="38">
        <f>VLOOKUP(B:B,Courts!B:D,3,FALSE())</f>
        <v>0</v>
      </c>
      <c r="F99" s="38"/>
      <c r="G99" s="38"/>
      <c r="H99" s="38"/>
      <c r="I99" s="38">
        <v>2</v>
      </c>
      <c r="J99" s="39"/>
      <c r="K99" s="39">
        <f t="shared" si="13"/>
        <v>2</v>
      </c>
      <c r="L99" s="38">
        <v>3</v>
      </c>
      <c r="M99" s="40">
        <v>1</v>
      </c>
      <c r="N99" s="38">
        <v>0</v>
      </c>
      <c r="O99" s="38">
        <f t="shared" si="14"/>
        <v>5</v>
      </c>
      <c r="P99" s="18">
        <f t="shared" si="15"/>
        <v>2</v>
      </c>
      <c r="Q99" s="89">
        <v>0</v>
      </c>
      <c r="R99" s="18">
        <f t="shared" si="16"/>
        <v>2</v>
      </c>
      <c r="S99" s="18">
        <f t="shared" si="17"/>
        <v>3</v>
      </c>
      <c r="T99" s="18">
        <f t="shared" si="18"/>
        <v>0</v>
      </c>
    </row>
    <row r="100" spans="1:20" x14ac:dyDescent="0.25">
      <c r="A100" s="36">
        <v>99</v>
      </c>
      <c r="B100" s="37" t="s">
        <v>125</v>
      </c>
      <c r="C100" s="38">
        <f>VLOOKUP(B:B,Courts!B:C,2,FALSE())</f>
        <v>15</v>
      </c>
      <c r="D100" s="38">
        <f>VLOOKUP(B:B,Courts!B:E,4,FALSE())</f>
        <v>0</v>
      </c>
      <c r="E100" s="38">
        <f>VLOOKUP(B:B,Courts!B:D,3,FALSE())</f>
        <v>1</v>
      </c>
      <c r="F100" s="38">
        <v>9</v>
      </c>
      <c r="G100" s="38"/>
      <c r="H100" s="38"/>
      <c r="I100" s="38">
        <v>30</v>
      </c>
      <c r="J100" s="39"/>
      <c r="K100" s="39">
        <f t="shared" ref="K100:K131" si="19">I100-J100</f>
        <v>30</v>
      </c>
      <c r="L100" s="38">
        <v>6</v>
      </c>
      <c r="M100" s="40">
        <v>22</v>
      </c>
      <c r="N100" s="38">
        <v>0</v>
      </c>
      <c r="O100" s="38">
        <f t="shared" ref="O100:O131" si="20">K100+L100+N100</f>
        <v>36</v>
      </c>
      <c r="P100" s="18">
        <f t="shared" ref="P100:P131" si="21">SUM(C100+E100)*2</f>
        <v>32</v>
      </c>
      <c r="Q100" s="89">
        <v>0</v>
      </c>
      <c r="R100" s="18">
        <f t="shared" ref="R100:R131" si="22">SUM(P100:Q100)</f>
        <v>32</v>
      </c>
      <c r="S100" s="18">
        <f t="shared" ref="S100:S131" si="23">O100-R100</f>
        <v>4</v>
      </c>
      <c r="T100" s="18">
        <f t="shared" ref="T100:T131" si="24">IF(S100&lt;0, -S100, 0)</f>
        <v>0</v>
      </c>
    </row>
    <row r="101" spans="1:20" x14ac:dyDescent="0.25">
      <c r="A101" s="36">
        <v>100</v>
      </c>
      <c r="B101" s="36" t="s">
        <v>126</v>
      </c>
      <c r="C101" s="38">
        <f>VLOOKUP(B:B,Courts!B:C,2,FALSE())</f>
        <v>2</v>
      </c>
      <c r="D101" s="38">
        <f>VLOOKUP(B:B,Courts!B:E,4,FALSE())</f>
        <v>1</v>
      </c>
      <c r="E101" s="38">
        <f>VLOOKUP(B:B,Courts!B:D,3,FALSE())</f>
        <v>1</v>
      </c>
      <c r="F101" s="38">
        <v>3</v>
      </c>
      <c r="G101" s="38"/>
      <c r="H101" s="38"/>
      <c r="I101" s="38">
        <v>6</v>
      </c>
      <c r="J101" s="39"/>
      <c r="K101" s="39">
        <f t="shared" si="19"/>
        <v>6</v>
      </c>
      <c r="L101" s="38">
        <v>3</v>
      </c>
      <c r="M101" s="40">
        <v>1</v>
      </c>
      <c r="N101" s="38">
        <v>0</v>
      </c>
      <c r="O101" s="38">
        <f t="shared" si="20"/>
        <v>9</v>
      </c>
      <c r="P101" s="18">
        <f t="shared" si="21"/>
        <v>6</v>
      </c>
      <c r="Q101" s="89">
        <v>0</v>
      </c>
      <c r="R101" s="18">
        <f t="shared" si="22"/>
        <v>6</v>
      </c>
      <c r="S101" s="18">
        <f t="shared" si="23"/>
        <v>3</v>
      </c>
      <c r="T101" s="18">
        <f t="shared" si="24"/>
        <v>0</v>
      </c>
    </row>
    <row r="102" spans="1:20" x14ac:dyDescent="0.25">
      <c r="A102" s="36">
        <v>101</v>
      </c>
      <c r="B102" s="36" t="s">
        <v>127</v>
      </c>
      <c r="C102" s="38">
        <f>VLOOKUP(B:B,Courts!B:C,2,FALSE())</f>
        <v>2</v>
      </c>
      <c r="D102" s="38">
        <f>VLOOKUP(B:B,Courts!B:E,4,FALSE())</f>
        <v>1</v>
      </c>
      <c r="E102" s="38">
        <f>VLOOKUP(B:B,Courts!B:D,3,FALSE())</f>
        <v>0</v>
      </c>
      <c r="F102" s="38"/>
      <c r="G102" s="38"/>
      <c r="H102" s="38"/>
      <c r="I102" s="38">
        <v>4</v>
      </c>
      <c r="J102" s="39"/>
      <c r="K102" s="39">
        <f t="shared" si="19"/>
        <v>4</v>
      </c>
      <c r="L102" s="38">
        <v>1</v>
      </c>
      <c r="M102" s="40">
        <v>3</v>
      </c>
      <c r="N102" s="38">
        <v>0</v>
      </c>
      <c r="O102" s="38">
        <f t="shared" si="20"/>
        <v>5</v>
      </c>
      <c r="P102" s="18">
        <f t="shared" si="21"/>
        <v>4</v>
      </c>
      <c r="Q102" s="89">
        <v>0</v>
      </c>
      <c r="R102" s="18">
        <f t="shared" si="22"/>
        <v>4</v>
      </c>
      <c r="S102" s="18">
        <f t="shared" si="23"/>
        <v>1</v>
      </c>
      <c r="T102" s="18">
        <f t="shared" si="24"/>
        <v>0</v>
      </c>
    </row>
    <row r="103" spans="1:20" ht="30" x14ac:dyDescent="0.25">
      <c r="A103" s="36">
        <v>102</v>
      </c>
      <c r="B103" s="36" t="s">
        <v>128</v>
      </c>
      <c r="C103" s="38">
        <f>VLOOKUP(B:B,Courts!B:C,2,FALSE())</f>
        <v>0</v>
      </c>
      <c r="D103" s="38">
        <f>VLOOKUP(B:B,Courts!B:E,4,FALSE())</f>
        <v>1</v>
      </c>
      <c r="E103" s="38">
        <f>VLOOKUP(B:B,Courts!B:D,3,FALSE())</f>
        <v>0</v>
      </c>
      <c r="F103" s="38"/>
      <c r="G103" s="38"/>
      <c r="H103" s="38"/>
      <c r="I103" s="38">
        <v>0</v>
      </c>
      <c r="J103" s="39"/>
      <c r="K103" s="39">
        <f t="shared" si="19"/>
        <v>0</v>
      </c>
      <c r="L103" s="38">
        <v>0</v>
      </c>
      <c r="M103" s="40">
        <v>0</v>
      </c>
      <c r="N103" s="38">
        <v>0</v>
      </c>
      <c r="O103" s="38">
        <f t="shared" si="20"/>
        <v>0</v>
      </c>
      <c r="P103" s="18">
        <f t="shared" si="21"/>
        <v>0</v>
      </c>
      <c r="Q103" s="89">
        <v>0</v>
      </c>
      <c r="R103" s="18">
        <f t="shared" si="22"/>
        <v>0</v>
      </c>
      <c r="S103" s="18">
        <f t="shared" si="23"/>
        <v>0</v>
      </c>
      <c r="T103" s="18">
        <v>0</v>
      </c>
    </row>
    <row r="104" spans="1:20" x14ac:dyDescent="0.25">
      <c r="A104" s="36">
        <v>103</v>
      </c>
      <c r="B104" s="37" t="s">
        <v>129</v>
      </c>
      <c r="C104" s="38">
        <f>VLOOKUP(B:B,Courts!B:C,2,FALSE())</f>
        <v>12</v>
      </c>
      <c r="D104" s="38">
        <f>VLOOKUP(B:B,Courts!B:E,4,FALSE())</f>
        <v>0</v>
      </c>
      <c r="E104" s="38">
        <f>VLOOKUP(B:B,Courts!B:D,3,FALSE())</f>
        <v>3</v>
      </c>
      <c r="F104" s="38">
        <v>10</v>
      </c>
      <c r="G104" s="38"/>
      <c r="H104" s="38"/>
      <c r="I104" s="38">
        <v>24</v>
      </c>
      <c r="J104" s="39"/>
      <c r="K104" s="39">
        <f t="shared" si="19"/>
        <v>24</v>
      </c>
      <c r="L104" s="38">
        <v>6</v>
      </c>
      <c r="M104" s="40">
        <v>22</v>
      </c>
      <c r="N104" s="38">
        <v>0</v>
      </c>
      <c r="O104" s="38">
        <f t="shared" si="20"/>
        <v>30</v>
      </c>
      <c r="P104" s="18">
        <f t="shared" si="21"/>
        <v>30</v>
      </c>
      <c r="Q104" s="89">
        <v>0</v>
      </c>
      <c r="R104" s="18">
        <f t="shared" si="22"/>
        <v>30</v>
      </c>
      <c r="S104" s="18">
        <f t="shared" si="23"/>
        <v>0</v>
      </c>
      <c r="T104" s="18">
        <f t="shared" si="24"/>
        <v>0</v>
      </c>
    </row>
    <row r="105" spans="1:20" x14ac:dyDescent="0.25">
      <c r="A105" s="36">
        <v>104</v>
      </c>
      <c r="B105" s="36" t="s">
        <v>130</v>
      </c>
      <c r="C105" s="38">
        <f>VLOOKUP(B:B,Courts!B:C,2,FALSE())</f>
        <v>3</v>
      </c>
      <c r="D105" s="38">
        <f>VLOOKUP(B:B,Courts!B:E,4,FALSE())</f>
        <v>1</v>
      </c>
      <c r="E105" s="38">
        <f>VLOOKUP(B:B,Courts!B:D,3,FALSE())</f>
        <v>1</v>
      </c>
      <c r="F105" s="38">
        <v>8</v>
      </c>
      <c r="G105" s="38"/>
      <c r="H105" s="38"/>
      <c r="I105" s="38">
        <v>10</v>
      </c>
      <c r="J105" s="39">
        <v>2</v>
      </c>
      <c r="K105" s="39">
        <f t="shared" si="19"/>
        <v>8</v>
      </c>
      <c r="L105" s="38">
        <v>3</v>
      </c>
      <c r="M105" s="40">
        <v>1</v>
      </c>
      <c r="N105" s="38">
        <v>0</v>
      </c>
      <c r="O105" s="38">
        <f t="shared" si="20"/>
        <v>11</v>
      </c>
      <c r="P105" s="18">
        <f t="shared" si="21"/>
        <v>8</v>
      </c>
      <c r="Q105" s="89">
        <v>0</v>
      </c>
      <c r="R105" s="18">
        <f t="shared" si="22"/>
        <v>8</v>
      </c>
      <c r="S105" s="18">
        <f t="shared" si="23"/>
        <v>3</v>
      </c>
      <c r="T105" s="18">
        <f t="shared" si="24"/>
        <v>0</v>
      </c>
    </row>
    <row r="106" spans="1:20" x14ac:dyDescent="0.25">
      <c r="A106" s="36">
        <v>105</v>
      </c>
      <c r="B106" s="36" t="s">
        <v>131</v>
      </c>
      <c r="C106" s="38">
        <f>VLOOKUP(B:B,Courts!B:C,2,FALSE())</f>
        <v>2</v>
      </c>
      <c r="D106" s="38">
        <f>VLOOKUP(B:B,Courts!B:E,4,FALSE())</f>
        <v>1</v>
      </c>
      <c r="E106" s="38">
        <f>VLOOKUP(B:B,Courts!B:D,3,FALSE())</f>
        <v>1</v>
      </c>
      <c r="F106" s="38">
        <v>4</v>
      </c>
      <c r="G106" s="38"/>
      <c r="H106" s="38">
        <v>1</v>
      </c>
      <c r="I106" s="38">
        <v>0</v>
      </c>
      <c r="J106" s="39"/>
      <c r="K106" s="39">
        <f t="shared" si="19"/>
        <v>0</v>
      </c>
      <c r="L106" s="38">
        <v>5</v>
      </c>
      <c r="M106" s="40">
        <v>5</v>
      </c>
      <c r="N106" s="38">
        <v>0</v>
      </c>
      <c r="O106" s="38">
        <f t="shared" si="20"/>
        <v>5</v>
      </c>
      <c r="P106" s="18">
        <f t="shared" si="21"/>
        <v>6</v>
      </c>
      <c r="Q106" s="89">
        <v>0</v>
      </c>
      <c r="R106" s="18">
        <f t="shared" si="22"/>
        <v>6</v>
      </c>
      <c r="S106" s="18">
        <f t="shared" si="23"/>
        <v>-1</v>
      </c>
      <c r="T106" s="18">
        <v>0</v>
      </c>
    </row>
    <row r="107" spans="1:20" x14ac:dyDescent="0.25">
      <c r="A107" s="36">
        <v>106</v>
      </c>
      <c r="B107" s="37" t="s">
        <v>132</v>
      </c>
      <c r="C107" s="38">
        <f>VLOOKUP(B:B,Courts!B:C,2,FALSE())</f>
        <v>13</v>
      </c>
      <c r="D107" s="38">
        <f>VLOOKUP(B:B,Courts!B:E,4,FALSE())</f>
        <v>0</v>
      </c>
      <c r="E107" s="38">
        <f>VLOOKUP(B:B,Courts!B:D,3,FALSE())</f>
        <v>1</v>
      </c>
      <c r="F107" s="38"/>
      <c r="G107" s="38"/>
      <c r="H107" s="38"/>
      <c r="I107" s="38">
        <v>22</v>
      </c>
      <c r="J107" s="39">
        <v>13</v>
      </c>
      <c r="K107" s="39">
        <f t="shared" si="19"/>
        <v>9</v>
      </c>
      <c r="L107" s="38">
        <v>4</v>
      </c>
      <c r="M107" s="40">
        <v>15</v>
      </c>
      <c r="N107" s="38">
        <v>15</v>
      </c>
      <c r="O107" s="38">
        <f t="shared" si="20"/>
        <v>28</v>
      </c>
      <c r="P107" s="18">
        <f t="shared" si="21"/>
        <v>28</v>
      </c>
      <c r="Q107" s="89">
        <v>0</v>
      </c>
      <c r="R107" s="18">
        <f t="shared" si="22"/>
        <v>28</v>
      </c>
      <c r="S107" s="18">
        <f t="shared" si="23"/>
        <v>0</v>
      </c>
      <c r="T107" s="18">
        <f t="shared" si="24"/>
        <v>0</v>
      </c>
    </row>
    <row r="108" spans="1:20" x14ac:dyDescent="0.25">
      <c r="A108" s="36">
        <v>107</v>
      </c>
      <c r="B108" s="36" t="s">
        <v>133</v>
      </c>
      <c r="C108" s="38">
        <f>VLOOKUP(B:B,Courts!B:C,2,FALSE())</f>
        <v>2</v>
      </c>
      <c r="D108" s="38">
        <f>VLOOKUP(B:B,Courts!B:E,4,FALSE())</f>
        <v>1</v>
      </c>
      <c r="E108" s="38">
        <f>VLOOKUP(B:B,Courts!B:D,3,FALSE())</f>
        <v>0</v>
      </c>
      <c r="F108" s="38"/>
      <c r="G108" s="38"/>
      <c r="H108" s="38"/>
      <c r="I108" s="38">
        <v>8</v>
      </c>
      <c r="J108" s="39">
        <v>3</v>
      </c>
      <c r="K108" s="39">
        <f t="shared" si="19"/>
        <v>5</v>
      </c>
      <c r="L108" s="38">
        <v>3</v>
      </c>
      <c r="M108" s="40">
        <v>0</v>
      </c>
      <c r="N108" s="38">
        <v>0</v>
      </c>
      <c r="O108" s="38">
        <f t="shared" si="20"/>
        <v>8</v>
      </c>
      <c r="P108" s="18">
        <f t="shared" si="21"/>
        <v>4</v>
      </c>
      <c r="Q108" s="89">
        <v>0</v>
      </c>
      <c r="R108" s="18">
        <f t="shared" si="22"/>
        <v>4</v>
      </c>
      <c r="S108" s="18">
        <f t="shared" si="23"/>
        <v>4</v>
      </c>
      <c r="T108" s="18">
        <f t="shared" si="24"/>
        <v>0</v>
      </c>
    </row>
    <row r="109" spans="1:20" x14ac:dyDescent="0.25">
      <c r="A109" s="36">
        <v>108</v>
      </c>
      <c r="B109" s="36" t="s">
        <v>134</v>
      </c>
      <c r="C109" s="38">
        <f>VLOOKUP(B:B,Courts!B:C,2,FALSE())</f>
        <v>3</v>
      </c>
      <c r="D109" s="38">
        <f>VLOOKUP(B:B,Courts!B:E,4,FALSE())</f>
        <v>0</v>
      </c>
      <c r="E109" s="38">
        <f>VLOOKUP(B:B,Courts!B:D,3,FALSE())</f>
        <v>2</v>
      </c>
      <c r="F109" s="38"/>
      <c r="G109" s="38"/>
      <c r="H109" s="38"/>
      <c r="I109" s="38">
        <v>0</v>
      </c>
      <c r="J109" s="39"/>
      <c r="K109" s="39">
        <f t="shared" si="19"/>
        <v>0</v>
      </c>
      <c r="L109" s="38">
        <v>0</v>
      </c>
      <c r="M109" s="40">
        <v>9</v>
      </c>
      <c r="N109" s="38">
        <v>4</v>
      </c>
      <c r="O109" s="38">
        <f t="shared" si="20"/>
        <v>4</v>
      </c>
      <c r="P109" s="18">
        <f t="shared" si="21"/>
        <v>10</v>
      </c>
      <c r="Q109" s="89">
        <v>0</v>
      </c>
      <c r="R109" s="18">
        <f t="shared" si="22"/>
        <v>10</v>
      </c>
      <c r="S109" s="18">
        <f t="shared" si="23"/>
        <v>-6</v>
      </c>
      <c r="T109" s="18">
        <v>2</v>
      </c>
    </row>
    <row r="110" spans="1:20" x14ac:dyDescent="0.25">
      <c r="A110" s="36">
        <v>109</v>
      </c>
      <c r="B110" s="37" t="s">
        <v>135</v>
      </c>
      <c r="C110" s="38">
        <f>VLOOKUP(B:B,Courts!B:C,2,FALSE())</f>
        <v>13</v>
      </c>
      <c r="D110" s="38">
        <f>VLOOKUP(B:B,Courts!B:E,4,FALSE())</f>
        <v>0</v>
      </c>
      <c r="E110" s="38">
        <f>VLOOKUP(B:B,Courts!B:D,3,FALSE())</f>
        <v>4</v>
      </c>
      <c r="F110" s="38">
        <v>5</v>
      </c>
      <c r="G110" s="38"/>
      <c r="H110" s="38"/>
      <c r="I110" s="38">
        <v>26</v>
      </c>
      <c r="J110" s="39"/>
      <c r="K110" s="39">
        <f t="shared" si="19"/>
        <v>26</v>
      </c>
      <c r="L110" s="38">
        <v>5</v>
      </c>
      <c r="M110" s="40">
        <v>21</v>
      </c>
      <c r="N110" s="38">
        <v>0</v>
      </c>
      <c r="O110" s="38">
        <f t="shared" si="20"/>
        <v>31</v>
      </c>
      <c r="P110" s="18">
        <f t="shared" si="21"/>
        <v>34</v>
      </c>
      <c r="Q110" s="89">
        <v>0</v>
      </c>
      <c r="R110" s="18">
        <f t="shared" si="22"/>
        <v>34</v>
      </c>
      <c r="S110" s="18">
        <f t="shared" si="23"/>
        <v>-3</v>
      </c>
      <c r="T110" s="18">
        <v>0</v>
      </c>
    </row>
    <row r="111" spans="1:20" x14ac:dyDescent="0.25">
      <c r="A111" s="36">
        <v>110</v>
      </c>
      <c r="B111" s="36" t="s">
        <v>136</v>
      </c>
      <c r="C111" s="38">
        <f>VLOOKUP(B:B,Courts!B:C,2,FALSE())</f>
        <v>2</v>
      </c>
      <c r="D111" s="38">
        <f>VLOOKUP(B:B,Courts!B:E,4,FALSE())</f>
        <v>1</v>
      </c>
      <c r="E111" s="38">
        <f>VLOOKUP(B:B,Courts!B:D,3,FALSE())</f>
        <v>1</v>
      </c>
      <c r="F111" s="38"/>
      <c r="G111" s="38"/>
      <c r="H111" s="38"/>
      <c r="I111" s="38">
        <v>6</v>
      </c>
      <c r="J111" s="39"/>
      <c r="K111" s="39">
        <f t="shared" si="19"/>
        <v>6</v>
      </c>
      <c r="L111" s="38">
        <v>3</v>
      </c>
      <c r="M111" s="40">
        <v>2</v>
      </c>
      <c r="N111" s="38">
        <v>0</v>
      </c>
      <c r="O111" s="38">
        <f t="shared" si="20"/>
        <v>9</v>
      </c>
      <c r="P111" s="18">
        <f t="shared" si="21"/>
        <v>6</v>
      </c>
      <c r="Q111" s="89">
        <v>0</v>
      </c>
      <c r="R111" s="18">
        <f t="shared" si="22"/>
        <v>6</v>
      </c>
      <c r="S111" s="18">
        <f t="shared" si="23"/>
        <v>3</v>
      </c>
      <c r="T111" s="18">
        <f t="shared" si="24"/>
        <v>0</v>
      </c>
    </row>
    <row r="112" spans="1:20" x14ac:dyDescent="0.25">
      <c r="A112" s="36">
        <v>111</v>
      </c>
      <c r="B112" s="36" t="s">
        <v>137</v>
      </c>
      <c r="C112" s="38">
        <f>VLOOKUP(B:B,Courts!B:C,2,FALSE())</f>
        <v>2</v>
      </c>
      <c r="D112" s="38">
        <f>VLOOKUP(B:B,Courts!B:E,4,FALSE())</f>
        <v>1</v>
      </c>
      <c r="E112" s="38">
        <f>VLOOKUP(B:B,Courts!B:D,3,FALSE())</f>
        <v>0</v>
      </c>
      <c r="F112" s="38"/>
      <c r="G112" s="38"/>
      <c r="H112" s="38"/>
      <c r="I112" s="38">
        <v>4</v>
      </c>
      <c r="J112" s="39"/>
      <c r="K112" s="39">
        <f t="shared" si="19"/>
        <v>4</v>
      </c>
      <c r="L112" s="38">
        <v>3</v>
      </c>
      <c r="M112" s="40">
        <v>1</v>
      </c>
      <c r="N112" s="38">
        <v>0</v>
      </c>
      <c r="O112" s="38">
        <f t="shared" si="20"/>
        <v>7</v>
      </c>
      <c r="P112" s="18">
        <f t="shared" si="21"/>
        <v>4</v>
      </c>
      <c r="Q112" s="89">
        <v>0</v>
      </c>
      <c r="R112" s="18">
        <f t="shared" si="22"/>
        <v>4</v>
      </c>
      <c r="S112" s="18">
        <f t="shared" si="23"/>
        <v>3</v>
      </c>
      <c r="T112" s="18">
        <f t="shared" si="24"/>
        <v>0</v>
      </c>
    </row>
    <row r="113" spans="1:20" x14ac:dyDescent="0.25">
      <c r="A113" s="36">
        <v>112</v>
      </c>
      <c r="B113" s="37" t="s">
        <v>138</v>
      </c>
      <c r="C113" s="38">
        <f>VLOOKUP(B:B,Courts!B:C,2,FALSE())</f>
        <v>19</v>
      </c>
      <c r="D113" s="38">
        <f>VLOOKUP(B:B,Courts!B:E,4,FALSE())</f>
        <v>0</v>
      </c>
      <c r="E113" s="38">
        <f>VLOOKUP(B:B,Courts!B:D,3,FALSE())</f>
        <v>3</v>
      </c>
      <c r="F113" s="38">
        <v>10</v>
      </c>
      <c r="G113" s="38"/>
      <c r="H113" s="38"/>
      <c r="I113" s="38">
        <v>34</v>
      </c>
      <c r="J113" s="39"/>
      <c r="K113" s="39">
        <f t="shared" si="19"/>
        <v>34</v>
      </c>
      <c r="L113" s="38">
        <v>8</v>
      </c>
      <c r="M113" s="40">
        <v>20</v>
      </c>
      <c r="N113" s="38">
        <v>0</v>
      </c>
      <c r="O113" s="38">
        <f t="shared" si="20"/>
        <v>42</v>
      </c>
      <c r="P113" s="18">
        <f t="shared" si="21"/>
        <v>44</v>
      </c>
      <c r="Q113" s="89">
        <v>0</v>
      </c>
      <c r="R113" s="18">
        <f t="shared" si="22"/>
        <v>44</v>
      </c>
      <c r="S113" s="18">
        <f t="shared" si="23"/>
        <v>-2</v>
      </c>
      <c r="T113" s="18">
        <f t="shared" si="24"/>
        <v>2</v>
      </c>
    </row>
    <row r="114" spans="1:20" x14ac:dyDescent="0.25">
      <c r="A114" s="36">
        <v>113</v>
      </c>
      <c r="B114" s="36" t="s">
        <v>139</v>
      </c>
      <c r="C114" s="38">
        <f>VLOOKUP(B:B,Courts!B:C,2,FALSE())</f>
        <v>3</v>
      </c>
      <c r="D114" s="38">
        <f>VLOOKUP(B:B,Courts!B:E,4,FALSE())</f>
        <v>1</v>
      </c>
      <c r="E114" s="38">
        <f>VLOOKUP(B:B,Courts!B:D,3,FALSE())</f>
        <v>1</v>
      </c>
      <c r="F114" s="38">
        <v>1</v>
      </c>
      <c r="G114" s="38"/>
      <c r="H114" s="38"/>
      <c r="I114" s="38">
        <v>2</v>
      </c>
      <c r="J114" s="39"/>
      <c r="K114" s="39">
        <f t="shared" si="19"/>
        <v>2</v>
      </c>
      <c r="L114" s="38">
        <v>5</v>
      </c>
      <c r="M114" s="40">
        <v>5</v>
      </c>
      <c r="N114" s="38">
        <v>0</v>
      </c>
      <c r="O114" s="38">
        <f t="shared" si="20"/>
        <v>7</v>
      </c>
      <c r="P114" s="18">
        <f t="shared" si="21"/>
        <v>8</v>
      </c>
      <c r="Q114" s="89">
        <v>0</v>
      </c>
      <c r="R114" s="18">
        <f t="shared" si="22"/>
        <v>8</v>
      </c>
      <c r="S114" s="18">
        <f t="shared" si="23"/>
        <v>-1</v>
      </c>
      <c r="T114" s="18">
        <f t="shared" si="24"/>
        <v>1</v>
      </c>
    </row>
    <row r="115" spans="1:20" x14ac:dyDescent="0.25">
      <c r="A115" s="36">
        <v>114</v>
      </c>
      <c r="B115" s="37" t="s">
        <v>140</v>
      </c>
      <c r="C115" s="38">
        <f>VLOOKUP(B:B,Courts!B:C,2,FALSE())</f>
        <v>11</v>
      </c>
      <c r="D115" s="38">
        <f>VLOOKUP(B:B,Courts!B:E,4,FALSE())</f>
        <v>0</v>
      </c>
      <c r="E115" s="38">
        <f>VLOOKUP(B:B,Courts!B:D,3,FALSE())</f>
        <v>1</v>
      </c>
      <c r="F115" s="38">
        <v>1</v>
      </c>
      <c r="G115" s="38"/>
      <c r="H115" s="38"/>
      <c r="I115" s="38">
        <v>20</v>
      </c>
      <c r="J115" s="39"/>
      <c r="K115" s="39">
        <f t="shared" si="19"/>
        <v>20</v>
      </c>
      <c r="L115" s="38">
        <v>5</v>
      </c>
      <c r="M115" s="40">
        <v>10</v>
      </c>
      <c r="N115" s="38">
        <v>0</v>
      </c>
      <c r="O115" s="38">
        <f t="shared" si="20"/>
        <v>25</v>
      </c>
      <c r="P115" s="18">
        <f t="shared" si="21"/>
        <v>24</v>
      </c>
      <c r="Q115" s="89">
        <v>0</v>
      </c>
      <c r="R115" s="18">
        <f t="shared" si="22"/>
        <v>24</v>
      </c>
      <c r="S115" s="18">
        <f t="shared" si="23"/>
        <v>1</v>
      </c>
      <c r="T115" s="18">
        <f t="shared" si="24"/>
        <v>0</v>
      </c>
    </row>
    <row r="116" spans="1:20" x14ac:dyDescent="0.25">
      <c r="A116" s="36">
        <v>115</v>
      </c>
      <c r="B116" s="36" t="s">
        <v>141</v>
      </c>
      <c r="C116" s="38">
        <f>VLOOKUP(B:B,Courts!B:C,2,FALSE())</f>
        <v>2</v>
      </c>
      <c r="D116" s="38">
        <f>VLOOKUP(B:B,Courts!B:E,4,FALSE())</f>
        <v>0</v>
      </c>
      <c r="E116" s="38">
        <f>VLOOKUP(B:B,Courts!B:D,3,FALSE())</f>
        <v>0</v>
      </c>
      <c r="F116" s="38"/>
      <c r="G116" s="38"/>
      <c r="H116" s="38"/>
      <c r="I116" s="38">
        <v>4</v>
      </c>
      <c r="J116" s="39"/>
      <c r="K116" s="39">
        <f t="shared" si="19"/>
        <v>4</v>
      </c>
      <c r="L116" s="38">
        <v>3</v>
      </c>
      <c r="M116" s="40">
        <v>0</v>
      </c>
      <c r="N116" s="38">
        <v>0</v>
      </c>
      <c r="O116" s="38">
        <f t="shared" si="20"/>
        <v>7</v>
      </c>
      <c r="P116" s="18">
        <f t="shared" si="21"/>
        <v>4</v>
      </c>
      <c r="Q116" s="89">
        <v>0</v>
      </c>
      <c r="R116" s="18">
        <f t="shared" si="22"/>
        <v>4</v>
      </c>
      <c r="S116" s="18">
        <f t="shared" si="23"/>
        <v>3</v>
      </c>
      <c r="T116" s="18">
        <f t="shared" si="24"/>
        <v>0</v>
      </c>
    </row>
    <row r="117" spans="1:20" x14ac:dyDescent="0.25">
      <c r="A117" s="36">
        <v>116</v>
      </c>
      <c r="B117" s="37" t="s">
        <v>1</v>
      </c>
      <c r="C117" s="38">
        <f>VLOOKUP(B:B,Courts!B:C,2,FALSE())</f>
        <v>18</v>
      </c>
      <c r="D117" s="38">
        <f>VLOOKUP(B:B,Courts!B:E,4,FALSE())</f>
        <v>0</v>
      </c>
      <c r="E117" s="38">
        <f>VLOOKUP(B:B,Courts!B:D,3,FALSE())</f>
        <v>3</v>
      </c>
      <c r="F117" s="38">
        <v>4</v>
      </c>
      <c r="G117" s="38"/>
      <c r="H117" s="38"/>
      <c r="I117" s="38">
        <v>34</v>
      </c>
      <c r="J117" s="39"/>
      <c r="K117" s="39">
        <f t="shared" si="19"/>
        <v>34</v>
      </c>
      <c r="L117" s="38">
        <v>6</v>
      </c>
      <c r="M117" s="40">
        <v>22</v>
      </c>
      <c r="N117" s="38">
        <v>0</v>
      </c>
      <c r="O117" s="38">
        <f t="shared" si="20"/>
        <v>40</v>
      </c>
      <c r="P117" s="18">
        <f t="shared" si="21"/>
        <v>42</v>
      </c>
      <c r="Q117" s="89">
        <v>0</v>
      </c>
      <c r="R117" s="18">
        <f t="shared" si="22"/>
        <v>42</v>
      </c>
      <c r="S117" s="18">
        <f t="shared" si="23"/>
        <v>-2</v>
      </c>
      <c r="T117" s="18">
        <v>0</v>
      </c>
    </row>
    <row r="118" spans="1:20" x14ac:dyDescent="0.25">
      <c r="A118" s="36">
        <v>117</v>
      </c>
      <c r="B118" s="36" t="s">
        <v>142</v>
      </c>
      <c r="C118" s="38">
        <f>VLOOKUP(B:B,Courts!B:C,2,FALSE())</f>
        <v>2</v>
      </c>
      <c r="D118" s="38">
        <f>VLOOKUP(B:B,Courts!B:E,4,FALSE())</f>
        <v>1</v>
      </c>
      <c r="E118" s="38">
        <f>VLOOKUP(B:B,Courts!B:D,3,FALSE())</f>
        <v>0</v>
      </c>
      <c r="F118" s="38"/>
      <c r="G118" s="38"/>
      <c r="H118" s="38"/>
      <c r="I118" s="38">
        <v>4</v>
      </c>
      <c r="J118" s="39"/>
      <c r="K118" s="39">
        <f t="shared" si="19"/>
        <v>4</v>
      </c>
      <c r="L118" s="38">
        <v>2</v>
      </c>
      <c r="M118" s="40">
        <v>2</v>
      </c>
      <c r="N118" s="38">
        <v>0</v>
      </c>
      <c r="O118" s="38">
        <f t="shared" si="20"/>
        <v>6</v>
      </c>
      <c r="P118" s="18">
        <f t="shared" si="21"/>
        <v>4</v>
      </c>
      <c r="Q118" s="89">
        <v>0</v>
      </c>
      <c r="R118" s="18">
        <f t="shared" si="22"/>
        <v>4</v>
      </c>
      <c r="S118" s="18">
        <f t="shared" si="23"/>
        <v>2</v>
      </c>
      <c r="T118" s="18">
        <f t="shared" si="24"/>
        <v>0</v>
      </c>
    </row>
    <row r="119" spans="1:20" x14ac:dyDescent="0.25">
      <c r="A119" s="36">
        <v>118</v>
      </c>
      <c r="B119" s="36" t="s">
        <v>143</v>
      </c>
      <c r="C119" s="38">
        <f>VLOOKUP(B:B,Courts!B:C,2,FALSE())</f>
        <v>2</v>
      </c>
      <c r="D119" s="38">
        <f>VLOOKUP(B:B,Courts!B:E,4,FALSE())</f>
        <v>1</v>
      </c>
      <c r="E119" s="38">
        <f>VLOOKUP(B:B,Courts!B:D,3,FALSE())</f>
        <v>0</v>
      </c>
      <c r="F119" s="38"/>
      <c r="G119" s="38"/>
      <c r="H119" s="38"/>
      <c r="I119" s="38">
        <v>0</v>
      </c>
      <c r="J119" s="39"/>
      <c r="K119" s="39">
        <f t="shared" si="19"/>
        <v>0</v>
      </c>
      <c r="L119" s="38">
        <v>5</v>
      </c>
      <c r="M119" s="40">
        <v>3</v>
      </c>
      <c r="N119" s="38">
        <v>0</v>
      </c>
      <c r="O119" s="38">
        <f t="shared" si="20"/>
        <v>5</v>
      </c>
      <c r="P119" s="18">
        <f t="shared" si="21"/>
        <v>4</v>
      </c>
      <c r="Q119" s="89">
        <v>0</v>
      </c>
      <c r="R119" s="18">
        <f t="shared" si="22"/>
        <v>4</v>
      </c>
      <c r="S119" s="18">
        <f t="shared" si="23"/>
        <v>1</v>
      </c>
      <c r="T119" s="18">
        <f t="shared" si="24"/>
        <v>0</v>
      </c>
    </row>
    <row r="120" spans="1:20" x14ac:dyDescent="0.25">
      <c r="A120" s="36">
        <v>119</v>
      </c>
      <c r="B120" s="37" t="s">
        <v>144</v>
      </c>
      <c r="C120" s="38">
        <f>VLOOKUP(B:B,Courts!B:C,2,FALSE())</f>
        <v>19</v>
      </c>
      <c r="D120" s="38">
        <f>VLOOKUP(B:B,Courts!B:E,4,FALSE())</f>
        <v>0</v>
      </c>
      <c r="E120" s="38">
        <f>VLOOKUP(B:B,Courts!B:D,3,FALSE())</f>
        <v>5</v>
      </c>
      <c r="F120" s="38">
        <v>21</v>
      </c>
      <c r="G120" s="38"/>
      <c r="H120" s="38"/>
      <c r="I120" s="38">
        <v>34</v>
      </c>
      <c r="J120" s="39">
        <v>2</v>
      </c>
      <c r="K120" s="39">
        <f t="shared" si="19"/>
        <v>32</v>
      </c>
      <c r="L120" s="38">
        <v>7</v>
      </c>
      <c r="M120" s="40">
        <v>26</v>
      </c>
      <c r="N120" s="38">
        <v>3</v>
      </c>
      <c r="O120" s="38">
        <f t="shared" si="20"/>
        <v>42</v>
      </c>
      <c r="P120" s="18">
        <f t="shared" si="21"/>
        <v>48</v>
      </c>
      <c r="Q120" s="89">
        <v>0</v>
      </c>
      <c r="R120" s="18">
        <f t="shared" si="22"/>
        <v>48</v>
      </c>
      <c r="S120" s="18">
        <f t="shared" si="23"/>
        <v>-6</v>
      </c>
      <c r="T120" s="18">
        <v>4</v>
      </c>
    </row>
    <row r="121" spans="1:20" x14ac:dyDescent="0.25">
      <c r="A121" s="36">
        <v>120</v>
      </c>
      <c r="B121" s="36" t="s">
        <v>145</v>
      </c>
      <c r="C121" s="38">
        <f>VLOOKUP(B:B,Courts!B:C,2,FALSE())</f>
        <v>1</v>
      </c>
      <c r="D121" s="38">
        <f>VLOOKUP(B:B,Courts!B:E,4,FALSE())</f>
        <v>1</v>
      </c>
      <c r="E121" s="38">
        <f>VLOOKUP(B:B,Courts!B:D,3,FALSE())</f>
        <v>0</v>
      </c>
      <c r="F121" s="38">
        <v>2</v>
      </c>
      <c r="G121" s="38"/>
      <c r="H121" s="38"/>
      <c r="I121" s="38">
        <v>2</v>
      </c>
      <c r="J121" s="39"/>
      <c r="K121" s="39">
        <f t="shared" si="19"/>
        <v>2</v>
      </c>
      <c r="L121" s="38">
        <v>2</v>
      </c>
      <c r="M121" s="40">
        <v>2</v>
      </c>
      <c r="N121" s="38">
        <v>0</v>
      </c>
      <c r="O121" s="38">
        <f t="shared" si="20"/>
        <v>4</v>
      </c>
      <c r="P121" s="18">
        <f t="shared" si="21"/>
        <v>2</v>
      </c>
      <c r="Q121" s="89">
        <v>0</v>
      </c>
      <c r="R121" s="18">
        <f t="shared" si="22"/>
        <v>2</v>
      </c>
      <c r="S121" s="18">
        <f t="shared" si="23"/>
        <v>2</v>
      </c>
      <c r="T121" s="18">
        <f t="shared" si="24"/>
        <v>0</v>
      </c>
    </row>
    <row r="122" spans="1:20" x14ac:dyDescent="0.25">
      <c r="A122" s="36">
        <v>121</v>
      </c>
      <c r="B122" s="37" t="s">
        <v>146</v>
      </c>
      <c r="C122" s="38">
        <f>VLOOKUP(B:B,Courts!B:C,2,FALSE())</f>
        <v>15</v>
      </c>
      <c r="D122" s="38">
        <f>VLOOKUP(B:B,Courts!B:E,4,FALSE())</f>
        <v>0</v>
      </c>
      <c r="E122" s="38">
        <f>VLOOKUP(B:B,Courts!B:D,3,FALSE())</f>
        <v>2</v>
      </c>
      <c r="F122" s="38">
        <v>13</v>
      </c>
      <c r="G122" s="38"/>
      <c r="H122" s="38"/>
      <c r="I122" s="38">
        <v>28</v>
      </c>
      <c r="J122" s="39">
        <v>5</v>
      </c>
      <c r="K122" s="39">
        <f t="shared" si="19"/>
        <v>23</v>
      </c>
      <c r="L122" s="38">
        <v>5</v>
      </c>
      <c r="M122" s="40">
        <v>26</v>
      </c>
      <c r="N122" s="38">
        <v>0</v>
      </c>
      <c r="O122" s="38">
        <f t="shared" si="20"/>
        <v>28</v>
      </c>
      <c r="P122" s="18">
        <f t="shared" si="21"/>
        <v>34</v>
      </c>
      <c r="Q122" s="89">
        <v>0</v>
      </c>
      <c r="R122" s="18">
        <f t="shared" si="22"/>
        <v>34</v>
      </c>
      <c r="S122" s="18">
        <f t="shared" si="23"/>
        <v>-6</v>
      </c>
      <c r="T122" s="18">
        <v>1</v>
      </c>
    </row>
    <row r="123" spans="1:20" x14ac:dyDescent="0.25">
      <c r="A123" s="36">
        <v>122</v>
      </c>
      <c r="B123" s="36" t="s">
        <v>147</v>
      </c>
      <c r="C123" s="38">
        <f>VLOOKUP(B:B,Courts!B:C,2,FALSE())</f>
        <v>2</v>
      </c>
      <c r="D123" s="38">
        <f>VLOOKUP(B:B,Courts!B:E,4,FALSE())</f>
        <v>1</v>
      </c>
      <c r="E123" s="38">
        <f>VLOOKUP(B:B,Courts!B:D,3,FALSE())</f>
        <v>1</v>
      </c>
      <c r="F123" s="38">
        <v>3</v>
      </c>
      <c r="G123" s="38"/>
      <c r="H123" s="38"/>
      <c r="I123" s="38">
        <v>6</v>
      </c>
      <c r="J123" s="39">
        <v>1</v>
      </c>
      <c r="K123" s="39">
        <f t="shared" si="19"/>
        <v>5</v>
      </c>
      <c r="L123" s="38">
        <v>3</v>
      </c>
      <c r="M123" s="40">
        <v>2</v>
      </c>
      <c r="N123" s="38">
        <v>0</v>
      </c>
      <c r="O123" s="38">
        <f t="shared" si="20"/>
        <v>8</v>
      </c>
      <c r="P123" s="18">
        <f t="shared" si="21"/>
        <v>6</v>
      </c>
      <c r="Q123" s="89">
        <v>0</v>
      </c>
      <c r="R123" s="18">
        <f t="shared" si="22"/>
        <v>6</v>
      </c>
      <c r="S123" s="18">
        <f t="shared" si="23"/>
        <v>2</v>
      </c>
      <c r="T123" s="18">
        <f t="shared" si="24"/>
        <v>0</v>
      </c>
    </row>
    <row r="124" spans="1:20" x14ac:dyDescent="0.25">
      <c r="A124" s="36">
        <v>123</v>
      </c>
      <c r="B124" s="36" t="s">
        <v>148</v>
      </c>
      <c r="C124" s="38">
        <f>VLOOKUP(B:B,Courts!B:C,2,FALSE())</f>
        <v>2</v>
      </c>
      <c r="D124" s="38">
        <f>VLOOKUP(B:B,Courts!B:E,4,FALSE())</f>
        <v>1</v>
      </c>
      <c r="E124" s="38">
        <f>VLOOKUP(B:B,Courts!B:D,3,FALSE())</f>
        <v>0</v>
      </c>
      <c r="F124" s="38">
        <v>4</v>
      </c>
      <c r="G124" s="38"/>
      <c r="H124" s="38"/>
      <c r="I124" s="38">
        <v>4</v>
      </c>
      <c r="J124" s="39"/>
      <c r="K124" s="39">
        <f t="shared" si="19"/>
        <v>4</v>
      </c>
      <c r="L124" s="38">
        <v>3</v>
      </c>
      <c r="M124" s="40">
        <v>1</v>
      </c>
      <c r="N124" s="38">
        <v>0</v>
      </c>
      <c r="O124" s="38">
        <f t="shared" si="20"/>
        <v>7</v>
      </c>
      <c r="P124" s="18">
        <f t="shared" si="21"/>
        <v>4</v>
      </c>
      <c r="Q124" s="89">
        <v>0</v>
      </c>
      <c r="R124" s="18">
        <f t="shared" si="22"/>
        <v>4</v>
      </c>
      <c r="S124" s="18">
        <f t="shared" si="23"/>
        <v>3</v>
      </c>
      <c r="T124" s="18">
        <f t="shared" si="24"/>
        <v>0</v>
      </c>
    </row>
    <row r="125" spans="1:20" x14ac:dyDescent="0.25">
      <c r="A125" s="36">
        <v>124</v>
      </c>
      <c r="B125" s="36" t="s">
        <v>149</v>
      </c>
      <c r="C125" s="38">
        <f>VLOOKUP(B:B,Courts!B:C,2,FALSE())</f>
        <v>0</v>
      </c>
      <c r="D125" s="38">
        <f>VLOOKUP(B:B,Courts!B:E,4,FALSE())</f>
        <v>1</v>
      </c>
      <c r="E125" s="38">
        <f>VLOOKUP(B:B,Courts!B:D,3,FALSE())</f>
        <v>0</v>
      </c>
      <c r="F125" s="38"/>
      <c r="G125" s="38"/>
      <c r="H125" s="38"/>
      <c r="I125" s="38">
        <v>0</v>
      </c>
      <c r="J125" s="39"/>
      <c r="K125" s="39">
        <f t="shared" si="19"/>
        <v>0</v>
      </c>
      <c r="L125" s="38">
        <v>0</v>
      </c>
      <c r="M125" s="40">
        <v>0</v>
      </c>
      <c r="N125" s="38">
        <v>0</v>
      </c>
      <c r="O125" s="38">
        <f t="shared" si="20"/>
        <v>0</v>
      </c>
      <c r="P125" s="18">
        <f t="shared" si="21"/>
        <v>0</v>
      </c>
      <c r="Q125" s="89">
        <v>0</v>
      </c>
      <c r="R125" s="18">
        <f t="shared" si="22"/>
        <v>0</v>
      </c>
      <c r="S125" s="18">
        <f t="shared" si="23"/>
        <v>0</v>
      </c>
      <c r="T125" s="18">
        <v>0</v>
      </c>
    </row>
    <row r="126" spans="1:20" x14ac:dyDescent="0.25">
      <c r="A126" s="36">
        <v>125</v>
      </c>
      <c r="B126" s="37" t="s">
        <v>150</v>
      </c>
      <c r="C126" s="38">
        <f>VLOOKUP(B:B,Courts!B:C,2,FALSE())</f>
        <v>18</v>
      </c>
      <c r="D126" s="38">
        <f>VLOOKUP(B:B,Courts!B:E,4,FALSE())</f>
        <v>0</v>
      </c>
      <c r="E126" s="38">
        <f>VLOOKUP(B:B,Courts!B:D,3,FALSE())</f>
        <v>3</v>
      </c>
      <c r="F126" s="38">
        <v>15</v>
      </c>
      <c r="G126" s="38"/>
      <c r="H126" s="38"/>
      <c r="I126" s="38">
        <v>32</v>
      </c>
      <c r="J126" s="39">
        <v>13</v>
      </c>
      <c r="K126" s="39">
        <f t="shared" si="19"/>
        <v>19</v>
      </c>
      <c r="L126" s="38">
        <v>10</v>
      </c>
      <c r="M126" s="40">
        <v>18</v>
      </c>
      <c r="N126" s="38">
        <v>9</v>
      </c>
      <c r="O126" s="38">
        <f t="shared" si="20"/>
        <v>38</v>
      </c>
      <c r="P126" s="18">
        <f t="shared" si="21"/>
        <v>42</v>
      </c>
      <c r="Q126" s="89">
        <v>0</v>
      </c>
      <c r="R126" s="18">
        <f t="shared" si="22"/>
        <v>42</v>
      </c>
      <c r="S126" s="18">
        <f t="shared" si="23"/>
        <v>-4</v>
      </c>
      <c r="T126" s="18">
        <f t="shared" si="24"/>
        <v>4</v>
      </c>
    </row>
    <row r="127" spans="1:20" x14ac:dyDescent="0.25">
      <c r="A127" s="36">
        <v>126</v>
      </c>
      <c r="B127" s="36" t="s">
        <v>151</v>
      </c>
      <c r="C127" s="38">
        <f>VLOOKUP(B:B,Courts!B:C,2,FALSE())</f>
        <v>2</v>
      </c>
      <c r="D127" s="38">
        <f>VLOOKUP(B:B,Courts!B:E,4,FALSE())</f>
        <v>1</v>
      </c>
      <c r="E127" s="38">
        <f>VLOOKUP(B:B,Courts!B:D,3,FALSE())</f>
        <v>0</v>
      </c>
      <c r="F127" s="38">
        <v>3</v>
      </c>
      <c r="G127" s="38"/>
      <c r="H127" s="38"/>
      <c r="I127" s="38">
        <v>2</v>
      </c>
      <c r="J127" s="39"/>
      <c r="K127" s="39">
        <f t="shared" si="19"/>
        <v>2</v>
      </c>
      <c r="L127" s="38">
        <v>2</v>
      </c>
      <c r="M127" s="40">
        <v>3</v>
      </c>
      <c r="N127" s="38">
        <v>0</v>
      </c>
      <c r="O127" s="38">
        <f t="shared" si="20"/>
        <v>4</v>
      </c>
      <c r="P127" s="18">
        <f t="shared" si="21"/>
        <v>4</v>
      </c>
      <c r="Q127" s="89">
        <v>0</v>
      </c>
      <c r="R127" s="18">
        <f t="shared" si="22"/>
        <v>4</v>
      </c>
      <c r="S127" s="18">
        <f t="shared" si="23"/>
        <v>0</v>
      </c>
      <c r="T127" s="18">
        <f t="shared" si="24"/>
        <v>0</v>
      </c>
    </row>
    <row r="128" spans="1:20" x14ac:dyDescent="0.25">
      <c r="A128" s="36">
        <v>127</v>
      </c>
      <c r="B128" s="36" t="s">
        <v>152</v>
      </c>
      <c r="C128" s="38">
        <f>VLOOKUP(B:B,Courts!B:C,2,FALSE())</f>
        <v>3</v>
      </c>
      <c r="D128" s="38">
        <f>VLOOKUP(B:B,Courts!B:E,4,FALSE())</f>
        <v>1</v>
      </c>
      <c r="E128" s="38">
        <f>VLOOKUP(B:B,Courts!B:D,3,FALSE())</f>
        <v>1</v>
      </c>
      <c r="F128" s="38">
        <v>2</v>
      </c>
      <c r="G128" s="38"/>
      <c r="H128" s="38"/>
      <c r="I128" s="38">
        <v>4</v>
      </c>
      <c r="J128" s="39">
        <v>1</v>
      </c>
      <c r="K128" s="39">
        <f t="shared" si="19"/>
        <v>3</v>
      </c>
      <c r="L128" s="38">
        <v>3</v>
      </c>
      <c r="M128" s="40">
        <v>6</v>
      </c>
      <c r="N128" s="38">
        <v>0</v>
      </c>
      <c r="O128" s="38">
        <f t="shared" si="20"/>
        <v>6</v>
      </c>
      <c r="P128" s="18">
        <f t="shared" si="21"/>
        <v>8</v>
      </c>
      <c r="Q128" s="89">
        <v>0</v>
      </c>
      <c r="R128" s="18">
        <f t="shared" si="22"/>
        <v>8</v>
      </c>
      <c r="S128" s="18">
        <f t="shared" si="23"/>
        <v>-2</v>
      </c>
      <c r="T128" s="18">
        <f t="shared" si="24"/>
        <v>2</v>
      </c>
    </row>
    <row r="129" spans="1:20" x14ac:dyDescent="0.25">
      <c r="A129" s="36">
        <v>128</v>
      </c>
      <c r="B129" s="36" t="s">
        <v>153</v>
      </c>
      <c r="C129" s="38">
        <f>VLOOKUP(B:B,Courts!B:C,2,FALSE())</f>
        <v>2</v>
      </c>
      <c r="D129" s="38">
        <f>VLOOKUP(B:B,Courts!B:E,4,FALSE())</f>
        <v>1</v>
      </c>
      <c r="E129" s="38">
        <f>VLOOKUP(B:B,Courts!B:D,3,FALSE())</f>
        <v>0</v>
      </c>
      <c r="F129" s="38">
        <v>1</v>
      </c>
      <c r="G129" s="38"/>
      <c r="H129" s="38"/>
      <c r="I129" s="38">
        <v>2</v>
      </c>
      <c r="J129" s="39"/>
      <c r="K129" s="39">
        <f t="shared" si="19"/>
        <v>2</v>
      </c>
      <c r="L129" s="38">
        <v>2</v>
      </c>
      <c r="M129" s="40">
        <v>4</v>
      </c>
      <c r="N129" s="38">
        <v>0</v>
      </c>
      <c r="O129" s="38">
        <f t="shared" si="20"/>
        <v>4</v>
      </c>
      <c r="P129" s="18">
        <f t="shared" si="21"/>
        <v>4</v>
      </c>
      <c r="Q129" s="89">
        <v>0</v>
      </c>
      <c r="R129" s="18">
        <f t="shared" si="22"/>
        <v>4</v>
      </c>
      <c r="S129" s="18">
        <f t="shared" si="23"/>
        <v>0</v>
      </c>
      <c r="T129" s="18">
        <f t="shared" si="24"/>
        <v>0</v>
      </c>
    </row>
    <row r="130" spans="1:20" ht="25.5" x14ac:dyDescent="0.25">
      <c r="A130" s="36">
        <v>129</v>
      </c>
      <c r="B130" s="37" t="s">
        <v>154</v>
      </c>
      <c r="C130" s="38">
        <f>VLOOKUP(B:B,Courts!B:C,2,FALSE())</f>
        <v>19</v>
      </c>
      <c r="D130" s="38">
        <f>VLOOKUP(B:B,Courts!B:E,4,FALSE())</f>
        <v>0</v>
      </c>
      <c r="E130" s="38">
        <f>VLOOKUP(B:B,Courts!B:D,3,FALSE())</f>
        <v>3</v>
      </c>
      <c r="F130" s="38"/>
      <c r="G130" s="38"/>
      <c r="H130" s="38"/>
      <c r="I130" s="38">
        <v>32</v>
      </c>
      <c r="J130" s="39"/>
      <c r="K130" s="39">
        <f t="shared" si="19"/>
        <v>32</v>
      </c>
      <c r="L130" s="38">
        <v>12</v>
      </c>
      <c r="M130" s="40">
        <v>18</v>
      </c>
      <c r="N130" s="38">
        <v>0</v>
      </c>
      <c r="O130" s="38">
        <f t="shared" si="20"/>
        <v>44</v>
      </c>
      <c r="P130" s="18">
        <f t="shared" si="21"/>
        <v>44</v>
      </c>
      <c r="Q130" s="89">
        <v>0</v>
      </c>
      <c r="R130" s="18">
        <f t="shared" si="22"/>
        <v>44</v>
      </c>
      <c r="S130" s="18">
        <f t="shared" si="23"/>
        <v>0</v>
      </c>
      <c r="T130" s="18">
        <f t="shared" si="24"/>
        <v>0</v>
      </c>
    </row>
    <row r="131" spans="1:20" x14ac:dyDescent="0.25">
      <c r="A131" s="36">
        <v>130</v>
      </c>
      <c r="B131" s="36" t="s">
        <v>155</v>
      </c>
      <c r="C131" s="38">
        <f>VLOOKUP(B:B,Courts!B:C,2,FALSE())</f>
        <v>4</v>
      </c>
      <c r="D131" s="38">
        <f>VLOOKUP(B:B,Courts!B:E,4,FALSE())</f>
        <v>1</v>
      </c>
      <c r="E131" s="38">
        <f>VLOOKUP(B:B,Courts!B:D,3,FALSE())</f>
        <v>2</v>
      </c>
      <c r="F131" s="38"/>
      <c r="G131" s="38"/>
      <c r="H131" s="38"/>
      <c r="I131" s="38">
        <v>8</v>
      </c>
      <c r="J131" s="39"/>
      <c r="K131" s="39">
        <f t="shared" si="19"/>
        <v>8</v>
      </c>
      <c r="L131" s="38">
        <v>4</v>
      </c>
      <c r="M131" s="40">
        <v>2</v>
      </c>
      <c r="N131" s="38">
        <v>0</v>
      </c>
      <c r="O131" s="38">
        <f t="shared" si="20"/>
        <v>12</v>
      </c>
      <c r="P131" s="18">
        <f t="shared" si="21"/>
        <v>12</v>
      </c>
      <c r="Q131" s="89">
        <v>0</v>
      </c>
      <c r="R131" s="18">
        <f t="shared" si="22"/>
        <v>12</v>
      </c>
      <c r="S131" s="18">
        <f t="shared" si="23"/>
        <v>0</v>
      </c>
      <c r="T131" s="18">
        <f t="shared" si="24"/>
        <v>0</v>
      </c>
    </row>
    <row r="132" spans="1:20" x14ac:dyDescent="0.25">
      <c r="J132" s="43"/>
      <c r="K132" s="43"/>
    </row>
    <row r="133" spans="1:20" ht="15.75" x14ac:dyDescent="0.25">
      <c r="B133" s="44" t="s">
        <v>156</v>
      </c>
      <c r="C133" s="45">
        <f t="shared" ref="C133:H133" si="25">SUM(C2:C131)</f>
        <v>1147</v>
      </c>
      <c r="D133" s="45">
        <f t="shared" si="25"/>
        <v>81</v>
      </c>
      <c r="E133" s="45">
        <f t="shared" si="25"/>
        <v>108</v>
      </c>
      <c r="F133" s="45">
        <f t="shared" si="25"/>
        <v>854</v>
      </c>
      <c r="G133" s="45">
        <f t="shared" si="25"/>
        <v>1</v>
      </c>
      <c r="H133" s="45">
        <f t="shared" si="25"/>
        <v>36</v>
      </c>
      <c r="I133" s="45">
        <v>1892</v>
      </c>
      <c r="J133" s="45">
        <f>SUM(J2:J131)</f>
        <v>189</v>
      </c>
      <c r="K133" s="45">
        <f>SUM(K2:K131)</f>
        <v>1703</v>
      </c>
      <c r="L133" s="45">
        <f>SUM(L2:L131)</f>
        <v>633</v>
      </c>
      <c r="M133" s="45">
        <f>SUM(M2:M131)</f>
        <v>1154</v>
      </c>
      <c r="N133" s="45">
        <f>SUM(N2:N131)</f>
        <v>202</v>
      </c>
      <c r="O133" s="45">
        <f t="shared" ref="O133:S133" si="26">SUM(O2:O131)</f>
        <v>2538</v>
      </c>
      <c r="P133" s="45">
        <f t="shared" si="26"/>
        <v>2510</v>
      </c>
      <c r="Q133" s="91">
        <f t="shared" si="26"/>
        <v>0</v>
      </c>
      <c r="R133" s="45">
        <f t="shared" si="26"/>
        <v>2510</v>
      </c>
      <c r="S133" s="45">
        <f t="shared" si="26"/>
        <v>28</v>
      </c>
      <c r="T133" s="45">
        <f>SUM(T2:T131)</f>
        <v>117</v>
      </c>
    </row>
    <row r="134" spans="1:20" ht="15.75" x14ac:dyDescent="0.25"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8"/>
      <c r="N134" s="47"/>
      <c r="O134" s="46"/>
      <c r="P134" s="46"/>
      <c r="Q134" s="92"/>
      <c r="R134" s="46"/>
      <c r="S134" s="46"/>
    </row>
    <row r="135" spans="1:20" ht="15.75" x14ac:dyDescent="0.25">
      <c r="A135" s="49">
        <v>1</v>
      </c>
      <c r="B135" s="50" t="s">
        <v>157</v>
      </c>
      <c r="C135" s="45">
        <f t="shared" ref="C135:H135" si="27">SUM(C2:C69)</f>
        <v>640</v>
      </c>
      <c r="D135" s="45">
        <f t="shared" ref="D135:E135" si="28">SUM(D2:D69)</f>
        <v>45</v>
      </c>
      <c r="E135" s="45">
        <f t="shared" si="28"/>
        <v>0</v>
      </c>
      <c r="F135" s="45">
        <f t="shared" si="27"/>
        <v>403</v>
      </c>
      <c r="G135" s="45">
        <f t="shared" si="27"/>
        <v>1</v>
      </c>
      <c r="H135" s="45">
        <f t="shared" si="27"/>
        <v>35</v>
      </c>
      <c r="I135" s="45">
        <f t="shared" ref="I135:S135" si="29">SUM(I2:I69)</f>
        <v>972</v>
      </c>
      <c r="J135" s="45">
        <f t="shared" si="29"/>
        <v>81</v>
      </c>
      <c r="K135" s="45">
        <f t="shared" si="29"/>
        <v>891</v>
      </c>
      <c r="L135" s="45">
        <f t="shared" si="29"/>
        <v>352</v>
      </c>
      <c r="M135" s="45">
        <f t="shared" si="29"/>
        <v>544</v>
      </c>
      <c r="N135" s="45">
        <f t="shared" si="29"/>
        <v>135</v>
      </c>
      <c r="O135" s="45">
        <f t="shared" si="29"/>
        <v>1378</v>
      </c>
      <c r="P135" s="45">
        <f t="shared" si="29"/>
        <v>1280</v>
      </c>
      <c r="Q135" s="91">
        <f t="shared" si="29"/>
        <v>0</v>
      </c>
      <c r="R135" s="45">
        <f t="shared" si="29"/>
        <v>1280</v>
      </c>
      <c r="S135" s="45">
        <f t="shared" si="29"/>
        <v>98</v>
      </c>
      <c r="T135" s="45">
        <f t="shared" ref="T135" si="30">SUM(T2:T69)</f>
        <v>7</v>
      </c>
    </row>
    <row r="136" spans="1:20" ht="15.75" x14ac:dyDescent="0.25">
      <c r="A136" s="49">
        <v>2</v>
      </c>
      <c r="B136" s="50" t="s">
        <v>158</v>
      </c>
      <c r="C136" s="45">
        <f t="shared" ref="C136:H136" si="31">SUM(C71:C131)</f>
        <v>479</v>
      </c>
      <c r="D136" s="45">
        <f t="shared" ref="D136:E136" si="32">SUM(D71:D131)</f>
        <v>36</v>
      </c>
      <c r="E136" s="45">
        <f t="shared" si="32"/>
        <v>108</v>
      </c>
      <c r="F136" s="45">
        <f t="shared" si="31"/>
        <v>361</v>
      </c>
      <c r="G136" s="45">
        <f t="shared" si="31"/>
        <v>0</v>
      </c>
      <c r="H136" s="45">
        <f t="shared" si="31"/>
        <v>1</v>
      </c>
      <c r="I136" s="45">
        <f t="shared" ref="I136:S136" si="33">SUM(I71:I131)</f>
        <v>862</v>
      </c>
      <c r="J136" s="45">
        <f t="shared" si="33"/>
        <v>103</v>
      </c>
      <c r="K136" s="45">
        <f t="shared" si="33"/>
        <v>759</v>
      </c>
      <c r="L136" s="45">
        <f t="shared" si="33"/>
        <v>269</v>
      </c>
      <c r="M136" s="45">
        <f t="shared" si="33"/>
        <v>590</v>
      </c>
      <c r="N136" s="45">
        <f t="shared" si="33"/>
        <v>67</v>
      </c>
      <c r="O136" s="45">
        <f t="shared" si="33"/>
        <v>1095</v>
      </c>
      <c r="P136" s="45">
        <f t="shared" si="33"/>
        <v>1174</v>
      </c>
      <c r="Q136" s="91">
        <f t="shared" si="33"/>
        <v>0</v>
      </c>
      <c r="R136" s="45">
        <f t="shared" si="33"/>
        <v>1174</v>
      </c>
      <c r="S136" s="45">
        <f t="shared" si="33"/>
        <v>-79</v>
      </c>
      <c r="T136" s="45">
        <f t="shared" ref="T136" si="34">SUM(T71:T131)</f>
        <v>110</v>
      </c>
    </row>
    <row r="137" spans="1:20" ht="15.75" x14ac:dyDescent="0.25">
      <c r="A137" s="49">
        <v>3</v>
      </c>
      <c r="B137" s="50" t="s">
        <v>97</v>
      </c>
      <c r="C137" s="45">
        <f t="shared" ref="C137:H137" si="35">SUM(C70)</f>
        <v>28</v>
      </c>
      <c r="D137" s="45">
        <f t="shared" ref="D137:E137" si="36">SUM(D70)</f>
        <v>0</v>
      </c>
      <c r="E137" s="45">
        <f t="shared" si="36"/>
        <v>0</v>
      </c>
      <c r="F137" s="45">
        <f t="shared" si="35"/>
        <v>90</v>
      </c>
      <c r="G137" s="45">
        <f t="shared" si="35"/>
        <v>0</v>
      </c>
      <c r="H137" s="45">
        <f t="shared" si="35"/>
        <v>0</v>
      </c>
      <c r="I137" s="45">
        <f t="shared" ref="I137:S137" si="37">SUM(I70)</f>
        <v>58</v>
      </c>
      <c r="J137" s="45">
        <f t="shared" si="37"/>
        <v>5</v>
      </c>
      <c r="K137" s="45">
        <f t="shared" si="37"/>
        <v>53</v>
      </c>
      <c r="L137" s="45">
        <f t="shared" si="37"/>
        <v>12</v>
      </c>
      <c r="M137" s="45">
        <f t="shared" si="37"/>
        <v>20</v>
      </c>
      <c r="N137" s="45">
        <f t="shared" si="37"/>
        <v>0</v>
      </c>
      <c r="O137" s="45">
        <f t="shared" si="37"/>
        <v>65</v>
      </c>
      <c r="P137" s="45">
        <f t="shared" si="37"/>
        <v>56</v>
      </c>
      <c r="Q137" s="91">
        <f t="shared" si="37"/>
        <v>0</v>
      </c>
      <c r="R137" s="45">
        <f t="shared" si="37"/>
        <v>56</v>
      </c>
      <c r="S137" s="45">
        <f t="shared" si="37"/>
        <v>9</v>
      </c>
      <c r="T137" s="45">
        <f t="shared" ref="T137" si="38">SUM(T70)</f>
        <v>0</v>
      </c>
    </row>
    <row r="138" spans="1:20" x14ac:dyDescent="0.25">
      <c r="A138" s="51"/>
      <c r="B138" s="52" t="str">
        <f t="shared" ref="B138:H138" si="39">B133</f>
        <v>Total</v>
      </c>
      <c r="C138" s="52">
        <f>SUM(C135:C137)</f>
        <v>1147</v>
      </c>
      <c r="D138" s="52">
        <f>SUM(D135:D137)</f>
        <v>81</v>
      </c>
      <c r="E138" s="52">
        <f>SUM(E135:E137)</f>
        <v>108</v>
      </c>
      <c r="F138" s="52">
        <f t="shared" si="39"/>
        <v>854</v>
      </c>
      <c r="G138" s="52">
        <f t="shared" si="39"/>
        <v>1</v>
      </c>
      <c r="H138" s="52">
        <f t="shared" si="39"/>
        <v>36</v>
      </c>
      <c r="I138" s="52">
        <f t="shared" ref="I138:S138" si="40">SUM(I135:I137)</f>
        <v>1892</v>
      </c>
      <c r="J138" s="52">
        <f t="shared" si="40"/>
        <v>189</v>
      </c>
      <c r="K138" s="52">
        <f t="shared" si="40"/>
        <v>1703</v>
      </c>
      <c r="L138" s="52">
        <f t="shared" si="40"/>
        <v>633</v>
      </c>
      <c r="M138" s="52">
        <f t="shared" si="40"/>
        <v>1154</v>
      </c>
      <c r="N138" s="52">
        <f t="shared" si="40"/>
        <v>202</v>
      </c>
      <c r="O138" s="52">
        <f t="shared" si="40"/>
        <v>2538</v>
      </c>
      <c r="P138" s="52">
        <f t="shared" si="40"/>
        <v>2510</v>
      </c>
      <c r="Q138" s="93">
        <f t="shared" si="40"/>
        <v>0</v>
      </c>
      <c r="R138" s="52">
        <f t="shared" si="40"/>
        <v>2510</v>
      </c>
      <c r="S138" s="52">
        <f t="shared" si="40"/>
        <v>28</v>
      </c>
      <c r="T138" s="52">
        <f t="shared" ref="T138" si="41">T133</f>
        <v>117</v>
      </c>
    </row>
    <row r="139" spans="1:20" x14ac:dyDescent="0.25">
      <c r="J139" s="43"/>
      <c r="K139" s="43"/>
    </row>
    <row r="140" spans="1:20" x14ac:dyDescent="0.25">
      <c r="J140" s="43"/>
      <c r="K140" s="43"/>
    </row>
    <row r="141" spans="1:20" x14ac:dyDescent="0.25">
      <c r="J141" s="43"/>
      <c r="K141" s="43"/>
    </row>
    <row r="142" spans="1:20" x14ac:dyDescent="0.25">
      <c r="J142" s="43"/>
      <c r="K142" s="43"/>
    </row>
    <row r="143" spans="1:20" x14ac:dyDescent="0.25">
      <c r="J143" s="43"/>
      <c r="K143" s="43"/>
    </row>
    <row r="144" spans="1:20" x14ac:dyDescent="0.25">
      <c r="J144" s="43"/>
      <c r="K144" s="43"/>
    </row>
    <row r="145" spans="10:11" x14ac:dyDescent="0.25">
      <c r="J145" s="43"/>
      <c r="K145" s="43"/>
    </row>
    <row r="146" spans="10:11" x14ac:dyDescent="0.25">
      <c r="J146" s="43"/>
      <c r="K146" s="43"/>
    </row>
    <row r="147" spans="10:11" x14ac:dyDescent="0.25">
      <c r="J147" s="43"/>
      <c r="K147" s="43"/>
    </row>
    <row r="148" spans="10:11" x14ac:dyDescent="0.25">
      <c r="J148" s="43"/>
      <c r="K148" s="43"/>
    </row>
    <row r="149" spans="10:11" x14ac:dyDescent="0.25">
      <c r="J149" s="43"/>
      <c r="K149" s="43"/>
    </row>
    <row r="150" spans="10:11" x14ac:dyDescent="0.25">
      <c r="J150" s="43"/>
      <c r="K150" s="43"/>
    </row>
    <row r="151" spans="10:11" x14ac:dyDescent="0.25">
      <c r="J151" s="43"/>
      <c r="K151" s="43"/>
    </row>
    <row r="152" spans="10:11" x14ac:dyDescent="0.25">
      <c r="J152" s="43"/>
      <c r="K152" s="43"/>
    </row>
    <row r="153" spans="10:11" x14ac:dyDescent="0.25">
      <c r="J153" s="43"/>
      <c r="K153" s="43"/>
    </row>
    <row r="154" spans="10:11" x14ac:dyDescent="0.25">
      <c r="J154" s="43"/>
      <c r="K154" s="43"/>
    </row>
    <row r="155" spans="10:11" x14ac:dyDescent="0.25">
      <c r="J155" s="43"/>
      <c r="K155" s="43"/>
    </row>
    <row r="156" spans="10:11" x14ac:dyDescent="0.25">
      <c r="J156" s="43"/>
      <c r="K156" s="43"/>
    </row>
  </sheetData>
  <pageMargins left="0.7" right="0.7" top="0.75" bottom="0.75" header="0.511811023622047" footer="0.511811023622047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8"/>
  <sheetViews>
    <sheetView workbookViewId="0">
      <pane ySplit="1" topLeftCell="A75" activePane="bottomLeft" state="frozen"/>
      <selection pane="bottomLeft" activeCell="P1" sqref="P1:P1048576"/>
    </sheetView>
  </sheetViews>
  <sheetFormatPr defaultColWidth="8.7109375" defaultRowHeight="15" customHeight="1" x14ac:dyDescent="0.25"/>
  <cols>
    <col min="1" max="1" width="7.7109375" customWidth="1"/>
    <col min="2" max="2" width="26.85546875" customWidth="1"/>
    <col min="5" max="5" width="10.42578125" customWidth="1"/>
    <col min="6" max="6" width="10.85546875" customWidth="1"/>
    <col min="8" max="8" width="13.28515625" customWidth="1"/>
    <col min="11" max="11" width="11.5703125" customWidth="1"/>
    <col min="12" max="12" width="11" customWidth="1"/>
    <col min="15" max="15" width="15.85546875" customWidth="1"/>
    <col min="16383" max="16384" width="11.5703125" customWidth="1"/>
  </cols>
  <sheetData>
    <row r="1" spans="1:15" ht="102" x14ac:dyDescent="0.25">
      <c r="A1" s="53" t="s">
        <v>15</v>
      </c>
      <c r="B1" s="54" t="s">
        <v>16</v>
      </c>
      <c r="C1" s="55" t="s">
        <v>2</v>
      </c>
      <c r="D1" s="56" t="s">
        <v>170</v>
      </c>
      <c r="E1" s="55" t="s">
        <v>171</v>
      </c>
      <c r="F1" s="55" t="s">
        <v>172</v>
      </c>
      <c r="G1" s="57" t="s">
        <v>173</v>
      </c>
      <c r="H1" s="58" t="s">
        <v>174</v>
      </c>
      <c r="I1" s="58" t="s">
        <v>175</v>
      </c>
      <c r="J1" s="58" t="s">
        <v>176</v>
      </c>
      <c r="K1" s="55" t="s">
        <v>177</v>
      </c>
      <c r="L1" s="55" t="s">
        <v>178</v>
      </c>
      <c r="M1" s="55" t="s">
        <v>179</v>
      </c>
      <c r="N1" s="55" t="s">
        <v>27</v>
      </c>
      <c r="O1" s="55" t="s">
        <v>180</v>
      </c>
    </row>
    <row r="2" spans="1:15" x14ac:dyDescent="0.25">
      <c r="A2" s="15">
        <v>1</v>
      </c>
      <c r="B2" s="37" t="s">
        <v>29</v>
      </c>
      <c r="C2" s="51">
        <f>VLOOKUP(B:B,Courts!B:F,5,FALSE())</f>
        <v>48</v>
      </c>
      <c r="D2" s="18">
        <v>1</v>
      </c>
      <c r="E2" s="18">
        <v>1</v>
      </c>
      <c r="F2" s="18">
        <v>0</v>
      </c>
      <c r="G2" s="18">
        <v>0</v>
      </c>
      <c r="H2" s="18">
        <v>1</v>
      </c>
      <c r="I2" s="18">
        <v>4</v>
      </c>
      <c r="J2" s="18">
        <v>2</v>
      </c>
      <c r="K2" s="18">
        <v>49</v>
      </c>
      <c r="L2" s="18">
        <f t="shared" ref="L2:L33" si="0">SUM(D2+E2+F2+G2+K2)</f>
        <v>51</v>
      </c>
      <c r="M2" s="18">
        <f t="shared" ref="M2:M33" si="1">C2*1</f>
        <v>48</v>
      </c>
      <c r="N2" s="18">
        <f t="shared" ref="N2:N33" si="2">L2-M2</f>
        <v>3</v>
      </c>
      <c r="O2" s="18">
        <f t="shared" ref="O2:O33" si="3">IF(N2&lt;0, -N2, 0)</f>
        <v>0</v>
      </c>
    </row>
    <row r="3" spans="1:15" x14ac:dyDescent="0.25">
      <c r="A3" s="15">
        <v>2</v>
      </c>
      <c r="B3" s="36" t="s">
        <v>30</v>
      </c>
      <c r="C3" s="51">
        <f>VLOOKUP(B:B,Courts!B:F,5,FALSE())</f>
        <v>6</v>
      </c>
      <c r="D3" s="18">
        <v>0</v>
      </c>
      <c r="E3" s="18">
        <v>1</v>
      </c>
      <c r="F3" s="18">
        <v>0</v>
      </c>
      <c r="G3" s="18">
        <v>0</v>
      </c>
      <c r="H3" s="18">
        <v>1</v>
      </c>
      <c r="I3" s="18">
        <v>0</v>
      </c>
      <c r="J3" s="18">
        <v>0</v>
      </c>
      <c r="K3" s="18">
        <v>5</v>
      </c>
      <c r="L3" s="18">
        <f t="shared" si="0"/>
        <v>6</v>
      </c>
      <c r="M3" s="18">
        <f t="shared" si="1"/>
        <v>6</v>
      </c>
      <c r="N3" s="18">
        <f t="shared" si="2"/>
        <v>0</v>
      </c>
      <c r="O3" s="18">
        <f t="shared" si="3"/>
        <v>0</v>
      </c>
    </row>
    <row r="4" spans="1:15" x14ac:dyDescent="0.25">
      <c r="A4" s="15">
        <v>3</v>
      </c>
      <c r="B4" s="36" t="s">
        <v>31</v>
      </c>
      <c r="C4" s="51">
        <f>VLOOKUP(B:B,Courts!B:F,5,FALSE())</f>
        <v>5</v>
      </c>
      <c r="D4" s="18">
        <v>0</v>
      </c>
      <c r="E4" s="18">
        <v>1</v>
      </c>
      <c r="F4" s="18">
        <v>0</v>
      </c>
      <c r="G4" s="18">
        <v>0</v>
      </c>
      <c r="H4" s="18">
        <v>1</v>
      </c>
      <c r="I4" s="18">
        <v>0</v>
      </c>
      <c r="J4" s="18">
        <v>0</v>
      </c>
      <c r="K4" s="18">
        <v>4</v>
      </c>
      <c r="L4" s="18">
        <f t="shared" si="0"/>
        <v>5</v>
      </c>
      <c r="M4" s="18">
        <f t="shared" si="1"/>
        <v>5</v>
      </c>
      <c r="N4" s="18">
        <f t="shared" si="2"/>
        <v>0</v>
      </c>
      <c r="O4" s="18">
        <f t="shared" si="3"/>
        <v>0</v>
      </c>
    </row>
    <row r="5" spans="1:15" x14ac:dyDescent="0.25">
      <c r="A5" s="15">
        <v>4</v>
      </c>
      <c r="B5" s="37" t="s">
        <v>32</v>
      </c>
      <c r="C5" s="51">
        <f>VLOOKUP(B:B,Courts!B:F,5,FALSE())</f>
        <v>11</v>
      </c>
      <c r="D5" s="18">
        <v>1</v>
      </c>
      <c r="E5" s="18">
        <v>1</v>
      </c>
      <c r="F5" s="18">
        <v>0</v>
      </c>
      <c r="G5" s="18">
        <v>0</v>
      </c>
      <c r="H5" s="18">
        <v>1</v>
      </c>
      <c r="I5" s="18">
        <v>2</v>
      </c>
      <c r="J5" s="18">
        <v>1</v>
      </c>
      <c r="K5" s="18">
        <v>15</v>
      </c>
      <c r="L5" s="18">
        <f t="shared" si="0"/>
        <v>17</v>
      </c>
      <c r="M5" s="18">
        <f t="shared" si="1"/>
        <v>11</v>
      </c>
      <c r="N5" s="18">
        <f t="shared" si="2"/>
        <v>6</v>
      </c>
      <c r="O5" s="18">
        <f t="shared" si="3"/>
        <v>0</v>
      </c>
    </row>
    <row r="6" spans="1:15" x14ac:dyDescent="0.25">
      <c r="A6" s="15">
        <v>5</v>
      </c>
      <c r="B6" s="37" t="s">
        <v>33</v>
      </c>
      <c r="C6" s="51">
        <f>VLOOKUP(B:B,Courts!B:F,5,FALSE())</f>
        <v>25</v>
      </c>
      <c r="D6" s="18">
        <v>1</v>
      </c>
      <c r="E6" s="18">
        <v>1</v>
      </c>
      <c r="F6" s="18">
        <v>0</v>
      </c>
      <c r="G6" s="18">
        <v>0</v>
      </c>
      <c r="H6" s="18">
        <v>1</v>
      </c>
      <c r="I6" s="18">
        <v>3</v>
      </c>
      <c r="J6" s="18">
        <v>1</v>
      </c>
      <c r="K6" s="18">
        <v>29</v>
      </c>
      <c r="L6" s="18">
        <f t="shared" si="0"/>
        <v>31</v>
      </c>
      <c r="M6" s="18">
        <f t="shared" si="1"/>
        <v>25</v>
      </c>
      <c r="N6" s="18">
        <f t="shared" si="2"/>
        <v>6</v>
      </c>
      <c r="O6" s="18">
        <f t="shared" si="3"/>
        <v>0</v>
      </c>
    </row>
    <row r="7" spans="1:15" x14ac:dyDescent="0.25">
      <c r="A7" s="15">
        <v>6</v>
      </c>
      <c r="B7" s="36" t="s">
        <v>34</v>
      </c>
      <c r="C7" s="51">
        <f>VLOOKUP(B:B,Courts!B:F,5,FALSE())</f>
        <v>7</v>
      </c>
      <c r="D7" s="18">
        <v>0</v>
      </c>
      <c r="E7" s="18">
        <v>1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6</v>
      </c>
      <c r="L7" s="18">
        <f t="shared" si="0"/>
        <v>7</v>
      </c>
      <c r="M7" s="18">
        <f t="shared" si="1"/>
        <v>7</v>
      </c>
      <c r="N7" s="18">
        <f t="shared" si="2"/>
        <v>0</v>
      </c>
      <c r="O7" s="18">
        <f t="shared" si="3"/>
        <v>0</v>
      </c>
    </row>
    <row r="8" spans="1:15" x14ac:dyDescent="0.25">
      <c r="A8" s="15">
        <v>7</v>
      </c>
      <c r="B8" s="36" t="s">
        <v>35</v>
      </c>
      <c r="C8" s="51">
        <f>VLOOKUP(B:B,Courts!B:F,5,FALSE())</f>
        <v>5</v>
      </c>
      <c r="D8" s="18">
        <v>0</v>
      </c>
      <c r="E8" s="18">
        <v>1</v>
      </c>
      <c r="F8" s="18">
        <v>0</v>
      </c>
      <c r="G8" s="18">
        <v>0</v>
      </c>
      <c r="H8" s="18">
        <v>1</v>
      </c>
      <c r="I8" s="18">
        <v>0</v>
      </c>
      <c r="J8" s="18">
        <v>0</v>
      </c>
      <c r="K8" s="18">
        <v>5</v>
      </c>
      <c r="L8" s="18">
        <f t="shared" si="0"/>
        <v>6</v>
      </c>
      <c r="M8" s="18">
        <f t="shared" si="1"/>
        <v>5</v>
      </c>
      <c r="N8" s="18">
        <f t="shared" si="2"/>
        <v>1</v>
      </c>
      <c r="O8" s="18">
        <f t="shared" si="3"/>
        <v>0</v>
      </c>
    </row>
    <row r="9" spans="1:15" x14ac:dyDescent="0.25">
      <c r="A9" s="15">
        <v>8</v>
      </c>
      <c r="B9" s="37" t="s">
        <v>36</v>
      </c>
      <c r="C9" s="51">
        <f>VLOOKUP(B:B,Courts!B:F,5,FALSE())</f>
        <v>12</v>
      </c>
      <c r="D9" s="18">
        <v>1</v>
      </c>
      <c r="E9" s="18">
        <v>1</v>
      </c>
      <c r="F9" s="18">
        <v>0</v>
      </c>
      <c r="G9" s="18">
        <v>0</v>
      </c>
      <c r="H9" s="18">
        <v>1</v>
      </c>
      <c r="I9" s="18">
        <v>1</v>
      </c>
      <c r="J9" s="18">
        <v>1</v>
      </c>
      <c r="K9" s="18">
        <v>12</v>
      </c>
      <c r="L9" s="18">
        <f t="shared" si="0"/>
        <v>14</v>
      </c>
      <c r="M9" s="18">
        <f t="shared" si="1"/>
        <v>12</v>
      </c>
      <c r="N9" s="18">
        <f t="shared" si="2"/>
        <v>2</v>
      </c>
      <c r="O9" s="18">
        <f t="shared" si="3"/>
        <v>0</v>
      </c>
    </row>
    <row r="10" spans="1:15" x14ac:dyDescent="0.25">
      <c r="A10" s="15">
        <v>9</v>
      </c>
      <c r="B10" s="36" t="s">
        <v>37</v>
      </c>
      <c r="C10" s="51">
        <f>VLOOKUP(B:B,Courts!B:F,5,FALSE())</f>
        <v>2</v>
      </c>
      <c r="D10" s="18">
        <v>0</v>
      </c>
      <c r="E10" s="18">
        <v>1</v>
      </c>
      <c r="F10" s="18">
        <v>0</v>
      </c>
      <c r="G10" s="18">
        <v>0</v>
      </c>
      <c r="H10" s="18">
        <v>1</v>
      </c>
      <c r="I10" s="18">
        <v>0</v>
      </c>
      <c r="J10" s="18">
        <v>0</v>
      </c>
      <c r="K10" s="18">
        <v>2</v>
      </c>
      <c r="L10" s="18">
        <f t="shared" si="0"/>
        <v>3</v>
      </c>
      <c r="M10" s="18">
        <f t="shared" si="1"/>
        <v>2</v>
      </c>
      <c r="N10" s="18">
        <f t="shared" si="2"/>
        <v>1</v>
      </c>
      <c r="O10" s="18">
        <f t="shared" si="3"/>
        <v>0</v>
      </c>
    </row>
    <row r="11" spans="1:15" x14ac:dyDescent="0.25">
      <c r="A11" s="15">
        <v>10</v>
      </c>
      <c r="B11" s="37" t="s">
        <v>38</v>
      </c>
      <c r="C11" s="51">
        <f>VLOOKUP(B:B,Courts!B:F,5,FALSE())</f>
        <v>11</v>
      </c>
      <c r="D11" s="18">
        <v>1</v>
      </c>
      <c r="E11" s="18">
        <v>1</v>
      </c>
      <c r="F11" s="18">
        <v>0</v>
      </c>
      <c r="G11" s="18">
        <v>0</v>
      </c>
      <c r="H11" s="18">
        <v>1</v>
      </c>
      <c r="I11" s="18">
        <v>2</v>
      </c>
      <c r="J11" s="18">
        <v>1</v>
      </c>
      <c r="K11" s="18">
        <v>12</v>
      </c>
      <c r="L11" s="18">
        <f t="shared" si="0"/>
        <v>14</v>
      </c>
      <c r="M11" s="18">
        <f t="shared" si="1"/>
        <v>11</v>
      </c>
      <c r="N11" s="18">
        <f t="shared" si="2"/>
        <v>3</v>
      </c>
      <c r="O11" s="18">
        <f t="shared" si="3"/>
        <v>0</v>
      </c>
    </row>
    <row r="12" spans="1:15" x14ac:dyDescent="0.25">
      <c r="A12" s="15">
        <v>11</v>
      </c>
      <c r="B12" s="36" t="s">
        <v>39</v>
      </c>
      <c r="C12" s="51">
        <f>VLOOKUP(B:B,Courts!B:F,5,FALSE())</f>
        <v>5</v>
      </c>
      <c r="D12" s="18">
        <v>0</v>
      </c>
      <c r="E12" s="18">
        <v>1</v>
      </c>
      <c r="F12" s="18">
        <v>0</v>
      </c>
      <c r="G12" s="18">
        <v>0</v>
      </c>
      <c r="H12" s="18">
        <v>1</v>
      </c>
      <c r="I12" s="18">
        <v>0</v>
      </c>
      <c r="J12" s="18">
        <v>0</v>
      </c>
      <c r="K12" s="18">
        <v>5</v>
      </c>
      <c r="L12" s="18">
        <f t="shared" si="0"/>
        <v>6</v>
      </c>
      <c r="M12" s="18">
        <f t="shared" si="1"/>
        <v>5</v>
      </c>
      <c r="N12" s="18">
        <f t="shared" si="2"/>
        <v>1</v>
      </c>
      <c r="O12" s="18">
        <f t="shared" si="3"/>
        <v>0</v>
      </c>
    </row>
    <row r="13" spans="1:15" x14ac:dyDescent="0.25">
      <c r="A13" s="15">
        <v>12</v>
      </c>
      <c r="B13" s="36" t="s">
        <v>40</v>
      </c>
      <c r="C13" s="51">
        <f>VLOOKUP(B:B,Courts!B:F,5,FALSE())</f>
        <v>3</v>
      </c>
      <c r="D13" s="18">
        <v>0</v>
      </c>
      <c r="E13" s="18">
        <v>1</v>
      </c>
      <c r="F13" s="18">
        <v>0</v>
      </c>
      <c r="G13" s="18">
        <v>0</v>
      </c>
      <c r="H13" s="18">
        <v>1</v>
      </c>
      <c r="I13" s="18">
        <v>0</v>
      </c>
      <c r="J13" s="18">
        <v>0</v>
      </c>
      <c r="K13" s="18">
        <v>2</v>
      </c>
      <c r="L13" s="18">
        <f t="shared" si="0"/>
        <v>3</v>
      </c>
      <c r="M13" s="18">
        <f t="shared" si="1"/>
        <v>3</v>
      </c>
      <c r="N13" s="18">
        <f t="shared" si="2"/>
        <v>0</v>
      </c>
      <c r="O13" s="18">
        <f t="shared" si="3"/>
        <v>0</v>
      </c>
    </row>
    <row r="14" spans="1:15" x14ac:dyDescent="0.25">
      <c r="A14" s="15">
        <v>13</v>
      </c>
      <c r="B14" s="37" t="s">
        <v>41</v>
      </c>
      <c r="C14" s="51">
        <f>VLOOKUP(B:B,Courts!B:F,5,FALSE())</f>
        <v>12</v>
      </c>
      <c r="D14" s="18">
        <v>0</v>
      </c>
      <c r="E14" s="18">
        <v>1</v>
      </c>
      <c r="F14" s="18">
        <v>0</v>
      </c>
      <c r="G14" s="18">
        <v>0</v>
      </c>
      <c r="H14" s="18">
        <v>1</v>
      </c>
      <c r="I14" s="18">
        <v>2</v>
      </c>
      <c r="J14" s="18">
        <v>1</v>
      </c>
      <c r="K14" s="18">
        <v>13</v>
      </c>
      <c r="L14" s="18">
        <f t="shared" si="0"/>
        <v>14</v>
      </c>
      <c r="M14" s="18">
        <f t="shared" si="1"/>
        <v>12</v>
      </c>
      <c r="N14" s="18">
        <f t="shared" si="2"/>
        <v>2</v>
      </c>
      <c r="O14" s="18">
        <f t="shared" si="3"/>
        <v>0</v>
      </c>
    </row>
    <row r="15" spans="1:15" x14ac:dyDescent="0.25">
      <c r="A15" s="15">
        <v>14</v>
      </c>
      <c r="B15" s="36" t="s">
        <v>42</v>
      </c>
      <c r="C15" s="51">
        <f>VLOOKUP(B:B,Courts!B:F,5,FALSE())</f>
        <v>8</v>
      </c>
      <c r="D15" s="18">
        <v>0</v>
      </c>
      <c r="E15" s="18">
        <v>1</v>
      </c>
      <c r="F15" s="18">
        <v>0</v>
      </c>
      <c r="G15" s="18">
        <v>0</v>
      </c>
      <c r="H15" s="18">
        <v>1</v>
      </c>
      <c r="I15" s="18">
        <v>1</v>
      </c>
      <c r="J15" s="18">
        <v>0</v>
      </c>
      <c r="K15" s="18">
        <v>7</v>
      </c>
      <c r="L15" s="18">
        <f t="shared" si="0"/>
        <v>8</v>
      </c>
      <c r="M15" s="18">
        <f t="shared" si="1"/>
        <v>8</v>
      </c>
      <c r="N15" s="18">
        <f t="shared" si="2"/>
        <v>0</v>
      </c>
      <c r="O15" s="18">
        <f t="shared" si="3"/>
        <v>0</v>
      </c>
    </row>
    <row r="16" spans="1:15" x14ac:dyDescent="0.25">
      <c r="A16" s="15">
        <v>15</v>
      </c>
      <c r="B16" s="36" t="s">
        <v>43</v>
      </c>
      <c r="C16" s="51">
        <f>VLOOKUP(B:B,Courts!B:F,5,FALSE())</f>
        <v>5</v>
      </c>
      <c r="D16" s="18">
        <v>0</v>
      </c>
      <c r="E16" s="18">
        <v>1</v>
      </c>
      <c r="F16" s="18">
        <v>0</v>
      </c>
      <c r="G16" s="18">
        <v>0</v>
      </c>
      <c r="H16" s="18">
        <v>1</v>
      </c>
      <c r="I16" s="18">
        <v>0</v>
      </c>
      <c r="J16" s="18">
        <v>0</v>
      </c>
      <c r="K16" s="18">
        <v>4</v>
      </c>
      <c r="L16" s="18">
        <f t="shared" si="0"/>
        <v>5</v>
      </c>
      <c r="M16" s="18">
        <f t="shared" si="1"/>
        <v>5</v>
      </c>
      <c r="N16" s="18">
        <f t="shared" si="2"/>
        <v>0</v>
      </c>
      <c r="O16" s="18">
        <f t="shared" si="3"/>
        <v>0</v>
      </c>
    </row>
    <row r="17" spans="1:15" x14ac:dyDescent="0.25">
      <c r="A17" s="15">
        <v>16</v>
      </c>
      <c r="B17" s="37" t="s">
        <v>44</v>
      </c>
      <c r="C17" s="51">
        <f>VLOOKUP(B:B,Courts!B:F,5,FALSE())</f>
        <v>16</v>
      </c>
      <c r="D17" s="18">
        <v>1</v>
      </c>
      <c r="E17" s="18">
        <v>1</v>
      </c>
      <c r="F17" s="18">
        <v>0</v>
      </c>
      <c r="G17" s="18">
        <v>0</v>
      </c>
      <c r="H17" s="18">
        <v>1</v>
      </c>
      <c r="I17" s="18">
        <v>2</v>
      </c>
      <c r="J17" s="18">
        <v>1</v>
      </c>
      <c r="K17" s="18">
        <v>18</v>
      </c>
      <c r="L17" s="18">
        <f t="shared" si="0"/>
        <v>20</v>
      </c>
      <c r="M17" s="18">
        <f t="shared" si="1"/>
        <v>16</v>
      </c>
      <c r="N17" s="18">
        <f t="shared" si="2"/>
        <v>4</v>
      </c>
      <c r="O17" s="18">
        <f t="shared" si="3"/>
        <v>0</v>
      </c>
    </row>
    <row r="18" spans="1:15" x14ac:dyDescent="0.25">
      <c r="A18" s="15">
        <v>17</v>
      </c>
      <c r="B18" s="36" t="s">
        <v>45</v>
      </c>
      <c r="C18" s="51">
        <f>VLOOKUP(B:B,Courts!B:F,5,FALSE())</f>
        <v>4</v>
      </c>
      <c r="D18" s="18">
        <v>0</v>
      </c>
      <c r="E18" s="18">
        <v>1</v>
      </c>
      <c r="F18" s="18">
        <v>0</v>
      </c>
      <c r="G18" s="18">
        <v>0</v>
      </c>
      <c r="H18" s="18">
        <v>1</v>
      </c>
      <c r="I18" s="18">
        <v>0</v>
      </c>
      <c r="J18" s="18">
        <v>0</v>
      </c>
      <c r="K18" s="18">
        <v>3</v>
      </c>
      <c r="L18" s="18">
        <f t="shared" si="0"/>
        <v>4</v>
      </c>
      <c r="M18" s="18">
        <f t="shared" si="1"/>
        <v>4</v>
      </c>
      <c r="N18" s="18">
        <f t="shared" si="2"/>
        <v>0</v>
      </c>
      <c r="O18" s="18">
        <f t="shared" si="3"/>
        <v>0</v>
      </c>
    </row>
    <row r="19" spans="1:15" x14ac:dyDescent="0.25">
      <c r="A19" s="15">
        <v>18</v>
      </c>
      <c r="B19" s="36" t="s">
        <v>46</v>
      </c>
      <c r="C19" s="51">
        <f>VLOOKUP(B:B,Courts!B:F,5,FALSE())</f>
        <v>4</v>
      </c>
      <c r="D19" s="18">
        <v>0</v>
      </c>
      <c r="E19" s="18">
        <v>1</v>
      </c>
      <c r="F19" s="18">
        <v>0</v>
      </c>
      <c r="G19" s="18">
        <v>0</v>
      </c>
      <c r="H19" s="18">
        <v>1</v>
      </c>
      <c r="I19" s="18">
        <v>0</v>
      </c>
      <c r="J19" s="18">
        <v>0</v>
      </c>
      <c r="K19" s="18">
        <v>4</v>
      </c>
      <c r="L19" s="18">
        <f t="shared" si="0"/>
        <v>5</v>
      </c>
      <c r="M19" s="18">
        <f t="shared" si="1"/>
        <v>4</v>
      </c>
      <c r="N19" s="18">
        <f t="shared" si="2"/>
        <v>1</v>
      </c>
      <c r="O19" s="18">
        <f t="shared" si="3"/>
        <v>0</v>
      </c>
    </row>
    <row r="20" spans="1:15" x14ac:dyDescent="0.25">
      <c r="A20" s="15">
        <v>19</v>
      </c>
      <c r="B20" s="37" t="s">
        <v>47</v>
      </c>
      <c r="C20" s="51">
        <f>VLOOKUP(B:B,Courts!B:F,5,FALSE())</f>
        <v>18</v>
      </c>
      <c r="D20" s="18">
        <v>1</v>
      </c>
      <c r="E20" s="18">
        <v>1</v>
      </c>
      <c r="F20" s="18">
        <v>0</v>
      </c>
      <c r="G20" s="18">
        <v>0</v>
      </c>
      <c r="H20" s="18">
        <v>1</v>
      </c>
      <c r="I20" s="18">
        <v>2</v>
      </c>
      <c r="J20" s="18">
        <v>1</v>
      </c>
      <c r="K20" s="18">
        <v>19</v>
      </c>
      <c r="L20" s="18">
        <f t="shared" si="0"/>
        <v>21</v>
      </c>
      <c r="M20" s="18">
        <f t="shared" si="1"/>
        <v>18</v>
      </c>
      <c r="N20" s="18">
        <f t="shared" si="2"/>
        <v>3</v>
      </c>
      <c r="O20" s="18">
        <f t="shared" si="3"/>
        <v>0</v>
      </c>
    </row>
    <row r="21" spans="1:15" x14ac:dyDescent="0.25">
      <c r="A21" s="15">
        <v>20</v>
      </c>
      <c r="B21" s="36" t="s">
        <v>48</v>
      </c>
      <c r="C21" s="51">
        <f>VLOOKUP(B:B,Courts!B:F,5,FALSE())</f>
        <v>10</v>
      </c>
      <c r="D21" s="18">
        <v>0</v>
      </c>
      <c r="E21" s="18">
        <v>1</v>
      </c>
      <c r="F21" s="18">
        <v>0</v>
      </c>
      <c r="G21" s="18">
        <v>0</v>
      </c>
      <c r="H21" s="18">
        <v>1</v>
      </c>
      <c r="I21" s="18">
        <v>1</v>
      </c>
      <c r="J21" s="18">
        <v>0</v>
      </c>
      <c r="K21" s="18">
        <v>12</v>
      </c>
      <c r="L21" s="18">
        <f t="shared" si="0"/>
        <v>13</v>
      </c>
      <c r="M21" s="18">
        <f t="shared" si="1"/>
        <v>10</v>
      </c>
      <c r="N21" s="18">
        <f t="shared" si="2"/>
        <v>3</v>
      </c>
      <c r="O21" s="18">
        <f t="shared" si="3"/>
        <v>0</v>
      </c>
    </row>
    <row r="22" spans="1:15" x14ac:dyDescent="0.25">
      <c r="A22" s="15">
        <v>21</v>
      </c>
      <c r="B22" s="37" t="s">
        <v>49</v>
      </c>
      <c r="C22" s="51">
        <f>VLOOKUP(B:B,Courts!B:F,5,FALSE())</f>
        <v>19</v>
      </c>
      <c r="D22" s="18">
        <v>1</v>
      </c>
      <c r="E22" s="18">
        <v>1</v>
      </c>
      <c r="F22" s="18">
        <v>0</v>
      </c>
      <c r="G22" s="18">
        <v>0</v>
      </c>
      <c r="H22" s="18">
        <v>1</v>
      </c>
      <c r="I22" s="18">
        <v>2</v>
      </c>
      <c r="J22" s="18">
        <v>1</v>
      </c>
      <c r="K22" s="18">
        <v>20</v>
      </c>
      <c r="L22" s="18">
        <f t="shared" si="0"/>
        <v>22</v>
      </c>
      <c r="M22" s="18">
        <f t="shared" si="1"/>
        <v>19</v>
      </c>
      <c r="N22" s="18">
        <f t="shared" si="2"/>
        <v>3</v>
      </c>
      <c r="O22" s="18">
        <f t="shared" si="3"/>
        <v>0</v>
      </c>
    </row>
    <row r="23" spans="1:15" x14ac:dyDescent="0.25">
      <c r="A23" s="15">
        <v>22</v>
      </c>
      <c r="B23" s="36" t="s">
        <v>50</v>
      </c>
      <c r="C23" s="51">
        <f>VLOOKUP(B:B,Courts!B:F,5,FALSE())</f>
        <v>5</v>
      </c>
      <c r="D23" s="18">
        <v>0</v>
      </c>
      <c r="E23" s="18">
        <v>1</v>
      </c>
      <c r="F23" s="18">
        <v>0</v>
      </c>
      <c r="G23" s="18">
        <v>0</v>
      </c>
      <c r="H23" s="18">
        <v>1</v>
      </c>
      <c r="I23" s="18">
        <v>1</v>
      </c>
      <c r="J23" s="18">
        <v>0</v>
      </c>
      <c r="K23" s="18">
        <v>5</v>
      </c>
      <c r="L23" s="18">
        <f t="shared" si="0"/>
        <v>6</v>
      </c>
      <c r="M23" s="18">
        <f t="shared" si="1"/>
        <v>5</v>
      </c>
      <c r="N23" s="18">
        <f t="shared" si="2"/>
        <v>1</v>
      </c>
      <c r="O23" s="18">
        <f t="shared" si="3"/>
        <v>0</v>
      </c>
    </row>
    <row r="24" spans="1:15" x14ac:dyDescent="0.25">
      <c r="A24" s="15">
        <v>23</v>
      </c>
      <c r="B24" s="36" t="s">
        <v>51</v>
      </c>
      <c r="C24" s="51">
        <f>VLOOKUP(B:B,Courts!B:F,5,FALSE())</f>
        <v>4</v>
      </c>
      <c r="D24" s="18">
        <v>0</v>
      </c>
      <c r="E24" s="18">
        <v>1</v>
      </c>
      <c r="F24" s="18">
        <v>0</v>
      </c>
      <c r="G24" s="18">
        <v>0</v>
      </c>
      <c r="H24" s="18">
        <v>1</v>
      </c>
      <c r="I24" s="18">
        <v>0</v>
      </c>
      <c r="J24" s="18">
        <v>0</v>
      </c>
      <c r="K24" s="18">
        <v>4</v>
      </c>
      <c r="L24" s="18">
        <f t="shared" si="0"/>
        <v>5</v>
      </c>
      <c r="M24" s="18">
        <f t="shared" si="1"/>
        <v>4</v>
      </c>
      <c r="N24" s="18">
        <f t="shared" si="2"/>
        <v>1</v>
      </c>
      <c r="O24" s="18">
        <f t="shared" si="3"/>
        <v>0</v>
      </c>
    </row>
    <row r="25" spans="1:15" x14ac:dyDescent="0.25">
      <c r="A25" s="15">
        <v>24</v>
      </c>
      <c r="B25" s="36" t="s">
        <v>52</v>
      </c>
      <c r="C25" s="51">
        <f>VLOOKUP(B:B,Courts!B:F,5,FALSE())</f>
        <v>4</v>
      </c>
      <c r="D25" s="18">
        <v>0</v>
      </c>
      <c r="E25" s="18">
        <v>1</v>
      </c>
      <c r="F25" s="18">
        <v>0</v>
      </c>
      <c r="G25" s="18">
        <v>0</v>
      </c>
      <c r="H25" s="18">
        <v>1</v>
      </c>
      <c r="I25" s="18">
        <v>0</v>
      </c>
      <c r="J25" s="18">
        <v>0</v>
      </c>
      <c r="K25" s="18">
        <v>3</v>
      </c>
      <c r="L25" s="18">
        <f t="shared" si="0"/>
        <v>4</v>
      </c>
      <c r="M25" s="18">
        <f t="shared" si="1"/>
        <v>4</v>
      </c>
      <c r="N25" s="18">
        <f t="shared" si="2"/>
        <v>0</v>
      </c>
      <c r="O25" s="18">
        <f t="shared" si="3"/>
        <v>0</v>
      </c>
    </row>
    <row r="26" spans="1:15" x14ac:dyDescent="0.25">
      <c r="A26" s="15">
        <v>25</v>
      </c>
      <c r="B26" s="37" t="s">
        <v>53</v>
      </c>
      <c r="C26" s="51">
        <f>VLOOKUP(B:B,Courts!B:F,5,FALSE())</f>
        <v>45</v>
      </c>
      <c r="D26" s="18">
        <v>1</v>
      </c>
      <c r="E26" s="18">
        <v>1</v>
      </c>
      <c r="F26" s="18">
        <v>0</v>
      </c>
      <c r="G26" s="18">
        <v>2</v>
      </c>
      <c r="H26" s="18">
        <v>3</v>
      </c>
      <c r="I26" s="18">
        <v>4</v>
      </c>
      <c r="J26" s="18">
        <v>2</v>
      </c>
      <c r="K26" s="18">
        <v>48</v>
      </c>
      <c r="L26" s="18">
        <f t="shared" si="0"/>
        <v>52</v>
      </c>
      <c r="M26" s="18">
        <f t="shared" si="1"/>
        <v>45</v>
      </c>
      <c r="N26" s="18">
        <f t="shared" si="2"/>
        <v>7</v>
      </c>
      <c r="O26" s="18">
        <f t="shared" si="3"/>
        <v>0</v>
      </c>
    </row>
    <row r="27" spans="1:15" x14ac:dyDescent="0.25">
      <c r="A27" s="15">
        <v>26</v>
      </c>
      <c r="B27" s="36" t="s">
        <v>54</v>
      </c>
      <c r="C27" s="51">
        <f>VLOOKUP(B:B,Courts!B:F,5,FALSE())</f>
        <v>4</v>
      </c>
      <c r="D27" s="18">
        <v>0</v>
      </c>
      <c r="E27" s="18">
        <v>1</v>
      </c>
      <c r="F27" s="18">
        <v>0</v>
      </c>
      <c r="G27" s="18">
        <v>0</v>
      </c>
      <c r="H27" s="18">
        <v>1</v>
      </c>
      <c r="I27" s="18">
        <v>0</v>
      </c>
      <c r="J27" s="18">
        <v>0</v>
      </c>
      <c r="K27" s="18">
        <v>4</v>
      </c>
      <c r="L27" s="18">
        <f t="shared" si="0"/>
        <v>5</v>
      </c>
      <c r="M27" s="18">
        <f t="shared" si="1"/>
        <v>4</v>
      </c>
      <c r="N27" s="18">
        <f t="shared" si="2"/>
        <v>1</v>
      </c>
      <c r="O27" s="18">
        <f t="shared" si="3"/>
        <v>0</v>
      </c>
    </row>
    <row r="28" spans="1:15" x14ac:dyDescent="0.25">
      <c r="A28" s="15">
        <v>27</v>
      </c>
      <c r="B28" s="36" t="s">
        <v>55</v>
      </c>
      <c r="C28" s="51">
        <f>VLOOKUP(B:B,Courts!B:F,5,FALSE())</f>
        <v>6</v>
      </c>
      <c r="D28" s="18">
        <v>0</v>
      </c>
      <c r="E28" s="18">
        <v>1</v>
      </c>
      <c r="F28" s="18">
        <v>0</v>
      </c>
      <c r="G28" s="18">
        <v>0</v>
      </c>
      <c r="H28" s="18">
        <v>1</v>
      </c>
      <c r="I28" s="18">
        <v>0</v>
      </c>
      <c r="J28" s="18">
        <v>0</v>
      </c>
      <c r="K28" s="18">
        <v>6</v>
      </c>
      <c r="L28" s="18">
        <f t="shared" si="0"/>
        <v>7</v>
      </c>
      <c r="M28" s="18">
        <f t="shared" si="1"/>
        <v>6</v>
      </c>
      <c r="N28" s="18">
        <f t="shared" si="2"/>
        <v>1</v>
      </c>
      <c r="O28" s="18">
        <f t="shared" si="3"/>
        <v>0</v>
      </c>
    </row>
    <row r="29" spans="1:15" x14ac:dyDescent="0.25">
      <c r="A29" s="15">
        <v>28</v>
      </c>
      <c r="B29" s="37" t="s">
        <v>56</v>
      </c>
      <c r="C29" s="51">
        <f>VLOOKUP(B:B,Courts!B:F,5,FALSE())</f>
        <v>10</v>
      </c>
      <c r="D29" s="18">
        <v>1</v>
      </c>
      <c r="E29" s="18">
        <v>1</v>
      </c>
      <c r="F29" s="18">
        <v>0</v>
      </c>
      <c r="G29" s="18">
        <v>0</v>
      </c>
      <c r="H29" s="18">
        <v>1</v>
      </c>
      <c r="I29" s="18">
        <v>2</v>
      </c>
      <c r="J29" s="18">
        <v>1</v>
      </c>
      <c r="K29" s="18">
        <v>13</v>
      </c>
      <c r="L29" s="18">
        <f t="shared" si="0"/>
        <v>15</v>
      </c>
      <c r="M29" s="18">
        <f t="shared" si="1"/>
        <v>10</v>
      </c>
      <c r="N29" s="18">
        <f t="shared" si="2"/>
        <v>5</v>
      </c>
      <c r="O29" s="18">
        <f t="shared" si="3"/>
        <v>0</v>
      </c>
    </row>
    <row r="30" spans="1:15" x14ac:dyDescent="0.25">
      <c r="A30" s="15">
        <v>29</v>
      </c>
      <c r="B30" s="36" t="s">
        <v>57</v>
      </c>
      <c r="C30" s="51">
        <f>VLOOKUP(B:B,Courts!B:F,5,FALSE())</f>
        <v>5</v>
      </c>
      <c r="D30" s="18">
        <v>0</v>
      </c>
      <c r="E30" s="18">
        <v>1</v>
      </c>
      <c r="F30" s="18">
        <v>0</v>
      </c>
      <c r="G30" s="18">
        <v>0</v>
      </c>
      <c r="H30" s="18">
        <v>1</v>
      </c>
      <c r="I30" s="18">
        <v>0</v>
      </c>
      <c r="J30" s="18">
        <v>0</v>
      </c>
      <c r="K30" s="18">
        <v>5</v>
      </c>
      <c r="L30" s="18">
        <f t="shared" si="0"/>
        <v>6</v>
      </c>
      <c r="M30" s="18">
        <f t="shared" si="1"/>
        <v>5</v>
      </c>
      <c r="N30" s="18">
        <f t="shared" si="2"/>
        <v>1</v>
      </c>
      <c r="O30" s="18">
        <f t="shared" si="3"/>
        <v>0</v>
      </c>
    </row>
    <row r="31" spans="1:15" x14ac:dyDescent="0.25">
      <c r="A31" s="15">
        <v>30</v>
      </c>
      <c r="B31" s="36" t="s">
        <v>58</v>
      </c>
      <c r="C31" s="51">
        <f>VLOOKUP(B:B,Courts!B:F,5,FALSE())</f>
        <v>4</v>
      </c>
      <c r="D31" s="18">
        <v>0</v>
      </c>
      <c r="E31" s="18">
        <v>1</v>
      </c>
      <c r="F31" s="18">
        <v>0</v>
      </c>
      <c r="G31" s="18">
        <v>0</v>
      </c>
      <c r="H31" s="18">
        <v>1</v>
      </c>
      <c r="I31" s="18">
        <v>0</v>
      </c>
      <c r="J31" s="18">
        <v>0</v>
      </c>
      <c r="K31" s="18">
        <v>3</v>
      </c>
      <c r="L31" s="18">
        <f t="shared" si="0"/>
        <v>4</v>
      </c>
      <c r="M31" s="18">
        <f t="shared" si="1"/>
        <v>4</v>
      </c>
      <c r="N31" s="18">
        <f t="shared" si="2"/>
        <v>0</v>
      </c>
      <c r="O31" s="18">
        <f t="shared" si="3"/>
        <v>0</v>
      </c>
    </row>
    <row r="32" spans="1:15" x14ac:dyDescent="0.25">
      <c r="A32" s="15">
        <v>31</v>
      </c>
      <c r="B32" s="36" t="s">
        <v>59</v>
      </c>
      <c r="C32" s="51">
        <f>VLOOKUP(B:B,Courts!B:F,5,FALSE())</f>
        <v>2</v>
      </c>
      <c r="D32" s="18">
        <v>0</v>
      </c>
      <c r="E32" s="18">
        <v>0</v>
      </c>
      <c r="F32" s="18">
        <v>1</v>
      </c>
      <c r="G32" s="18">
        <v>0</v>
      </c>
      <c r="H32" s="18">
        <v>1</v>
      </c>
      <c r="I32" s="18">
        <v>0</v>
      </c>
      <c r="J32" s="18">
        <v>0</v>
      </c>
      <c r="K32" s="18">
        <v>2</v>
      </c>
      <c r="L32" s="18">
        <f t="shared" si="0"/>
        <v>3</v>
      </c>
      <c r="M32" s="18">
        <f t="shared" si="1"/>
        <v>2</v>
      </c>
      <c r="N32" s="18">
        <f t="shared" si="2"/>
        <v>1</v>
      </c>
      <c r="O32" s="18">
        <f t="shared" si="3"/>
        <v>0</v>
      </c>
    </row>
    <row r="33" spans="1:15" x14ac:dyDescent="0.25">
      <c r="A33" s="15">
        <v>32</v>
      </c>
      <c r="B33" s="37" t="s">
        <v>60</v>
      </c>
      <c r="C33" s="51">
        <f>VLOOKUP(B:B,Courts!B:F,5,FALSE())</f>
        <v>73</v>
      </c>
      <c r="D33" s="18">
        <v>1</v>
      </c>
      <c r="E33" s="18">
        <v>1</v>
      </c>
      <c r="F33" s="18">
        <v>0</v>
      </c>
      <c r="G33" s="18">
        <v>2</v>
      </c>
      <c r="H33" s="18">
        <v>3</v>
      </c>
      <c r="I33" s="18">
        <v>7</v>
      </c>
      <c r="J33" s="18">
        <v>2</v>
      </c>
      <c r="K33" s="18">
        <v>82</v>
      </c>
      <c r="L33" s="18">
        <f t="shared" si="0"/>
        <v>86</v>
      </c>
      <c r="M33" s="18">
        <f t="shared" si="1"/>
        <v>73</v>
      </c>
      <c r="N33" s="18">
        <f t="shared" si="2"/>
        <v>13</v>
      </c>
      <c r="O33" s="18">
        <f t="shared" si="3"/>
        <v>0</v>
      </c>
    </row>
    <row r="34" spans="1:15" x14ac:dyDescent="0.25">
      <c r="A34" s="15">
        <v>33</v>
      </c>
      <c r="B34" s="36" t="s">
        <v>61</v>
      </c>
      <c r="C34" s="51">
        <f>VLOOKUP(B:B,Courts!B:F,5,FALSE())</f>
        <v>4</v>
      </c>
      <c r="D34" s="18">
        <v>0</v>
      </c>
      <c r="E34" s="18">
        <v>1</v>
      </c>
      <c r="F34" s="18">
        <v>0</v>
      </c>
      <c r="G34" s="18">
        <v>0</v>
      </c>
      <c r="H34" s="18">
        <v>1</v>
      </c>
      <c r="I34" s="18">
        <v>0</v>
      </c>
      <c r="J34" s="18">
        <v>0</v>
      </c>
      <c r="K34" s="18">
        <v>3</v>
      </c>
      <c r="L34" s="18">
        <f t="shared" ref="L34:L65" si="4">SUM(D34+E34+F34+G34+K34)</f>
        <v>4</v>
      </c>
      <c r="M34" s="18">
        <f t="shared" ref="M34:M65" si="5">C34*1</f>
        <v>4</v>
      </c>
      <c r="N34" s="18">
        <f t="shared" ref="N34:N65" si="6">L34-M34</f>
        <v>0</v>
      </c>
      <c r="O34" s="18">
        <f t="shared" ref="O34:O51" si="7">IF(N34&lt;0, -N34, 0)</f>
        <v>0</v>
      </c>
    </row>
    <row r="35" spans="1:15" x14ac:dyDescent="0.25">
      <c r="A35" s="15">
        <v>34</v>
      </c>
      <c r="B35" s="36" t="s">
        <v>62</v>
      </c>
      <c r="C35" s="51">
        <f>VLOOKUP(B:B,Courts!B:F,5,FALSE())</f>
        <v>5</v>
      </c>
      <c r="D35" s="18">
        <v>0</v>
      </c>
      <c r="E35" s="18">
        <v>1</v>
      </c>
      <c r="F35" s="18">
        <v>0</v>
      </c>
      <c r="G35" s="18">
        <v>0</v>
      </c>
      <c r="H35" s="18">
        <v>1</v>
      </c>
      <c r="I35" s="18">
        <v>0</v>
      </c>
      <c r="J35" s="18">
        <v>0</v>
      </c>
      <c r="K35" s="18">
        <v>4</v>
      </c>
      <c r="L35" s="18">
        <f t="shared" si="4"/>
        <v>5</v>
      </c>
      <c r="M35" s="18">
        <f t="shared" si="5"/>
        <v>5</v>
      </c>
      <c r="N35" s="18">
        <f t="shared" si="6"/>
        <v>0</v>
      </c>
      <c r="O35" s="18">
        <f t="shared" si="7"/>
        <v>0</v>
      </c>
    </row>
    <row r="36" spans="1:15" x14ac:dyDescent="0.25">
      <c r="A36" s="15">
        <v>35</v>
      </c>
      <c r="B36" s="36" t="s">
        <v>63</v>
      </c>
      <c r="C36" s="51">
        <f>VLOOKUP(B:B,Courts!B:F,5,FALSE())</f>
        <v>7</v>
      </c>
      <c r="D36" s="18">
        <v>0</v>
      </c>
      <c r="E36" s="18">
        <v>1</v>
      </c>
      <c r="F36" s="18">
        <v>0</v>
      </c>
      <c r="G36" s="18">
        <v>0</v>
      </c>
      <c r="H36" s="18">
        <v>1</v>
      </c>
      <c r="I36" s="18">
        <v>0</v>
      </c>
      <c r="J36" s="18">
        <v>0</v>
      </c>
      <c r="K36" s="18">
        <v>7</v>
      </c>
      <c r="L36" s="18">
        <f t="shared" si="4"/>
        <v>8</v>
      </c>
      <c r="M36" s="18">
        <f t="shared" si="5"/>
        <v>7</v>
      </c>
      <c r="N36" s="18">
        <f t="shared" si="6"/>
        <v>1</v>
      </c>
      <c r="O36" s="18">
        <f t="shared" si="7"/>
        <v>0</v>
      </c>
    </row>
    <row r="37" spans="1:15" x14ac:dyDescent="0.25">
      <c r="A37" s="15">
        <v>36</v>
      </c>
      <c r="B37" s="36" t="s">
        <v>64</v>
      </c>
      <c r="C37" s="51">
        <f>VLOOKUP(B:B,Courts!B:F,5,FALSE())</f>
        <v>4</v>
      </c>
      <c r="D37" s="18">
        <v>0</v>
      </c>
      <c r="E37" s="18">
        <v>1</v>
      </c>
      <c r="F37" s="18">
        <v>0</v>
      </c>
      <c r="G37" s="18">
        <v>0</v>
      </c>
      <c r="H37" s="18">
        <v>1</v>
      </c>
      <c r="I37" s="18">
        <v>0</v>
      </c>
      <c r="J37" s="18">
        <v>0</v>
      </c>
      <c r="K37" s="18">
        <v>3</v>
      </c>
      <c r="L37" s="18">
        <f t="shared" si="4"/>
        <v>4</v>
      </c>
      <c r="M37" s="18">
        <f t="shared" si="5"/>
        <v>4</v>
      </c>
      <c r="N37" s="18">
        <f t="shared" si="6"/>
        <v>0</v>
      </c>
      <c r="O37" s="18">
        <f t="shared" si="7"/>
        <v>0</v>
      </c>
    </row>
    <row r="38" spans="1:15" x14ac:dyDescent="0.25">
      <c r="A38" s="15">
        <v>37</v>
      </c>
      <c r="B38" s="37" t="s">
        <v>65</v>
      </c>
      <c r="C38" s="51">
        <f>VLOOKUP(B:B,Courts!B:F,5,FALSE())</f>
        <v>10</v>
      </c>
      <c r="D38" s="18">
        <v>1</v>
      </c>
      <c r="E38" s="18">
        <v>1</v>
      </c>
      <c r="F38" s="18">
        <v>0</v>
      </c>
      <c r="G38" s="18">
        <v>0</v>
      </c>
      <c r="H38" s="18">
        <v>1</v>
      </c>
      <c r="I38" s="18">
        <v>1</v>
      </c>
      <c r="J38" s="18">
        <v>1</v>
      </c>
      <c r="K38" s="18">
        <v>11</v>
      </c>
      <c r="L38" s="18">
        <f t="shared" si="4"/>
        <v>13</v>
      </c>
      <c r="M38" s="18">
        <f t="shared" si="5"/>
        <v>10</v>
      </c>
      <c r="N38" s="18">
        <f t="shared" si="6"/>
        <v>3</v>
      </c>
      <c r="O38" s="18">
        <f t="shared" si="7"/>
        <v>0</v>
      </c>
    </row>
    <row r="39" spans="1:15" x14ac:dyDescent="0.25">
      <c r="A39" s="15">
        <v>38</v>
      </c>
      <c r="B39" s="36" t="s">
        <v>66</v>
      </c>
      <c r="C39" s="51">
        <f>VLOOKUP(B:B,Courts!B:F,5,FALSE())</f>
        <v>3</v>
      </c>
      <c r="D39" s="18">
        <v>0</v>
      </c>
      <c r="E39" s="18">
        <v>1</v>
      </c>
      <c r="F39" s="18">
        <v>0</v>
      </c>
      <c r="G39" s="18">
        <v>0</v>
      </c>
      <c r="H39" s="18">
        <v>1</v>
      </c>
      <c r="I39" s="18">
        <v>0</v>
      </c>
      <c r="J39" s="18">
        <v>0</v>
      </c>
      <c r="K39" s="18">
        <v>2</v>
      </c>
      <c r="L39" s="18">
        <f t="shared" si="4"/>
        <v>3</v>
      </c>
      <c r="M39" s="18">
        <f t="shared" si="5"/>
        <v>3</v>
      </c>
      <c r="N39" s="18">
        <f t="shared" si="6"/>
        <v>0</v>
      </c>
      <c r="O39" s="18">
        <f t="shared" si="7"/>
        <v>0</v>
      </c>
    </row>
    <row r="40" spans="1:15" x14ac:dyDescent="0.25">
      <c r="A40" s="15">
        <v>39</v>
      </c>
      <c r="B40" s="36" t="s">
        <v>67</v>
      </c>
      <c r="C40" s="51">
        <f>VLOOKUP(B:B,Courts!B:F,5,FALSE())</f>
        <v>4</v>
      </c>
      <c r="D40" s="18">
        <v>0</v>
      </c>
      <c r="E40" s="18">
        <v>1</v>
      </c>
      <c r="F40" s="18">
        <v>0</v>
      </c>
      <c r="G40" s="18">
        <v>0</v>
      </c>
      <c r="H40" s="18">
        <v>1</v>
      </c>
      <c r="I40" s="18">
        <v>0</v>
      </c>
      <c r="J40" s="18">
        <v>0</v>
      </c>
      <c r="K40" s="18">
        <v>4</v>
      </c>
      <c r="L40" s="18">
        <f t="shared" si="4"/>
        <v>5</v>
      </c>
      <c r="M40" s="18">
        <f t="shared" si="5"/>
        <v>4</v>
      </c>
      <c r="N40" s="18">
        <f t="shared" si="6"/>
        <v>1</v>
      </c>
      <c r="O40" s="18">
        <f t="shared" si="7"/>
        <v>0</v>
      </c>
    </row>
    <row r="41" spans="1:15" x14ac:dyDescent="0.25">
      <c r="A41" s="15">
        <v>40</v>
      </c>
      <c r="B41" s="37" t="s">
        <v>68</v>
      </c>
      <c r="C41" s="51">
        <f>VLOOKUP(B:B,Courts!B:F,5,FALSE())</f>
        <v>15</v>
      </c>
      <c r="D41" s="18">
        <v>1</v>
      </c>
      <c r="E41" s="18">
        <v>1</v>
      </c>
      <c r="F41" s="18">
        <v>0</v>
      </c>
      <c r="G41" s="18">
        <v>0</v>
      </c>
      <c r="H41" s="18">
        <v>1</v>
      </c>
      <c r="I41" s="18">
        <v>2</v>
      </c>
      <c r="J41" s="18">
        <v>1</v>
      </c>
      <c r="K41" s="18">
        <v>15</v>
      </c>
      <c r="L41" s="18">
        <f t="shared" si="4"/>
        <v>17</v>
      </c>
      <c r="M41" s="18">
        <f t="shared" si="5"/>
        <v>15</v>
      </c>
      <c r="N41" s="18">
        <f t="shared" si="6"/>
        <v>2</v>
      </c>
      <c r="O41" s="18">
        <f t="shared" si="7"/>
        <v>0</v>
      </c>
    </row>
    <row r="42" spans="1:15" x14ac:dyDescent="0.25">
      <c r="A42" s="15">
        <v>41</v>
      </c>
      <c r="B42" s="36" t="s">
        <v>69</v>
      </c>
      <c r="C42" s="51">
        <f>VLOOKUP(B:B,Courts!B:F,5,FALSE())</f>
        <v>3</v>
      </c>
      <c r="D42" s="18">
        <v>0</v>
      </c>
      <c r="E42" s="18">
        <v>1</v>
      </c>
      <c r="F42" s="18">
        <v>0</v>
      </c>
      <c r="G42" s="18">
        <v>0</v>
      </c>
      <c r="H42" s="18">
        <v>1</v>
      </c>
      <c r="I42" s="18">
        <v>0</v>
      </c>
      <c r="J42" s="18">
        <v>0</v>
      </c>
      <c r="K42" s="18">
        <v>2</v>
      </c>
      <c r="L42" s="18">
        <f t="shared" si="4"/>
        <v>3</v>
      </c>
      <c r="M42" s="18">
        <f t="shared" si="5"/>
        <v>3</v>
      </c>
      <c r="N42" s="18">
        <f t="shared" si="6"/>
        <v>0</v>
      </c>
      <c r="O42" s="18">
        <f t="shared" si="7"/>
        <v>0</v>
      </c>
    </row>
    <row r="43" spans="1:15" x14ac:dyDescent="0.25">
      <c r="A43" s="15">
        <v>42</v>
      </c>
      <c r="B43" s="36" t="s">
        <v>70</v>
      </c>
      <c r="C43" s="51">
        <f>VLOOKUP(B:B,Courts!B:F,5,FALSE())</f>
        <v>3</v>
      </c>
      <c r="D43" s="18">
        <v>0</v>
      </c>
      <c r="E43" s="18">
        <v>1</v>
      </c>
      <c r="F43" s="18">
        <v>0</v>
      </c>
      <c r="G43" s="18">
        <v>0</v>
      </c>
      <c r="H43" s="18">
        <v>1</v>
      </c>
      <c r="I43" s="18">
        <v>0</v>
      </c>
      <c r="J43" s="18">
        <v>0</v>
      </c>
      <c r="K43" s="18">
        <v>2</v>
      </c>
      <c r="L43" s="18">
        <f t="shared" si="4"/>
        <v>3</v>
      </c>
      <c r="M43" s="18">
        <f t="shared" si="5"/>
        <v>3</v>
      </c>
      <c r="N43" s="18">
        <f t="shared" si="6"/>
        <v>0</v>
      </c>
      <c r="O43" s="18">
        <f t="shared" si="7"/>
        <v>0</v>
      </c>
    </row>
    <row r="44" spans="1:15" x14ac:dyDescent="0.25">
      <c r="A44" s="15">
        <v>43</v>
      </c>
      <c r="B44" s="36" t="s">
        <v>71</v>
      </c>
      <c r="C44" s="51">
        <f>VLOOKUP(B:B,Courts!B:F,5,FALSE())</f>
        <v>1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1</v>
      </c>
      <c r="L44" s="18">
        <f t="shared" si="4"/>
        <v>1</v>
      </c>
      <c r="M44" s="18">
        <f t="shared" si="5"/>
        <v>1</v>
      </c>
      <c r="N44" s="18">
        <f t="shared" si="6"/>
        <v>0</v>
      </c>
      <c r="O44" s="18">
        <f t="shared" si="7"/>
        <v>0</v>
      </c>
    </row>
    <row r="45" spans="1:15" x14ac:dyDescent="0.25">
      <c r="A45" s="15">
        <v>44</v>
      </c>
      <c r="B45" s="37" t="s">
        <v>72</v>
      </c>
      <c r="C45" s="51">
        <f>VLOOKUP(B:B,Courts!B:F,5,FALSE())</f>
        <v>13</v>
      </c>
      <c r="D45" s="18">
        <v>1</v>
      </c>
      <c r="E45" s="18">
        <v>1</v>
      </c>
      <c r="F45" s="18">
        <v>0</v>
      </c>
      <c r="G45" s="18">
        <v>0</v>
      </c>
      <c r="H45" s="18">
        <v>1</v>
      </c>
      <c r="I45" s="18">
        <v>1</v>
      </c>
      <c r="J45" s="18">
        <v>1</v>
      </c>
      <c r="K45" s="18">
        <v>14</v>
      </c>
      <c r="L45" s="18">
        <f t="shared" si="4"/>
        <v>16</v>
      </c>
      <c r="M45" s="18">
        <f t="shared" si="5"/>
        <v>13</v>
      </c>
      <c r="N45" s="18">
        <f t="shared" si="6"/>
        <v>3</v>
      </c>
      <c r="O45" s="18">
        <f t="shared" si="7"/>
        <v>0</v>
      </c>
    </row>
    <row r="46" spans="1:15" x14ac:dyDescent="0.25">
      <c r="A46" s="15">
        <v>45</v>
      </c>
      <c r="B46" s="37" t="s">
        <v>73</v>
      </c>
      <c r="C46" s="51">
        <f>VLOOKUP(B:B,Courts!B:F,5,FALSE())</f>
        <v>35</v>
      </c>
      <c r="D46" s="18">
        <v>1</v>
      </c>
      <c r="E46" s="18">
        <v>1</v>
      </c>
      <c r="F46" s="18">
        <v>0</v>
      </c>
      <c r="G46" s="18">
        <v>2</v>
      </c>
      <c r="H46" s="18">
        <v>3</v>
      </c>
      <c r="I46" s="18">
        <v>3</v>
      </c>
      <c r="J46" s="18">
        <v>1</v>
      </c>
      <c r="K46" s="18">
        <v>34</v>
      </c>
      <c r="L46" s="18">
        <f t="shared" si="4"/>
        <v>38</v>
      </c>
      <c r="M46" s="18">
        <f t="shared" si="5"/>
        <v>35</v>
      </c>
      <c r="N46" s="18">
        <f t="shared" si="6"/>
        <v>3</v>
      </c>
      <c r="O46" s="18">
        <f t="shared" si="7"/>
        <v>0</v>
      </c>
    </row>
    <row r="47" spans="1:15" x14ac:dyDescent="0.25">
      <c r="A47" s="15">
        <v>46</v>
      </c>
      <c r="B47" s="36" t="s">
        <v>74</v>
      </c>
      <c r="C47" s="51">
        <f>VLOOKUP(B:B,Courts!B:F,5,FALSE())</f>
        <v>6</v>
      </c>
      <c r="D47" s="18">
        <v>0</v>
      </c>
      <c r="E47" s="18">
        <v>1</v>
      </c>
      <c r="F47" s="18">
        <v>0</v>
      </c>
      <c r="G47" s="18">
        <v>0</v>
      </c>
      <c r="H47" s="18">
        <v>1</v>
      </c>
      <c r="I47" s="18">
        <v>0</v>
      </c>
      <c r="J47" s="18">
        <v>0</v>
      </c>
      <c r="K47" s="18">
        <v>7</v>
      </c>
      <c r="L47" s="18">
        <f t="shared" si="4"/>
        <v>8</v>
      </c>
      <c r="M47" s="18">
        <f t="shared" si="5"/>
        <v>6</v>
      </c>
      <c r="N47" s="18">
        <f t="shared" si="6"/>
        <v>2</v>
      </c>
      <c r="O47" s="18">
        <f t="shared" si="7"/>
        <v>0</v>
      </c>
    </row>
    <row r="48" spans="1:15" x14ac:dyDescent="0.25">
      <c r="A48" s="15">
        <v>47</v>
      </c>
      <c r="B48" s="36" t="s">
        <v>75</v>
      </c>
      <c r="C48" s="51">
        <f>VLOOKUP(B:B,Courts!B:F,5,FALSE())</f>
        <v>7</v>
      </c>
      <c r="D48" s="18">
        <v>0</v>
      </c>
      <c r="E48" s="18">
        <v>1</v>
      </c>
      <c r="F48" s="18">
        <v>0</v>
      </c>
      <c r="G48" s="18">
        <v>0</v>
      </c>
      <c r="H48" s="18">
        <v>1</v>
      </c>
      <c r="I48" s="18">
        <v>1</v>
      </c>
      <c r="J48" s="18">
        <v>0</v>
      </c>
      <c r="K48" s="18">
        <v>7</v>
      </c>
      <c r="L48" s="18">
        <f t="shared" si="4"/>
        <v>8</v>
      </c>
      <c r="M48" s="18">
        <f t="shared" si="5"/>
        <v>7</v>
      </c>
      <c r="N48" s="18">
        <f t="shared" si="6"/>
        <v>1</v>
      </c>
      <c r="O48" s="18">
        <f t="shared" si="7"/>
        <v>0</v>
      </c>
    </row>
    <row r="49" spans="1:15" x14ac:dyDescent="0.25">
      <c r="A49" s="15">
        <v>48</v>
      </c>
      <c r="B49" s="36" t="s">
        <v>76</v>
      </c>
      <c r="C49" s="51">
        <f>VLOOKUP(B:B,Courts!B:F,5,FALSE())</f>
        <v>7</v>
      </c>
      <c r="D49" s="18">
        <v>0</v>
      </c>
      <c r="E49" s="18">
        <v>1</v>
      </c>
      <c r="F49" s="18">
        <v>0</v>
      </c>
      <c r="G49" s="18">
        <v>0</v>
      </c>
      <c r="H49" s="18">
        <v>1</v>
      </c>
      <c r="I49" s="18">
        <v>0</v>
      </c>
      <c r="J49" s="18">
        <v>0</v>
      </c>
      <c r="K49" s="18">
        <v>7</v>
      </c>
      <c r="L49" s="18">
        <f t="shared" si="4"/>
        <v>8</v>
      </c>
      <c r="M49" s="18">
        <f t="shared" si="5"/>
        <v>7</v>
      </c>
      <c r="N49" s="18">
        <f t="shared" si="6"/>
        <v>1</v>
      </c>
      <c r="O49" s="18">
        <f t="shared" si="7"/>
        <v>0</v>
      </c>
    </row>
    <row r="50" spans="1:15" x14ac:dyDescent="0.25">
      <c r="A50" s="15">
        <v>49</v>
      </c>
      <c r="B50" s="37" t="s">
        <v>77</v>
      </c>
      <c r="C50" s="51">
        <f>VLOOKUP(B:B,Courts!B:F,5,FALSE())</f>
        <v>14</v>
      </c>
      <c r="D50" s="18">
        <v>1</v>
      </c>
      <c r="E50" s="18">
        <v>1</v>
      </c>
      <c r="F50" s="18">
        <v>0</v>
      </c>
      <c r="G50" s="18">
        <v>0</v>
      </c>
      <c r="H50" s="18">
        <v>1</v>
      </c>
      <c r="I50" s="18">
        <v>2</v>
      </c>
      <c r="J50" s="18">
        <v>1</v>
      </c>
      <c r="K50" s="18">
        <v>14</v>
      </c>
      <c r="L50" s="18">
        <f t="shared" si="4"/>
        <v>16</v>
      </c>
      <c r="M50" s="18">
        <f t="shared" si="5"/>
        <v>14</v>
      </c>
      <c r="N50" s="18">
        <f t="shared" si="6"/>
        <v>2</v>
      </c>
      <c r="O50" s="18">
        <f t="shared" si="7"/>
        <v>0</v>
      </c>
    </row>
    <row r="51" spans="1:15" x14ac:dyDescent="0.25">
      <c r="A51" s="15">
        <v>50</v>
      </c>
      <c r="B51" s="36" t="s">
        <v>78</v>
      </c>
      <c r="C51" s="51">
        <f>VLOOKUP(B:B,Courts!B:F,5,FALSE())</f>
        <v>4</v>
      </c>
      <c r="D51" s="18">
        <v>0</v>
      </c>
      <c r="E51" s="18">
        <v>1</v>
      </c>
      <c r="F51" s="18">
        <v>0</v>
      </c>
      <c r="G51" s="18">
        <v>0</v>
      </c>
      <c r="H51" s="18">
        <v>1</v>
      </c>
      <c r="I51" s="18">
        <v>0</v>
      </c>
      <c r="J51" s="18">
        <v>0</v>
      </c>
      <c r="K51" s="18">
        <v>4</v>
      </c>
      <c r="L51" s="18">
        <f t="shared" si="4"/>
        <v>5</v>
      </c>
      <c r="M51" s="18">
        <f t="shared" si="5"/>
        <v>4</v>
      </c>
      <c r="N51" s="18">
        <f t="shared" si="6"/>
        <v>1</v>
      </c>
      <c r="O51" s="18">
        <f t="shared" si="7"/>
        <v>0</v>
      </c>
    </row>
    <row r="52" spans="1:15" x14ac:dyDescent="0.25">
      <c r="A52" s="15">
        <v>51</v>
      </c>
      <c r="B52" s="36" t="s">
        <v>79</v>
      </c>
      <c r="C52" s="51">
        <f>VLOOKUP(B:B,Courts!B:F,5,FALSE())</f>
        <v>3</v>
      </c>
      <c r="D52" s="18">
        <v>0</v>
      </c>
      <c r="E52" s="18">
        <v>0</v>
      </c>
      <c r="F52" s="18">
        <v>0</v>
      </c>
      <c r="G52" s="18">
        <v>0</v>
      </c>
      <c r="H52" s="18">
        <v>1</v>
      </c>
      <c r="I52" s="18">
        <v>0</v>
      </c>
      <c r="J52" s="18">
        <v>0</v>
      </c>
      <c r="K52" s="18">
        <v>2</v>
      </c>
      <c r="L52" s="18">
        <f t="shared" si="4"/>
        <v>2</v>
      </c>
      <c r="M52" s="18">
        <f t="shared" si="5"/>
        <v>3</v>
      </c>
      <c r="N52" s="18">
        <f t="shared" si="6"/>
        <v>-1</v>
      </c>
      <c r="O52" s="18">
        <v>0</v>
      </c>
    </row>
    <row r="53" spans="1:15" x14ac:dyDescent="0.25">
      <c r="A53" s="15">
        <v>52</v>
      </c>
      <c r="B53" s="36" t="s">
        <v>80</v>
      </c>
      <c r="C53" s="51">
        <f>VLOOKUP(B:B,Courts!B:F,5,FALSE())</f>
        <v>1</v>
      </c>
      <c r="D53" s="18">
        <v>0</v>
      </c>
      <c r="E53" s="18">
        <v>0</v>
      </c>
      <c r="F53" s="18">
        <v>1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f t="shared" si="4"/>
        <v>1</v>
      </c>
      <c r="M53" s="18">
        <f t="shared" si="5"/>
        <v>1</v>
      </c>
      <c r="N53" s="18">
        <f t="shared" si="6"/>
        <v>0</v>
      </c>
      <c r="O53" s="18">
        <f>IF(N53&lt;0, -N53, 0)</f>
        <v>0</v>
      </c>
    </row>
    <row r="54" spans="1:15" x14ac:dyDescent="0.25">
      <c r="A54" s="15">
        <v>53</v>
      </c>
      <c r="B54" s="37" t="s">
        <v>81</v>
      </c>
      <c r="C54" s="51">
        <f>VLOOKUP(B:B,Courts!B:F,5,FALSE())</f>
        <v>22</v>
      </c>
      <c r="D54" s="18">
        <v>1</v>
      </c>
      <c r="E54" s="18">
        <v>1</v>
      </c>
      <c r="F54" s="18">
        <v>0</v>
      </c>
      <c r="G54" s="18">
        <v>0</v>
      </c>
      <c r="H54" s="18">
        <v>1</v>
      </c>
      <c r="I54" s="18">
        <v>2</v>
      </c>
      <c r="J54" s="18">
        <v>1</v>
      </c>
      <c r="K54" s="18">
        <v>23</v>
      </c>
      <c r="L54" s="18">
        <f t="shared" si="4"/>
        <v>25</v>
      </c>
      <c r="M54" s="18">
        <f t="shared" si="5"/>
        <v>22</v>
      </c>
      <c r="N54" s="18">
        <f t="shared" si="6"/>
        <v>3</v>
      </c>
      <c r="O54" s="18">
        <f>IF(N54&lt;0, -N54, 0)</f>
        <v>0</v>
      </c>
    </row>
    <row r="55" spans="1:15" x14ac:dyDescent="0.25">
      <c r="A55" s="15">
        <v>54</v>
      </c>
      <c r="B55" s="36" t="s">
        <v>82</v>
      </c>
      <c r="C55" s="51">
        <f>VLOOKUP(B:B,Courts!B:F,5,FALSE())</f>
        <v>10</v>
      </c>
      <c r="D55" s="18">
        <v>0</v>
      </c>
      <c r="E55" s="18">
        <v>1</v>
      </c>
      <c r="F55" s="18">
        <v>0</v>
      </c>
      <c r="G55" s="18">
        <v>0</v>
      </c>
      <c r="H55" s="18">
        <v>1</v>
      </c>
      <c r="I55" s="18">
        <v>0</v>
      </c>
      <c r="J55" s="18">
        <v>0</v>
      </c>
      <c r="K55" s="18">
        <v>9</v>
      </c>
      <c r="L55" s="18">
        <f t="shared" si="4"/>
        <v>10</v>
      </c>
      <c r="M55" s="18">
        <f t="shared" si="5"/>
        <v>10</v>
      </c>
      <c r="N55" s="18">
        <f t="shared" si="6"/>
        <v>0</v>
      </c>
      <c r="O55" s="18">
        <f>IF(N55&lt;0, -N55, 0)</f>
        <v>0</v>
      </c>
    </row>
    <row r="56" spans="1:15" x14ac:dyDescent="0.25">
      <c r="A56" s="15">
        <v>55</v>
      </c>
      <c r="B56" s="36" t="s">
        <v>83</v>
      </c>
      <c r="C56" s="51">
        <f>VLOOKUP(B:B,Courts!B:F,5,FALSE())</f>
        <v>9</v>
      </c>
      <c r="D56" s="18">
        <v>0</v>
      </c>
      <c r="E56" s="18">
        <v>1</v>
      </c>
      <c r="F56" s="18">
        <v>0</v>
      </c>
      <c r="G56" s="18">
        <v>0</v>
      </c>
      <c r="H56" s="18">
        <v>1</v>
      </c>
      <c r="I56" s="18">
        <v>1</v>
      </c>
      <c r="J56" s="18">
        <v>0</v>
      </c>
      <c r="K56" s="18">
        <v>8</v>
      </c>
      <c r="L56" s="18">
        <f t="shared" si="4"/>
        <v>9</v>
      </c>
      <c r="M56" s="18">
        <f t="shared" si="5"/>
        <v>9</v>
      </c>
      <c r="N56" s="18">
        <f t="shared" si="6"/>
        <v>0</v>
      </c>
      <c r="O56" s="18">
        <f>IF(N56&lt;0, -N56, 0)</f>
        <v>0</v>
      </c>
    </row>
    <row r="57" spans="1:15" x14ac:dyDescent="0.25">
      <c r="A57" s="15">
        <v>56</v>
      </c>
      <c r="B57" s="37" t="s">
        <v>84</v>
      </c>
      <c r="C57" s="51">
        <f>VLOOKUP(B:B,Courts!B:F,5,FALSE())</f>
        <v>17</v>
      </c>
      <c r="D57" s="18">
        <v>1</v>
      </c>
      <c r="E57" s="18">
        <v>1</v>
      </c>
      <c r="F57" s="18">
        <v>0</v>
      </c>
      <c r="G57" s="18">
        <v>0</v>
      </c>
      <c r="H57" s="18">
        <v>1</v>
      </c>
      <c r="I57" s="18">
        <v>2</v>
      </c>
      <c r="J57" s="18">
        <v>1</v>
      </c>
      <c r="K57" s="18">
        <v>16</v>
      </c>
      <c r="L57" s="18">
        <f t="shared" si="4"/>
        <v>18</v>
      </c>
      <c r="M57" s="18">
        <f t="shared" si="5"/>
        <v>17</v>
      </c>
      <c r="N57" s="18">
        <f t="shared" si="6"/>
        <v>1</v>
      </c>
      <c r="O57" s="18">
        <f>IF(N57&lt;0, -N57, 0)</f>
        <v>0</v>
      </c>
    </row>
    <row r="58" spans="1:15" x14ac:dyDescent="0.25">
      <c r="A58" s="15">
        <v>57</v>
      </c>
      <c r="B58" s="36" t="s">
        <v>85</v>
      </c>
      <c r="C58" s="51">
        <f>VLOOKUP(B:B,Courts!B:F,5,FALSE())</f>
        <v>8</v>
      </c>
      <c r="D58" s="18">
        <v>0</v>
      </c>
      <c r="E58" s="18">
        <v>1</v>
      </c>
      <c r="F58" s="18">
        <v>0</v>
      </c>
      <c r="G58" s="18">
        <v>0</v>
      </c>
      <c r="H58" s="18">
        <v>1</v>
      </c>
      <c r="I58" s="18">
        <v>1</v>
      </c>
      <c r="J58" s="18">
        <v>0</v>
      </c>
      <c r="K58" s="18">
        <v>6</v>
      </c>
      <c r="L58" s="18">
        <f t="shared" si="4"/>
        <v>7</v>
      </c>
      <c r="M58" s="18">
        <f t="shared" si="5"/>
        <v>8</v>
      </c>
      <c r="N58" s="18">
        <f t="shared" si="6"/>
        <v>-1</v>
      </c>
      <c r="O58" s="18">
        <v>0</v>
      </c>
    </row>
    <row r="59" spans="1:15" x14ac:dyDescent="0.25">
      <c r="A59" s="15">
        <v>58</v>
      </c>
      <c r="B59" s="36" t="s">
        <v>86</v>
      </c>
      <c r="C59" s="51">
        <f>VLOOKUP(B:B,Courts!B:F,5,FALSE())</f>
        <v>6</v>
      </c>
      <c r="D59" s="18">
        <v>0</v>
      </c>
      <c r="E59" s="18">
        <v>1</v>
      </c>
      <c r="F59" s="18">
        <v>0</v>
      </c>
      <c r="G59" s="18">
        <v>0</v>
      </c>
      <c r="H59" s="18">
        <v>1</v>
      </c>
      <c r="I59" s="18">
        <v>0</v>
      </c>
      <c r="J59" s="18">
        <v>0</v>
      </c>
      <c r="K59" s="18">
        <v>5</v>
      </c>
      <c r="L59" s="18">
        <f t="shared" si="4"/>
        <v>6</v>
      </c>
      <c r="M59" s="18">
        <f t="shared" si="5"/>
        <v>6</v>
      </c>
      <c r="N59" s="18">
        <f t="shared" si="6"/>
        <v>0</v>
      </c>
      <c r="O59" s="18">
        <f t="shared" ref="O59:O80" si="8">IF(N59&lt;0, -N59, 0)</f>
        <v>0</v>
      </c>
    </row>
    <row r="60" spans="1:15" x14ac:dyDescent="0.25">
      <c r="A60" s="15">
        <v>59</v>
      </c>
      <c r="B60" s="36" t="s">
        <v>87</v>
      </c>
      <c r="C60" s="51">
        <f>VLOOKUP(B:B,Courts!B:F,5,FALSE())</f>
        <v>4</v>
      </c>
      <c r="D60" s="18">
        <v>0</v>
      </c>
      <c r="E60" s="18">
        <v>1</v>
      </c>
      <c r="F60" s="18">
        <v>0</v>
      </c>
      <c r="G60" s="18">
        <v>0</v>
      </c>
      <c r="H60" s="18">
        <v>1</v>
      </c>
      <c r="I60" s="18">
        <v>0</v>
      </c>
      <c r="J60" s="18">
        <v>0</v>
      </c>
      <c r="K60" s="18">
        <v>3</v>
      </c>
      <c r="L60" s="18">
        <f t="shared" si="4"/>
        <v>4</v>
      </c>
      <c r="M60" s="18">
        <f t="shared" si="5"/>
        <v>4</v>
      </c>
      <c r="N60" s="18">
        <f t="shared" si="6"/>
        <v>0</v>
      </c>
      <c r="O60" s="18">
        <f t="shared" si="8"/>
        <v>0</v>
      </c>
    </row>
    <row r="61" spans="1:15" x14ac:dyDescent="0.25">
      <c r="A61" s="15">
        <v>60</v>
      </c>
      <c r="B61" s="36" t="s">
        <v>88</v>
      </c>
      <c r="C61" s="51">
        <f>VLOOKUP(B:B,Courts!B:F,5,FALSE())</f>
        <v>6</v>
      </c>
      <c r="D61" s="18">
        <v>0</v>
      </c>
      <c r="E61" s="18">
        <v>1</v>
      </c>
      <c r="F61" s="18">
        <v>0</v>
      </c>
      <c r="G61" s="18">
        <v>0</v>
      </c>
      <c r="H61" s="18">
        <v>1</v>
      </c>
      <c r="I61" s="18">
        <v>0</v>
      </c>
      <c r="J61" s="18">
        <v>0</v>
      </c>
      <c r="K61" s="18">
        <v>6</v>
      </c>
      <c r="L61" s="18">
        <f t="shared" si="4"/>
        <v>7</v>
      </c>
      <c r="M61" s="18">
        <f t="shared" si="5"/>
        <v>6</v>
      </c>
      <c r="N61" s="18">
        <f t="shared" si="6"/>
        <v>1</v>
      </c>
      <c r="O61" s="18">
        <f t="shared" si="8"/>
        <v>0</v>
      </c>
    </row>
    <row r="62" spans="1:15" x14ac:dyDescent="0.25">
      <c r="A62" s="15">
        <v>61</v>
      </c>
      <c r="B62" s="37" t="s">
        <v>89</v>
      </c>
      <c r="C62" s="51">
        <f>VLOOKUP(B:B,Courts!B:F,5,FALSE())</f>
        <v>9</v>
      </c>
      <c r="D62" s="18">
        <v>1</v>
      </c>
      <c r="E62" s="18">
        <v>1</v>
      </c>
      <c r="F62" s="18">
        <v>0</v>
      </c>
      <c r="G62" s="18">
        <v>0</v>
      </c>
      <c r="H62" s="18">
        <v>1</v>
      </c>
      <c r="I62" s="18">
        <v>1</v>
      </c>
      <c r="J62" s="18">
        <v>1</v>
      </c>
      <c r="K62" s="18">
        <v>8</v>
      </c>
      <c r="L62" s="18">
        <f t="shared" si="4"/>
        <v>10</v>
      </c>
      <c r="M62" s="18">
        <f t="shared" si="5"/>
        <v>9</v>
      </c>
      <c r="N62" s="18">
        <f t="shared" si="6"/>
        <v>1</v>
      </c>
      <c r="O62" s="18">
        <f t="shared" si="8"/>
        <v>0</v>
      </c>
    </row>
    <row r="63" spans="1:15" x14ac:dyDescent="0.25">
      <c r="A63" s="15">
        <v>62</v>
      </c>
      <c r="B63" s="36" t="s">
        <v>90</v>
      </c>
      <c r="C63" s="51">
        <f>VLOOKUP(B:B,Courts!B:F,5,FALSE())</f>
        <v>4</v>
      </c>
      <c r="D63" s="18">
        <v>0</v>
      </c>
      <c r="E63" s="18">
        <v>1</v>
      </c>
      <c r="F63" s="18">
        <v>0</v>
      </c>
      <c r="G63" s="18">
        <v>0</v>
      </c>
      <c r="H63" s="18">
        <v>1</v>
      </c>
      <c r="I63" s="18">
        <v>0</v>
      </c>
      <c r="J63" s="18">
        <v>0</v>
      </c>
      <c r="K63" s="18">
        <v>4</v>
      </c>
      <c r="L63" s="18">
        <f t="shared" si="4"/>
        <v>5</v>
      </c>
      <c r="M63" s="18">
        <f t="shared" si="5"/>
        <v>4</v>
      </c>
      <c r="N63" s="18">
        <f t="shared" si="6"/>
        <v>1</v>
      </c>
      <c r="O63" s="18">
        <f t="shared" si="8"/>
        <v>0</v>
      </c>
    </row>
    <row r="64" spans="1:15" x14ac:dyDescent="0.25">
      <c r="A64" s="15">
        <v>63</v>
      </c>
      <c r="B64" s="36" t="s">
        <v>91</v>
      </c>
      <c r="C64" s="51">
        <f>VLOOKUP(B:B,Courts!B:F,5,FALSE())</f>
        <v>7</v>
      </c>
      <c r="D64" s="18">
        <v>0</v>
      </c>
      <c r="E64" s="18">
        <v>1</v>
      </c>
      <c r="F64" s="18">
        <v>0</v>
      </c>
      <c r="G64" s="18">
        <v>0</v>
      </c>
      <c r="H64" s="18">
        <v>1</v>
      </c>
      <c r="I64" s="18">
        <v>0</v>
      </c>
      <c r="J64" s="18">
        <v>0</v>
      </c>
      <c r="K64" s="18">
        <v>6</v>
      </c>
      <c r="L64" s="18">
        <f t="shared" si="4"/>
        <v>7</v>
      </c>
      <c r="M64" s="18">
        <f t="shared" si="5"/>
        <v>7</v>
      </c>
      <c r="N64" s="18">
        <f t="shared" si="6"/>
        <v>0</v>
      </c>
      <c r="O64" s="18">
        <f t="shared" si="8"/>
        <v>0</v>
      </c>
    </row>
    <row r="65" spans="1:15" x14ac:dyDescent="0.25">
      <c r="A65" s="15">
        <v>64</v>
      </c>
      <c r="B65" s="37" t="s">
        <v>92</v>
      </c>
      <c r="C65" s="51">
        <f>VLOOKUP(B:B,Courts!B:F,5,FALSE())</f>
        <v>13</v>
      </c>
      <c r="D65" s="18">
        <v>1</v>
      </c>
      <c r="E65" s="18">
        <v>1</v>
      </c>
      <c r="F65" s="18">
        <v>0</v>
      </c>
      <c r="G65" s="18">
        <v>0</v>
      </c>
      <c r="H65" s="18">
        <v>1</v>
      </c>
      <c r="I65" s="18">
        <v>1</v>
      </c>
      <c r="J65" s="18">
        <v>1</v>
      </c>
      <c r="K65" s="18">
        <v>13</v>
      </c>
      <c r="L65" s="18">
        <f t="shared" si="4"/>
        <v>15</v>
      </c>
      <c r="M65" s="18">
        <f t="shared" si="5"/>
        <v>13</v>
      </c>
      <c r="N65" s="18">
        <f t="shared" si="6"/>
        <v>2</v>
      </c>
      <c r="O65" s="18">
        <f t="shared" si="8"/>
        <v>0</v>
      </c>
    </row>
    <row r="66" spans="1:15" x14ac:dyDescent="0.25">
      <c r="A66" s="15">
        <v>65</v>
      </c>
      <c r="B66" s="36" t="s">
        <v>93</v>
      </c>
      <c r="C66" s="51">
        <f>VLOOKUP(B:B,Courts!B:F,5,FALSE())</f>
        <v>3</v>
      </c>
      <c r="D66" s="18">
        <v>0</v>
      </c>
      <c r="E66" s="18">
        <v>1</v>
      </c>
      <c r="F66" s="18">
        <v>0</v>
      </c>
      <c r="G66" s="18">
        <v>0</v>
      </c>
      <c r="H66" s="18">
        <v>1</v>
      </c>
      <c r="I66" s="18">
        <v>0</v>
      </c>
      <c r="J66" s="18">
        <v>0</v>
      </c>
      <c r="K66" s="18">
        <v>2</v>
      </c>
      <c r="L66" s="18">
        <f t="shared" ref="L66:L99" si="9">SUM(D66+E66+F66+G66+K66)</f>
        <v>3</v>
      </c>
      <c r="M66" s="18">
        <f t="shared" ref="M66:M99" si="10">C66*1</f>
        <v>3</v>
      </c>
      <c r="N66" s="18">
        <f t="shared" ref="N66:N99" si="11">L66-M66</f>
        <v>0</v>
      </c>
      <c r="O66" s="18">
        <f t="shared" si="8"/>
        <v>0</v>
      </c>
    </row>
    <row r="67" spans="1:15" x14ac:dyDescent="0.25">
      <c r="A67" s="15">
        <v>66</v>
      </c>
      <c r="B67" s="37" t="s">
        <v>94</v>
      </c>
      <c r="C67" s="51">
        <f>VLOOKUP(B:B,Courts!B:F,5,FALSE())</f>
        <v>10</v>
      </c>
      <c r="D67" s="18">
        <v>1</v>
      </c>
      <c r="E67" s="18">
        <v>1</v>
      </c>
      <c r="F67" s="18">
        <v>0</v>
      </c>
      <c r="G67" s="18">
        <v>0</v>
      </c>
      <c r="H67" s="18">
        <v>1</v>
      </c>
      <c r="I67" s="18">
        <v>1</v>
      </c>
      <c r="J67" s="18">
        <v>1</v>
      </c>
      <c r="K67" s="18">
        <v>12</v>
      </c>
      <c r="L67" s="18">
        <f t="shared" si="9"/>
        <v>14</v>
      </c>
      <c r="M67" s="18">
        <f t="shared" si="10"/>
        <v>10</v>
      </c>
      <c r="N67" s="18">
        <f t="shared" si="11"/>
        <v>4</v>
      </c>
      <c r="O67" s="18">
        <f t="shared" si="8"/>
        <v>0</v>
      </c>
    </row>
    <row r="68" spans="1:15" x14ac:dyDescent="0.25">
      <c r="A68" s="15">
        <v>67</v>
      </c>
      <c r="B68" s="36" t="s">
        <v>95</v>
      </c>
      <c r="C68" s="51">
        <f>VLOOKUP(B:B,Courts!B:F,5,FALSE())</f>
        <v>7</v>
      </c>
      <c r="D68" s="18">
        <v>0</v>
      </c>
      <c r="E68" s="18">
        <v>1</v>
      </c>
      <c r="F68" s="18">
        <v>0</v>
      </c>
      <c r="G68" s="18">
        <v>0</v>
      </c>
      <c r="H68" s="18">
        <v>1</v>
      </c>
      <c r="I68" s="18">
        <v>0</v>
      </c>
      <c r="J68" s="18">
        <v>0</v>
      </c>
      <c r="K68" s="18">
        <v>6</v>
      </c>
      <c r="L68" s="18">
        <f t="shared" si="9"/>
        <v>7</v>
      </c>
      <c r="M68" s="18">
        <f t="shared" si="10"/>
        <v>7</v>
      </c>
      <c r="N68" s="18">
        <f t="shared" si="11"/>
        <v>0</v>
      </c>
      <c r="O68" s="18">
        <f t="shared" si="8"/>
        <v>0</v>
      </c>
    </row>
    <row r="69" spans="1:15" x14ac:dyDescent="0.25">
      <c r="A69" s="15">
        <v>68</v>
      </c>
      <c r="B69" s="36" t="s">
        <v>96</v>
      </c>
      <c r="C69" s="51">
        <f>VLOOKUP(B:B,Courts!B:F,5,FALSE())</f>
        <v>3</v>
      </c>
      <c r="D69" s="18">
        <v>0</v>
      </c>
      <c r="E69" s="18">
        <v>1</v>
      </c>
      <c r="F69" s="18">
        <v>0</v>
      </c>
      <c r="G69" s="18">
        <v>0</v>
      </c>
      <c r="H69" s="18">
        <v>1</v>
      </c>
      <c r="I69" s="18">
        <v>0</v>
      </c>
      <c r="J69" s="18">
        <v>0</v>
      </c>
      <c r="K69" s="18">
        <v>2</v>
      </c>
      <c r="L69" s="18">
        <f t="shared" si="9"/>
        <v>3</v>
      </c>
      <c r="M69" s="18">
        <f t="shared" si="10"/>
        <v>3</v>
      </c>
      <c r="N69" s="18">
        <f t="shared" si="11"/>
        <v>0</v>
      </c>
      <c r="O69" s="18">
        <f t="shared" si="8"/>
        <v>0</v>
      </c>
    </row>
    <row r="70" spans="1:15" x14ac:dyDescent="0.25">
      <c r="A70" s="15">
        <v>69</v>
      </c>
      <c r="B70" s="37" t="s">
        <v>97</v>
      </c>
      <c r="C70" s="51">
        <f>VLOOKUP(B:B,Courts!B:F,5,FALSE())</f>
        <v>28</v>
      </c>
      <c r="D70" s="18">
        <v>1</v>
      </c>
      <c r="E70" s="18">
        <v>1</v>
      </c>
      <c r="F70" s="18">
        <v>0</v>
      </c>
      <c r="G70" s="18">
        <v>2</v>
      </c>
      <c r="H70" s="18">
        <v>3</v>
      </c>
      <c r="I70" s="18">
        <v>3</v>
      </c>
      <c r="J70" s="18">
        <v>2</v>
      </c>
      <c r="K70" s="18">
        <v>32</v>
      </c>
      <c r="L70" s="18">
        <f t="shared" si="9"/>
        <v>36</v>
      </c>
      <c r="M70" s="18">
        <f t="shared" si="10"/>
        <v>28</v>
      </c>
      <c r="N70" s="18">
        <f t="shared" si="11"/>
        <v>8</v>
      </c>
      <c r="O70" s="18">
        <f t="shared" si="8"/>
        <v>0</v>
      </c>
    </row>
    <row r="71" spans="1:15" x14ac:dyDescent="0.25">
      <c r="A71" s="15">
        <v>70</v>
      </c>
      <c r="B71" s="37" t="s">
        <v>98</v>
      </c>
      <c r="C71" s="51">
        <f>VLOOKUP(B:B,Courts!B:F,5,FALSE())</f>
        <v>27</v>
      </c>
      <c r="D71" s="18">
        <v>1</v>
      </c>
      <c r="E71" s="18">
        <v>1</v>
      </c>
      <c r="F71" s="18">
        <v>0</v>
      </c>
      <c r="G71" s="18">
        <v>0</v>
      </c>
      <c r="H71" s="18">
        <v>1</v>
      </c>
      <c r="I71" s="18">
        <v>2</v>
      </c>
      <c r="J71" s="18">
        <v>1</v>
      </c>
      <c r="K71" s="18">
        <v>24</v>
      </c>
      <c r="L71" s="18">
        <f t="shared" si="9"/>
        <v>26</v>
      </c>
      <c r="M71" s="18">
        <f t="shared" si="10"/>
        <v>27</v>
      </c>
      <c r="N71" s="18">
        <f t="shared" si="11"/>
        <v>-1</v>
      </c>
      <c r="O71" s="18">
        <f t="shared" si="8"/>
        <v>1</v>
      </c>
    </row>
    <row r="72" spans="1:15" x14ac:dyDescent="0.25">
      <c r="A72" s="15">
        <v>71</v>
      </c>
      <c r="B72" s="36" t="s">
        <v>99</v>
      </c>
      <c r="C72" s="51">
        <f>VLOOKUP(B:B,Courts!B:F,5,FALSE())</f>
        <v>4</v>
      </c>
      <c r="D72" s="18">
        <v>0</v>
      </c>
      <c r="E72" s="18">
        <v>1</v>
      </c>
      <c r="F72" s="18">
        <v>0</v>
      </c>
      <c r="G72" s="18">
        <v>0</v>
      </c>
      <c r="H72" s="18">
        <v>1</v>
      </c>
      <c r="I72" s="18">
        <v>0</v>
      </c>
      <c r="J72" s="18">
        <v>0</v>
      </c>
      <c r="K72" s="18">
        <v>2</v>
      </c>
      <c r="L72" s="18">
        <f t="shared" si="9"/>
        <v>3</v>
      </c>
      <c r="M72" s="18">
        <f t="shared" si="10"/>
        <v>4</v>
      </c>
      <c r="N72" s="18">
        <f t="shared" si="11"/>
        <v>-1</v>
      </c>
      <c r="O72" s="18">
        <f t="shared" si="8"/>
        <v>1</v>
      </c>
    </row>
    <row r="73" spans="1:15" x14ac:dyDescent="0.25">
      <c r="A73" s="15">
        <v>72</v>
      </c>
      <c r="B73" s="37" t="s">
        <v>100</v>
      </c>
      <c r="C73" s="51">
        <f>VLOOKUP(B:B,Courts!B:F,5,FALSE())</f>
        <v>18</v>
      </c>
      <c r="D73" s="18">
        <v>1</v>
      </c>
      <c r="E73" s="18">
        <v>1</v>
      </c>
      <c r="F73" s="18">
        <v>0</v>
      </c>
      <c r="G73" s="18">
        <v>0</v>
      </c>
      <c r="H73" s="18">
        <v>1</v>
      </c>
      <c r="I73" s="18">
        <v>2</v>
      </c>
      <c r="J73" s="18">
        <v>1</v>
      </c>
      <c r="K73" s="18">
        <v>16</v>
      </c>
      <c r="L73" s="18">
        <f t="shared" si="9"/>
        <v>18</v>
      </c>
      <c r="M73" s="18">
        <f t="shared" si="10"/>
        <v>18</v>
      </c>
      <c r="N73" s="18">
        <f t="shared" si="11"/>
        <v>0</v>
      </c>
      <c r="O73" s="18">
        <f t="shared" si="8"/>
        <v>0</v>
      </c>
    </row>
    <row r="74" spans="1:15" x14ac:dyDescent="0.25">
      <c r="A74" s="15">
        <v>73</v>
      </c>
      <c r="B74" s="36" t="s">
        <v>101</v>
      </c>
      <c r="C74" s="51">
        <f>VLOOKUP(B:B,Courts!B:F,5,FALSE())</f>
        <v>3</v>
      </c>
      <c r="D74" s="18">
        <v>0</v>
      </c>
      <c r="E74" s="18">
        <v>1</v>
      </c>
      <c r="F74" s="18">
        <v>0</v>
      </c>
      <c r="G74" s="18">
        <v>0</v>
      </c>
      <c r="H74" s="18">
        <v>1</v>
      </c>
      <c r="I74" s="18">
        <v>0</v>
      </c>
      <c r="J74" s="18">
        <v>0</v>
      </c>
      <c r="K74" s="18">
        <v>2</v>
      </c>
      <c r="L74" s="18">
        <f t="shared" si="9"/>
        <v>3</v>
      </c>
      <c r="M74" s="18">
        <f t="shared" si="10"/>
        <v>3</v>
      </c>
      <c r="N74" s="18">
        <f t="shared" si="11"/>
        <v>0</v>
      </c>
      <c r="O74" s="18">
        <f t="shared" si="8"/>
        <v>0</v>
      </c>
    </row>
    <row r="75" spans="1:15" x14ac:dyDescent="0.25">
      <c r="A75" s="15">
        <v>74</v>
      </c>
      <c r="B75" s="36" t="s">
        <v>102</v>
      </c>
      <c r="C75" s="51">
        <f>VLOOKUP(B:B,Courts!B:F,5,FALSE())</f>
        <v>2</v>
      </c>
      <c r="D75" s="18">
        <v>0</v>
      </c>
      <c r="E75" s="18">
        <v>1</v>
      </c>
      <c r="F75" s="18">
        <v>0</v>
      </c>
      <c r="G75" s="18">
        <v>0</v>
      </c>
      <c r="H75" s="18">
        <v>1</v>
      </c>
      <c r="I75" s="18">
        <v>0</v>
      </c>
      <c r="J75" s="18">
        <v>0</v>
      </c>
      <c r="K75" s="18">
        <v>1</v>
      </c>
      <c r="L75" s="18">
        <f t="shared" si="9"/>
        <v>2</v>
      </c>
      <c r="M75" s="18">
        <f t="shared" si="10"/>
        <v>2</v>
      </c>
      <c r="N75" s="18">
        <f t="shared" si="11"/>
        <v>0</v>
      </c>
      <c r="O75" s="18">
        <f t="shared" si="8"/>
        <v>0</v>
      </c>
    </row>
    <row r="76" spans="1:15" x14ac:dyDescent="0.25">
      <c r="A76" s="15">
        <v>75</v>
      </c>
      <c r="B76" s="36" t="s">
        <v>103</v>
      </c>
      <c r="C76" s="51">
        <f>VLOOKUP(B:B,Courts!B:F,5,FALSE())</f>
        <v>2</v>
      </c>
      <c r="D76" s="18">
        <v>0</v>
      </c>
      <c r="E76" s="18">
        <v>1</v>
      </c>
      <c r="F76" s="18">
        <v>0</v>
      </c>
      <c r="G76" s="18">
        <v>0</v>
      </c>
      <c r="H76" s="18">
        <v>1</v>
      </c>
      <c r="I76" s="18">
        <v>0</v>
      </c>
      <c r="J76" s="18">
        <v>0</v>
      </c>
      <c r="K76" s="18">
        <v>2</v>
      </c>
      <c r="L76" s="18">
        <f t="shared" si="9"/>
        <v>3</v>
      </c>
      <c r="M76" s="18">
        <f t="shared" si="10"/>
        <v>2</v>
      </c>
      <c r="N76" s="18">
        <f t="shared" si="11"/>
        <v>1</v>
      </c>
      <c r="O76" s="18">
        <f t="shared" si="8"/>
        <v>0</v>
      </c>
    </row>
    <row r="77" spans="1:15" x14ac:dyDescent="0.25">
      <c r="A77" s="15">
        <v>76</v>
      </c>
      <c r="B77" s="37" t="s">
        <v>104</v>
      </c>
      <c r="C77" s="51">
        <f>VLOOKUP(B:B,Courts!B:F,5,FALSE())</f>
        <v>9</v>
      </c>
      <c r="D77" s="18">
        <v>0</v>
      </c>
      <c r="E77" s="18">
        <v>1</v>
      </c>
      <c r="F77" s="18">
        <v>0</v>
      </c>
      <c r="G77" s="18">
        <v>0</v>
      </c>
      <c r="H77" s="18">
        <v>1</v>
      </c>
      <c r="I77" s="18">
        <v>0</v>
      </c>
      <c r="J77" s="18">
        <v>1</v>
      </c>
      <c r="K77" s="18">
        <v>9</v>
      </c>
      <c r="L77" s="18">
        <f t="shared" si="9"/>
        <v>10</v>
      </c>
      <c r="M77" s="18">
        <f t="shared" si="10"/>
        <v>9</v>
      </c>
      <c r="N77" s="18">
        <f t="shared" si="11"/>
        <v>1</v>
      </c>
      <c r="O77" s="18">
        <f t="shared" si="8"/>
        <v>0</v>
      </c>
    </row>
    <row r="78" spans="1:15" x14ac:dyDescent="0.25">
      <c r="A78" s="15">
        <v>77</v>
      </c>
      <c r="B78" s="37" t="s">
        <v>105</v>
      </c>
      <c r="C78" s="51">
        <f>VLOOKUP(B:B,Courts!B:F,5,FALSE())</f>
        <v>49</v>
      </c>
      <c r="D78" s="18">
        <v>1</v>
      </c>
      <c r="E78" s="18">
        <v>1</v>
      </c>
      <c r="F78" s="18">
        <v>0</v>
      </c>
      <c r="G78" s="18">
        <v>2</v>
      </c>
      <c r="H78" s="18">
        <v>3</v>
      </c>
      <c r="I78" s="18">
        <v>3</v>
      </c>
      <c r="J78" s="18">
        <v>2</v>
      </c>
      <c r="K78" s="18">
        <v>39</v>
      </c>
      <c r="L78" s="18">
        <f t="shared" si="9"/>
        <v>43</v>
      </c>
      <c r="M78" s="18">
        <f t="shared" si="10"/>
        <v>49</v>
      </c>
      <c r="N78" s="18">
        <f t="shared" si="11"/>
        <v>-6</v>
      </c>
      <c r="O78" s="18">
        <f t="shared" si="8"/>
        <v>6</v>
      </c>
    </row>
    <row r="79" spans="1:15" x14ac:dyDescent="0.25">
      <c r="A79" s="15">
        <v>78</v>
      </c>
      <c r="B79" s="37" t="s">
        <v>106</v>
      </c>
      <c r="C79" s="51">
        <f>VLOOKUP(B:B,Courts!B:F,5,FALSE())</f>
        <v>12</v>
      </c>
      <c r="D79" s="18">
        <v>1</v>
      </c>
      <c r="E79" s="18">
        <v>1</v>
      </c>
      <c r="F79" s="18">
        <v>0</v>
      </c>
      <c r="G79" s="18">
        <v>0</v>
      </c>
      <c r="H79" s="18">
        <v>1</v>
      </c>
      <c r="I79" s="18">
        <v>1</v>
      </c>
      <c r="J79" s="18">
        <v>1</v>
      </c>
      <c r="K79" s="18">
        <v>11</v>
      </c>
      <c r="L79" s="18">
        <f t="shared" si="9"/>
        <v>13</v>
      </c>
      <c r="M79" s="18">
        <f t="shared" si="10"/>
        <v>12</v>
      </c>
      <c r="N79" s="18">
        <f t="shared" si="11"/>
        <v>1</v>
      </c>
      <c r="O79" s="18">
        <f t="shared" si="8"/>
        <v>0</v>
      </c>
    </row>
    <row r="80" spans="1:15" x14ac:dyDescent="0.25">
      <c r="A80" s="15">
        <v>79</v>
      </c>
      <c r="B80" s="36" t="s">
        <v>107</v>
      </c>
      <c r="C80" s="51">
        <f>VLOOKUP(B:B,Courts!B:F,5,FALSE())</f>
        <v>3</v>
      </c>
      <c r="D80" s="18">
        <v>0</v>
      </c>
      <c r="E80" s="18">
        <v>1</v>
      </c>
      <c r="F80" s="18">
        <v>0</v>
      </c>
      <c r="G80" s="18">
        <v>0</v>
      </c>
      <c r="H80" s="18">
        <v>1</v>
      </c>
      <c r="I80" s="18">
        <v>0</v>
      </c>
      <c r="J80" s="18">
        <v>0</v>
      </c>
      <c r="K80" s="18">
        <v>3</v>
      </c>
      <c r="L80" s="18">
        <f t="shared" si="9"/>
        <v>4</v>
      </c>
      <c r="M80" s="18">
        <f t="shared" si="10"/>
        <v>3</v>
      </c>
      <c r="N80" s="18">
        <f t="shared" si="11"/>
        <v>1</v>
      </c>
      <c r="O80" s="18">
        <f t="shared" si="8"/>
        <v>0</v>
      </c>
    </row>
    <row r="81" spans="1:15" x14ac:dyDescent="0.25">
      <c r="A81" s="15">
        <v>80</v>
      </c>
      <c r="B81" s="36" t="s">
        <v>108</v>
      </c>
      <c r="C81" s="51">
        <f>VLOOKUP(B:B,Courts!B:F,5,FALSE())</f>
        <v>4</v>
      </c>
      <c r="D81" s="18">
        <v>0</v>
      </c>
      <c r="E81" s="18">
        <v>1</v>
      </c>
      <c r="F81" s="18">
        <v>0</v>
      </c>
      <c r="G81" s="18">
        <v>0</v>
      </c>
      <c r="H81" s="18">
        <v>1</v>
      </c>
      <c r="I81" s="18">
        <v>0</v>
      </c>
      <c r="J81" s="18">
        <v>0</v>
      </c>
      <c r="K81" s="18">
        <v>2</v>
      </c>
      <c r="L81" s="18">
        <f t="shared" si="9"/>
        <v>3</v>
      </c>
      <c r="M81" s="18">
        <f t="shared" si="10"/>
        <v>4</v>
      </c>
      <c r="N81" s="18">
        <f t="shared" si="11"/>
        <v>-1</v>
      </c>
      <c r="O81" s="18">
        <v>0</v>
      </c>
    </row>
    <row r="82" spans="1:15" x14ac:dyDescent="0.25">
      <c r="A82" s="15">
        <v>81</v>
      </c>
      <c r="B82" s="37" t="s">
        <v>109</v>
      </c>
      <c r="C82" s="51">
        <f>VLOOKUP(B:B,Courts!B:F,5,FALSE())</f>
        <v>62</v>
      </c>
      <c r="D82" s="18">
        <v>1</v>
      </c>
      <c r="E82" s="18">
        <v>1</v>
      </c>
      <c r="F82" s="18">
        <v>0</v>
      </c>
      <c r="G82" s="18">
        <v>2</v>
      </c>
      <c r="H82" s="18">
        <v>3</v>
      </c>
      <c r="I82" s="18">
        <v>4</v>
      </c>
      <c r="J82" s="18">
        <v>2</v>
      </c>
      <c r="K82" s="18">
        <v>52</v>
      </c>
      <c r="L82" s="18">
        <f t="shared" si="9"/>
        <v>56</v>
      </c>
      <c r="M82" s="18">
        <f t="shared" si="10"/>
        <v>62</v>
      </c>
      <c r="N82" s="18">
        <f t="shared" si="11"/>
        <v>-6</v>
      </c>
      <c r="O82" s="18">
        <f t="shared" ref="O82:O92" si="12">IF(N82&lt;0, -N82, 0)</f>
        <v>6</v>
      </c>
    </row>
    <row r="83" spans="1:15" x14ac:dyDescent="0.25">
      <c r="A83" s="15">
        <v>82</v>
      </c>
      <c r="B83" s="36" t="s">
        <v>110</v>
      </c>
      <c r="C83" s="51">
        <f>VLOOKUP(B:B,Courts!B:F,5,FALSE())</f>
        <v>5</v>
      </c>
      <c r="D83" s="18">
        <v>0</v>
      </c>
      <c r="E83" s="18">
        <v>1</v>
      </c>
      <c r="F83" s="18">
        <v>0</v>
      </c>
      <c r="G83" s="18">
        <v>0</v>
      </c>
      <c r="H83" s="18">
        <v>1</v>
      </c>
      <c r="I83" s="18">
        <v>0</v>
      </c>
      <c r="J83" s="18">
        <v>0</v>
      </c>
      <c r="K83" s="18">
        <v>3</v>
      </c>
      <c r="L83" s="18">
        <f t="shared" si="9"/>
        <v>4</v>
      </c>
      <c r="M83" s="18">
        <f t="shared" si="10"/>
        <v>5</v>
      </c>
      <c r="N83" s="18">
        <f t="shared" si="11"/>
        <v>-1</v>
      </c>
      <c r="O83" s="18">
        <f t="shared" si="12"/>
        <v>1</v>
      </c>
    </row>
    <row r="84" spans="1:15" x14ac:dyDescent="0.25">
      <c r="A84" s="15">
        <v>83</v>
      </c>
      <c r="B84" s="36" t="s">
        <v>111</v>
      </c>
      <c r="C84" s="51">
        <f>VLOOKUP(B:B,Courts!B:F,5,FALSE())</f>
        <v>5</v>
      </c>
      <c r="D84" s="18">
        <v>0</v>
      </c>
      <c r="E84" s="18">
        <v>1</v>
      </c>
      <c r="F84" s="18">
        <v>0</v>
      </c>
      <c r="G84" s="18">
        <v>0</v>
      </c>
      <c r="H84" s="18">
        <v>1</v>
      </c>
      <c r="I84" s="18">
        <v>0</v>
      </c>
      <c r="J84" s="18">
        <v>0</v>
      </c>
      <c r="K84" s="18">
        <v>3</v>
      </c>
      <c r="L84" s="18">
        <f t="shared" si="9"/>
        <v>4</v>
      </c>
      <c r="M84" s="18">
        <f t="shared" si="10"/>
        <v>5</v>
      </c>
      <c r="N84" s="18">
        <f t="shared" si="11"/>
        <v>-1</v>
      </c>
      <c r="O84" s="18">
        <f t="shared" si="12"/>
        <v>1</v>
      </c>
    </row>
    <row r="85" spans="1:15" x14ac:dyDescent="0.25">
      <c r="A85" s="15">
        <v>84</v>
      </c>
      <c r="B85" s="37" t="s">
        <v>112</v>
      </c>
      <c r="C85" s="51">
        <f>VLOOKUP(B:B,Courts!B:F,5,FALSE())</f>
        <v>32</v>
      </c>
      <c r="D85" s="18">
        <v>1</v>
      </c>
      <c r="E85" s="18">
        <v>1</v>
      </c>
      <c r="F85" s="18">
        <v>0</v>
      </c>
      <c r="G85" s="18">
        <v>0</v>
      </c>
      <c r="H85" s="18">
        <v>1</v>
      </c>
      <c r="I85" s="18">
        <v>2</v>
      </c>
      <c r="J85" s="18">
        <v>1</v>
      </c>
      <c r="K85" s="18">
        <v>24</v>
      </c>
      <c r="L85" s="18">
        <f t="shared" si="9"/>
        <v>26</v>
      </c>
      <c r="M85" s="18">
        <f t="shared" si="10"/>
        <v>32</v>
      </c>
      <c r="N85" s="18">
        <f t="shared" si="11"/>
        <v>-6</v>
      </c>
      <c r="O85" s="18">
        <f t="shared" si="12"/>
        <v>6</v>
      </c>
    </row>
    <row r="86" spans="1:15" x14ac:dyDescent="0.25">
      <c r="A86" s="15">
        <v>85</v>
      </c>
      <c r="B86" s="36" t="s">
        <v>113</v>
      </c>
      <c r="C86" s="51">
        <f>VLOOKUP(B:B,Courts!B:F,5,FALSE())</f>
        <v>5</v>
      </c>
      <c r="D86" s="18">
        <v>0</v>
      </c>
      <c r="E86" s="18">
        <v>1</v>
      </c>
      <c r="F86" s="18">
        <v>0</v>
      </c>
      <c r="G86" s="18">
        <v>0</v>
      </c>
      <c r="H86" s="18">
        <v>1</v>
      </c>
      <c r="I86" s="18">
        <v>0</v>
      </c>
      <c r="J86" s="18">
        <v>0</v>
      </c>
      <c r="K86" s="18">
        <v>4</v>
      </c>
      <c r="L86" s="18">
        <f t="shared" si="9"/>
        <v>5</v>
      </c>
      <c r="M86" s="18">
        <f t="shared" si="10"/>
        <v>5</v>
      </c>
      <c r="N86" s="18">
        <f t="shared" si="11"/>
        <v>0</v>
      </c>
      <c r="O86" s="18">
        <f t="shared" si="12"/>
        <v>0</v>
      </c>
    </row>
    <row r="87" spans="1:15" x14ac:dyDescent="0.25">
      <c r="A87" s="15">
        <v>86</v>
      </c>
      <c r="B87" s="19" t="s">
        <v>221</v>
      </c>
      <c r="C87" s="51">
        <f>VLOOKUP(B:B,Courts!B:F,5,FALSE())</f>
        <v>2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0</v>
      </c>
      <c r="K87" s="18">
        <v>0</v>
      </c>
      <c r="L87" s="18">
        <f t="shared" si="9"/>
        <v>0</v>
      </c>
      <c r="M87" s="18">
        <f t="shared" si="10"/>
        <v>2</v>
      </c>
      <c r="N87" s="18">
        <f t="shared" si="11"/>
        <v>-2</v>
      </c>
      <c r="O87" s="18">
        <v>2</v>
      </c>
    </row>
    <row r="88" spans="1:15" x14ac:dyDescent="0.25">
      <c r="A88" s="15">
        <v>87</v>
      </c>
      <c r="B88" s="19" t="s">
        <v>222</v>
      </c>
      <c r="C88" s="51">
        <f>VLOOKUP(B:B,Courts!B:F,5,FALSE())</f>
        <v>3</v>
      </c>
      <c r="D88" s="18">
        <v>0</v>
      </c>
      <c r="E88" s="18">
        <v>0</v>
      </c>
      <c r="F88" s="18">
        <v>0</v>
      </c>
      <c r="G88" s="18">
        <v>0</v>
      </c>
      <c r="H88" s="18">
        <v>0</v>
      </c>
      <c r="I88" s="18">
        <v>0</v>
      </c>
      <c r="J88" s="18">
        <v>0</v>
      </c>
      <c r="K88" s="18">
        <v>0</v>
      </c>
      <c r="L88" s="18">
        <f t="shared" si="9"/>
        <v>0</v>
      </c>
      <c r="M88" s="18">
        <f t="shared" si="10"/>
        <v>3</v>
      </c>
      <c r="N88" s="18">
        <f t="shared" si="11"/>
        <v>-3</v>
      </c>
      <c r="O88" s="18">
        <v>3</v>
      </c>
    </row>
    <row r="89" spans="1:15" x14ac:dyDescent="0.25">
      <c r="A89" s="15">
        <v>88</v>
      </c>
      <c r="B89" s="37" t="s">
        <v>114</v>
      </c>
      <c r="C89" s="51">
        <f>VLOOKUP(B:B,Courts!B:F,5,FALSE())</f>
        <v>13</v>
      </c>
      <c r="D89" s="18">
        <v>1</v>
      </c>
      <c r="E89" s="18">
        <v>1</v>
      </c>
      <c r="F89" s="18">
        <v>0</v>
      </c>
      <c r="G89" s="18">
        <v>0</v>
      </c>
      <c r="H89" s="18">
        <v>1</v>
      </c>
      <c r="I89" s="18">
        <v>1</v>
      </c>
      <c r="J89" s="18">
        <v>1</v>
      </c>
      <c r="K89" s="18">
        <v>13</v>
      </c>
      <c r="L89" s="18">
        <f t="shared" si="9"/>
        <v>15</v>
      </c>
      <c r="M89" s="18">
        <f t="shared" si="10"/>
        <v>13</v>
      </c>
      <c r="N89" s="18">
        <f t="shared" si="11"/>
        <v>2</v>
      </c>
      <c r="O89" s="18">
        <f t="shared" si="12"/>
        <v>0</v>
      </c>
    </row>
    <row r="90" spans="1:15" x14ac:dyDescent="0.25">
      <c r="A90" s="15">
        <v>89</v>
      </c>
      <c r="B90" s="36" t="s">
        <v>115</v>
      </c>
      <c r="C90" s="51">
        <f>VLOOKUP(B:B,Courts!B:F,5,FALSE())</f>
        <v>7</v>
      </c>
      <c r="D90" s="18">
        <v>0</v>
      </c>
      <c r="E90" s="18">
        <v>1</v>
      </c>
      <c r="F90" s="18">
        <v>0</v>
      </c>
      <c r="G90" s="18">
        <v>0</v>
      </c>
      <c r="H90" s="18">
        <v>1</v>
      </c>
      <c r="I90" s="18">
        <v>0</v>
      </c>
      <c r="J90" s="18">
        <v>0</v>
      </c>
      <c r="K90" s="18">
        <v>6</v>
      </c>
      <c r="L90" s="18">
        <f t="shared" si="9"/>
        <v>7</v>
      </c>
      <c r="M90" s="18">
        <f t="shared" si="10"/>
        <v>7</v>
      </c>
      <c r="N90" s="18">
        <f t="shared" si="11"/>
        <v>0</v>
      </c>
      <c r="O90" s="18">
        <f t="shared" si="12"/>
        <v>0</v>
      </c>
    </row>
    <row r="91" spans="1:15" x14ac:dyDescent="0.25">
      <c r="A91" s="15">
        <v>90</v>
      </c>
      <c r="B91" s="37" t="s">
        <v>116</v>
      </c>
      <c r="C91" s="51">
        <f>VLOOKUP(B:B,Courts!B:F,5,FALSE())</f>
        <v>13</v>
      </c>
      <c r="D91" s="18">
        <v>1</v>
      </c>
      <c r="E91" s="18">
        <v>1</v>
      </c>
      <c r="F91" s="18">
        <v>0</v>
      </c>
      <c r="G91" s="18">
        <v>0</v>
      </c>
      <c r="H91" s="18">
        <v>1</v>
      </c>
      <c r="I91" s="18">
        <v>2</v>
      </c>
      <c r="J91" s="18">
        <v>1</v>
      </c>
      <c r="K91" s="18">
        <v>12</v>
      </c>
      <c r="L91" s="18">
        <f t="shared" si="9"/>
        <v>14</v>
      </c>
      <c r="M91" s="18">
        <f t="shared" si="10"/>
        <v>13</v>
      </c>
      <c r="N91" s="18">
        <f t="shared" si="11"/>
        <v>1</v>
      </c>
      <c r="O91" s="18">
        <f t="shared" si="12"/>
        <v>0</v>
      </c>
    </row>
    <row r="92" spans="1:15" x14ac:dyDescent="0.25">
      <c r="A92" s="15">
        <v>91</v>
      </c>
      <c r="B92" s="36" t="s">
        <v>117</v>
      </c>
      <c r="C92" s="51">
        <f>VLOOKUP(B:B,Courts!B:F,5,FALSE())</f>
        <v>4</v>
      </c>
      <c r="D92" s="18">
        <v>0</v>
      </c>
      <c r="E92" s="18">
        <v>1</v>
      </c>
      <c r="F92" s="18">
        <v>0</v>
      </c>
      <c r="G92" s="18">
        <v>0</v>
      </c>
      <c r="H92" s="18">
        <v>1</v>
      </c>
      <c r="I92" s="18">
        <v>0</v>
      </c>
      <c r="J92" s="18">
        <v>0</v>
      </c>
      <c r="K92" s="18">
        <v>3</v>
      </c>
      <c r="L92" s="18">
        <f t="shared" si="9"/>
        <v>4</v>
      </c>
      <c r="M92" s="18">
        <f t="shared" si="10"/>
        <v>4</v>
      </c>
      <c r="N92" s="18">
        <f t="shared" si="11"/>
        <v>0</v>
      </c>
      <c r="O92" s="18">
        <f t="shared" si="12"/>
        <v>0</v>
      </c>
    </row>
    <row r="93" spans="1:15" x14ac:dyDescent="0.25">
      <c r="A93" s="15">
        <v>92</v>
      </c>
      <c r="B93" s="36" t="s">
        <v>118</v>
      </c>
      <c r="C93" s="51">
        <f>VLOOKUP(B:B,Courts!B:F,5,FALSE())</f>
        <v>4</v>
      </c>
      <c r="D93" s="18">
        <v>0</v>
      </c>
      <c r="E93" s="18">
        <v>1</v>
      </c>
      <c r="F93" s="18">
        <v>0</v>
      </c>
      <c r="G93" s="18">
        <v>0</v>
      </c>
      <c r="H93" s="18">
        <v>1</v>
      </c>
      <c r="I93" s="18">
        <v>0</v>
      </c>
      <c r="J93" s="18">
        <v>0</v>
      </c>
      <c r="K93" s="18">
        <v>1</v>
      </c>
      <c r="L93" s="18">
        <f t="shared" si="9"/>
        <v>2</v>
      </c>
      <c r="M93" s="18">
        <f t="shared" si="10"/>
        <v>4</v>
      </c>
      <c r="N93" s="18">
        <f t="shared" si="11"/>
        <v>-2</v>
      </c>
      <c r="O93" s="18">
        <v>1</v>
      </c>
    </row>
    <row r="94" spans="1:15" x14ac:dyDescent="0.25">
      <c r="A94" s="15">
        <v>93</v>
      </c>
      <c r="B94" s="37" t="s">
        <v>119</v>
      </c>
      <c r="C94" s="51">
        <f>VLOOKUP(B:B,Courts!B:F,5,FALSE())</f>
        <v>19</v>
      </c>
      <c r="D94" s="18">
        <v>1</v>
      </c>
      <c r="E94" s="18">
        <v>1</v>
      </c>
      <c r="F94" s="18">
        <v>0</v>
      </c>
      <c r="G94" s="18">
        <v>0</v>
      </c>
      <c r="H94" s="18">
        <v>1</v>
      </c>
      <c r="I94" s="18">
        <v>2</v>
      </c>
      <c r="J94" s="18">
        <v>1</v>
      </c>
      <c r="K94" s="18">
        <v>18</v>
      </c>
      <c r="L94" s="18">
        <f t="shared" si="9"/>
        <v>20</v>
      </c>
      <c r="M94" s="18">
        <f t="shared" si="10"/>
        <v>19</v>
      </c>
      <c r="N94" s="18">
        <f t="shared" si="11"/>
        <v>1</v>
      </c>
      <c r="O94" s="18">
        <f>IF(N94&lt;0, -N94, 0)</f>
        <v>0</v>
      </c>
    </row>
    <row r="95" spans="1:15" x14ac:dyDescent="0.25">
      <c r="A95" s="15">
        <v>94</v>
      </c>
      <c r="B95" s="36" t="s">
        <v>120</v>
      </c>
      <c r="C95" s="51">
        <f>VLOOKUP(B:B,Courts!B:F,5,FALSE())</f>
        <v>3</v>
      </c>
      <c r="D95" s="18">
        <v>0</v>
      </c>
      <c r="E95" s="18">
        <v>1</v>
      </c>
      <c r="F95" s="18">
        <v>0</v>
      </c>
      <c r="G95" s="18">
        <v>0</v>
      </c>
      <c r="H95" s="18">
        <v>1</v>
      </c>
      <c r="I95" s="18">
        <v>0</v>
      </c>
      <c r="J95" s="18">
        <v>0</v>
      </c>
      <c r="K95" s="18">
        <v>2</v>
      </c>
      <c r="L95" s="18">
        <f t="shared" si="9"/>
        <v>3</v>
      </c>
      <c r="M95" s="18">
        <f t="shared" si="10"/>
        <v>3</v>
      </c>
      <c r="N95" s="18">
        <f t="shared" si="11"/>
        <v>0</v>
      </c>
      <c r="O95" s="18">
        <f>IF(N95&lt;0, -N95, 0)</f>
        <v>0</v>
      </c>
    </row>
    <row r="96" spans="1:15" x14ac:dyDescent="0.25">
      <c r="A96" s="15">
        <v>95</v>
      </c>
      <c r="B96" s="37" t="s">
        <v>121</v>
      </c>
      <c r="C96" s="51">
        <f>VLOOKUP(B:B,Courts!B:F,5,FALSE())</f>
        <v>33</v>
      </c>
      <c r="D96" s="18">
        <v>1</v>
      </c>
      <c r="E96" s="18">
        <v>1</v>
      </c>
      <c r="F96" s="18">
        <v>0</v>
      </c>
      <c r="G96" s="18">
        <v>0</v>
      </c>
      <c r="H96" s="18">
        <v>1</v>
      </c>
      <c r="I96" s="18">
        <v>2</v>
      </c>
      <c r="J96" s="18">
        <v>2</v>
      </c>
      <c r="K96" s="18">
        <v>31</v>
      </c>
      <c r="L96" s="18">
        <f t="shared" si="9"/>
        <v>33</v>
      </c>
      <c r="M96" s="18">
        <f t="shared" si="10"/>
        <v>33</v>
      </c>
      <c r="N96" s="18">
        <f t="shared" si="11"/>
        <v>0</v>
      </c>
      <c r="O96" s="18">
        <f>IF(N96&lt;0, -N96, 0)</f>
        <v>0</v>
      </c>
    </row>
    <row r="97" spans="1:15" x14ac:dyDescent="0.25">
      <c r="A97" s="15">
        <v>96</v>
      </c>
      <c r="B97" s="36" t="s">
        <v>122</v>
      </c>
      <c r="C97" s="51">
        <f>VLOOKUP(B:B,Courts!B:F,5,FALSE())</f>
        <v>3</v>
      </c>
      <c r="D97" s="18">
        <v>0</v>
      </c>
      <c r="E97" s="18">
        <v>1</v>
      </c>
      <c r="F97" s="18">
        <v>0</v>
      </c>
      <c r="G97" s="18">
        <v>0</v>
      </c>
      <c r="H97" s="18">
        <v>1</v>
      </c>
      <c r="I97" s="18">
        <v>0</v>
      </c>
      <c r="J97" s="18">
        <v>0</v>
      </c>
      <c r="K97" s="18">
        <v>3</v>
      </c>
      <c r="L97" s="18">
        <f t="shared" si="9"/>
        <v>4</v>
      </c>
      <c r="M97" s="18">
        <f t="shared" si="10"/>
        <v>3</v>
      </c>
      <c r="N97" s="18">
        <f t="shared" si="11"/>
        <v>1</v>
      </c>
      <c r="O97" s="18">
        <f>IF(N97&lt;0, -N97, 0)</f>
        <v>0</v>
      </c>
    </row>
    <row r="98" spans="1:15" x14ac:dyDescent="0.25">
      <c r="A98" s="15">
        <v>97</v>
      </c>
      <c r="B98" s="36" t="s">
        <v>123</v>
      </c>
      <c r="C98" s="51">
        <f>VLOOKUP(B:B,Courts!B:F,5,FALSE())</f>
        <v>1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f t="shared" si="9"/>
        <v>0</v>
      </c>
      <c r="M98" s="18">
        <f t="shared" si="10"/>
        <v>1</v>
      </c>
      <c r="N98" s="18">
        <f t="shared" si="11"/>
        <v>-1</v>
      </c>
      <c r="O98" s="18">
        <v>0</v>
      </c>
    </row>
    <row r="99" spans="1:15" x14ac:dyDescent="0.25">
      <c r="A99" s="15">
        <v>98</v>
      </c>
      <c r="B99" s="36" t="s">
        <v>124</v>
      </c>
      <c r="C99" s="51">
        <f>VLOOKUP(B:B,Courts!B:F,5,FALSE())</f>
        <v>2</v>
      </c>
      <c r="D99" s="18">
        <v>0</v>
      </c>
      <c r="E99" s="18">
        <v>1</v>
      </c>
      <c r="F99" s="18">
        <v>0</v>
      </c>
      <c r="G99" s="18">
        <v>0</v>
      </c>
      <c r="H99" s="18">
        <v>1</v>
      </c>
      <c r="I99" s="18">
        <v>0</v>
      </c>
      <c r="J99" s="18">
        <v>0</v>
      </c>
      <c r="K99" s="18">
        <v>2</v>
      </c>
      <c r="L99" s="18">
        <f t="shared" si="9"/>
        <v>3</v>
      </c>
      <c r="M99" s="18">
        <f t="shared" si="10"/>
        <v>2</v>
      </c>
      <c r="N99" s="18">
        <f t="shared" si="11"/>
        <v>1</v>
      </c>
      <c r="O99" s="18">
        <f>IF(N99&lt;0, -N99, 0)</f>
        <v>0</v>
      </c>
    </row>
    <row r="100" spans="1:15" x14ac:dyDescent="0.25">
      <c r="A100" s="15">
        <v>99</v>
      </c>
      <c r="B100" s="37" t="s">
        <v>125</v>
      </c>
      <c r="C100" s="51">
        <f>VLOOKUP(B:B,Courts!B:F,5,FALSE())</f>
        <v>16</v>
      </c>
      <c r="D100" s="18">
        <v>1</v>
      </c>
      <c r="E100" s="18">
        <v>1</v>
      </c>
      <c r="F100" s="18">
        <v>0</v>
      </c>
      <c r="G100" s="18">
        <v>0</v>
      </c>
      <c r="H100" s="18">
        <v>1</v>
      </c>
      <c r="I100" s="18">
        <v>2</v>
      </c>
      <c r="J100" s="18">
        <v>1</v>
      </c>
      <c r="K100" s="18">
        <v>18</v>
      </c>
      <c r="L100" s="18">
        <f t="shared" ref="L100:L131" si="13">SUM(D100+E100+F100+G100+K100)</f>
        <v>20</v>
      </c>
      <c r="M100" s="18">
        <f t="shared" ref="M100:M131" si="14">C100*1</f>
        <v>16</v>
      </c>
      <c r="N100" s="18">
        <f t="shared" ref="N100:N131" si="15">L100-M100</f>
        <v>4</v>
      </c>
      <c r="O100" s="18">
        <f>IF(N100&lt;0, -N100, 0)</f>
        <v>0</v>
      </c>
    </row>
    <row r="101" spans="1:15" x14ac:dyDescent="0.25">
      <c r="A101" s="15">
        <v>100</v>
      </c>
      <c r="B101" s="36" t="s">
        <v>126</v>
      </c>
      <c r="C101" s="51">
        <f>VLOOKUP(B:B,Courts!B:F,5,FALSE())</f>
        <v>4</v>
      </c>
      <c r="D101" s="18">
        <v>0</v>
      </c>
      <c r="E101" s="18">
        <v>1</v>
      </c>
      <c r="F101" s="18">
        <v>0</v>
      </c>
      <c r="G101" s="18">
        <v>0</v>
      </c>
      <c r="H101" s="18">
        <v>1</v>
      </c>
      <c r="I101" s="18">
        <v>0</v>
      </c>
      <c r="J101" s="18">
        <v>0</v>
      </c>
      <c r="K101" s="18">
        <v>2</v>
      </c>
      <c r="L101" s="18">
        <f t="shared" si="13"/>
        <v>3</v>
      </c>
      <c r="M101" s="18">
        <f t="shared" si="14"/>
        <v>4</v>
      </c>
      <c r="N101" s="18">
        <f t="shared" si="15"/>
        <v>-1</v>
      </c>
      <c r="O101" s="18">
        <v>0</v>
      </c>
    </row>
    <row r="102" spans="1:15" x14ac:dyDescent="0.25">
      <c r="A102" s="15">
        <v>101</v>
      </c>
      <c r="B102" s="36" t="s">
        <v>127</v>
      </c>
      <c r="C102" s="51">
        <f>VLOOKUP(B:B,Courts!B:F,5,FALSE())</f>
        <v>3</v>
      </c>
      <c r="D102" s="18">
        <v>0</v>
      </c>
      <c r="E102" s="18">
        <v>1</v>
      </c>
      <c r="F102" s="18">
        <v>0</v>
      </c>
      <c r="G102" s="18">
        <v>0</v>
      </c>
      <c r="H102" s="18">
        <v>1</v>
      </c>
      <c r="I102" s="18">
        <v>0</v>
      </c>
      <c r="J102" s="18">
        <v>0</v>
      </c>
      <c r="K102" s="18">
        <v>2</v>
      </c>
      <c r="L102" s="18">
        <f t="shared" si="13"/>
        <v>3</v>
      </c>
      <c r="M102" s="18">
        <f t="shared" si="14"/>
        <v>3</v>
      </c>
      <c r="N102" s="18">
        <f t="shared" si="15"/>
        <v>0</v>
      </c>
      <c r="O102" s="18">
        <f t="shared" ref="O102:O108" si="16">IF(N102&lt;0, -N102, 0)</f>
        <v>0</v>
      </c>
    </row>
    <row r="103" spans="1:15" x14ac:dyDescent="0.25">
      <c r="A103" s="15">
        <v>102</v>
      </c>
      <c r="B103" s="36" t="s">
        <v>128</v>
      </c>
      <c r="C103" s="51">
        <f>VLOOKUP(B:B,Courts!B:F,5,FALSE())</f>
        <v>1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1</v>
      </c>
      <c r="L103" s="18">
        <f t="shared" si="13"/>
        <v>1</v>
      </c>
      <c r="M103" s="18">
        <f t="shared" si="14"/>
        <v>1</v>
      </c>
      <c r="N103" s="18">
        <f t="shared" si="15"/>
        <v>0</v>
      </c>
      <c r="O103" s="18">
        <f t="shared" si="16"/>
        <v>0</v>
      </c>
    </row>
    <row r="104" spans="1:15" x14ac:dyDescent="0.25">
      <c r="A104" s="15">
        <v>103</v>
      </c>
      <c r="B104" s="37" t="s">
        <v>129</v>
      </c>
      <c r="C104" s="51">
        <f>VLOOKUP(B:B,Courts!B:F,5,FALSE())</f>
        <v>15</v>
      </c>
      <c r="D104" s="18">
        <v>1</v>
      </c>
      <c r="E104" s="18">
        <v>1</v>
      </c>
      <c r="F104" s="18">
        <v>0</v>
      </c>
      <c r="G104" s="18">
        <v>0</v>
      </c>
      <c r="H104" s="18">
        <v>1</v>
      </c>
      <c r="I104" s="18">
        <v>2</v>
      </c>
      <c r="J104" s="18">
        <v>1</v>
      </c>
      <c r="K104" s="18">
        <v>13</v>
      </c>
      <c r="L104" s="18">
        <f t="shared" si="13"/>
        <v>15</v>
      </c>
      <c r="M104" s="18">
        <f t="shared" si="14"/>
        <v>15</v>
      </c>
      <c r="N104" s="18">
        <f t="shared" si="15"/>
        <v>0</v>
      </c>
      <c r="O104" s="18">
        <f t="shared" si="16"/>
        <v>0</v>
      </c>
    </row>
    <row r="105" spans="1:15" x14ac:dyDescent="0.25">
      <c r="A105" s="15">
        <v>104</v>
      </c>
      <c r="B105" s="36" t="s">
        <v>130</v>
      </c>
      <c r="C105" s="51">
        <f>VLOOKUP(B:B,Courts!B:F,5,FALSE())</f>
        <v>5</v>
      </c>
      <c r="D105" s="18">
        <v>0</v>
      </c>
      <c r="E105" s="18">
        <v>1</v>
      </c>
      <c r="F105" s="18">
        <v>0</v>
      </c>
      <c r="G105" s="18">
        <v>0</v>
      </c>
      <c r="H105" s="18">
        <v>1</v>
      </c>
      <c r="I105" s="18">
        <v>0</v>
      </c>
      <c r="J105" s="18">
        <v>0</v>
      </c>
      <c r="K105" s="18">
        <v>3</v>
      </c>
      <c r="L105" s="18">
        <f t="shared" si="13"/>
        <v>4</v>
      </c>
      <c r="M105" s="18">
        <f t="shared" si="14"/>
        <v>5</v>
      </c>
      <c r="N105" s="18">
        <f t="shared" si="15"/>
        <v>-1</v>
      </c>
      <c r="O105" s="18">
        <f t="shared" si="16"/>
        <v>1</v>
      </c>
    </row>
    <row r="106" spans="1:15" x14ac:dyDescent="0.25">
      <c r="A106" s="15">
        <v>105</v>
      </c>
      <c r="B106" s="36" t="s">
        <v>131</v>
      </c>
      <c r="C106" s="51">
        <f>VLOOKUP(B:B,Courts!B:F,5,FALSE())</f>
        <v>4</v>
      </c>
      <c r="D106" s="18">
        <v>0</v>
      </c>
      <c r="E106" s="18">
        <v>1</v>
      </c>
      <c r="F106" s="18">
        <v>0</v>
      </c>
      <c r="G106" s="18">
        <v>0</v>
      </c>
      <c r="H106" s="18">
        <v>1</v>
      </c>
      <c r="I106" s="18">
        <v>0</v>
      </c>
      <c r="J106" s="18">
        <v>0</v>
      </c>
      <c r="K106" s="18">
        <v>2</v>
      </c>
      <c r="L106" s="18">
        <f t="shared" si="13"/>
        <v>3</v>
      </c>
      <c r="M106" s="18">
        <f t="shared" si="14"/>
        <v>4</v>
      </c>
      <c r="N106" s="18">
        <f t="shared" si="15"/>
        <v>-1</v>
      </c>
      <c r="O106" s="18">
        <f t="shared" si="16"/>
        <v>1</v>
      </c>
    </row>
    <row r="107" spans="1:15" x14ac:dyDescent="0.25">
      <c r="A107" s="15">
        <v>106</v>
      </c>
      <c r="B107" s="37" t="s">
        <v>132</v>
      </c>
      <c r="C107" s="51">
        <f>VLOOKUP(B:B,Courts!B:F,5,FALSE())</f>
        <v>14</v>
      </c>
      <c r="D107" s="18">
        <v>1</v>
      </c>
      <c r="E107" s="18">
        <v>1</v>
      </c>
      <c r="F107" s="18">
        <v>0</v>
      </c>
      <c r="G107" s="18">
        <v>0</v>
      </c>
      <c r="H107" s="18">
        <v>1</v>
      </c>
      <c r="I107" s="18">
        <v>1</v>
      </c>
      <c r="J107" s="18">
        <v>1</v>
      </c>
      <c r="K107" s="18">
        <v>16</v>
      </c>
      <c r="L107" s="18">
        <f t="shared" si="13"/>
        <v>18</v>
      </c>
      <c r="M107" s="18">
        <f t="shared" si="14"/>
        <v>14</v>
      </c>
      <c r="N107" s="18">
        <f t="shared" si="15"/>
        <v>4</v>
      </c>
      <c r="O107" s="18">
        <f t="shared" si="16"/>
        <v>0</v>
      </c>
    </row>
    <row r="108" spans="1:15" x14ac:dyDescent="0.25">
      <c r="A108" s="15">
        <v>107</v>
      </c>
      <c r="B108" s="36" t="s">
        <v>133</v>
      </c>
      <c r="C108" s="51">
        <f>VLOOKUP(B:B,Courts!B:F,5,FALSE())</f>
        <v>3</v>
      </c>
      <c r="D108" s="18">
        <v>0</v>
      </c>
      <c r="E108" s="18">
        <v>1</v>
      </c>
      <c r="F108" s="18">
        <v>0</v>
      </c>
      <c r="G108" s="18">
        <v>0</v>
      </c>
      <c r="H108" s="18">
        <v>1</v>
      </c>
      <c r="I108" s="18">
        <v>0</v>
      </c>
      <c r="J108" s="18">
        <v>0</v>
      </c>
      <c r="K108" s="18">
        <v>3</v>
      </c>
      <c r="L108" s="18">
        <f t="shared" si="13"/>
        <v>4</v>
      </c>
      <c r="M108" s="18">
        <f t="shared" si="14"/>
        <v>3</v>
      </c>
      <c r="N108" s="18">
        <f t="shared" si="15"/>
        <v>1</v>
      </c>
      <c r="O108" s="18">
        <f t="shared" si="16"/>
        <v>0</v>
      </c>
    </row>
    <row r="109" spans="1:15" x14ac:dyDescent="0.25">
      <c r="A109" s="15">
        <v>108</v>
      </c>
      <c r="B109" s="36" t="s">
        <v>134</v>
      </c>
      <c r="C109" s="51">
        <f>VLOOKUP(B:B,Courts!B:F,5,FALSE())</f>
        <v>5</v>
      </c>
      <c r="D109" s="18">
        <v>0</v>
      </c>
      <c r="E109" s="18">
        <v>0</v>
      </c>
      <c r="F109" s="18">
        <v>0</v>
      </c>
      <c r="G109" s="18">
        <v>0</v>
      </c>
      <c r="H109" s="18">
        <v>0</v>
      </c>
      <c r="I109" s="18">
        <v>1</v>
      </c>
      <c r="J109" s="18">
        <v>0</v>
      </c>
      <c r="K109" s="18">
        <v>2</v>
      </c>
      <c r="L109" s="18">
        <f t="shared" si="13"/>
        <v>2</v>
      </c>
      <c r="M109" s="18">
        <f t="shared" si="14"/>
        <v>5</v>
      </c>
      <c r="N109" s="18">
        <f t="shared" si="15"/>
        <v>-3</v>
      </c>
      <c r="O109" s="18">
        <v>0</v>
      </c>
    </row>
    <row r="110" spans="1:15" x14ac:dyDescent="0.25">
      <c r="A110" s="15">
        <v>109</v>
      </c>
      <c r="B110" s="37" t="s">
        <v>135</v>
      </c>
      <c r="C110" s="51">
        <f>VLOOKUP(B:B,Courts!B:F,5,FALSE())</f>
        <v>17</v>
      </c>
      <c r="D110" s="18">
        <v>1</v>
      </c>
      <c r="E110" s="18">
        <v>1</v>
      </c>
      <c r="F110" s="18">
        <v>0</v>
      </c>
      <c r="G110" s="18">
        <v>0</v>
      </c>
      <c r="H110" s="18">
        <v>1</v>
      </c>
      <c r="I110" s="18">
        <v>2</v>
      </c>
      <c r="J110" s="18">
        <v>1</v>
      </c>
      <c r="K110" s="18">
        <v>16</v>
      </c>
      <c r="L110" s="18">
        <f t="shared" si="13"/>
        <v>18</v>
      </c>
      <c r="M110" s="18">
        <f t="shared" si="14"/>
        <v>17</v>
      </c>
      <c r="N110" s="18">
        <f t="shared" si="15"/>
        <v>1</v>
      </c>
      <c r="O110" s="18">
        <f>IF(N110&lt;0, -N110, 0)</f>
        <v>0</v>
      </c>
    </row>
    <row r="111" spans="1:15" x14ac:dyDescent="0.25">
      <c r="A111" s="15">
        <v>110</v>
      </c>
      <c r="B111" s="36" t="s">
        <v>136</v>
      </c>
      <c r="C111" s="51">
        <f>VLOOKUP(B:B,Courts!B:F,5,FALSE())</f>
        <v>4</v>
      </c>
      <c r="D111" s="18">
        <v>0</v>
      </c>
      <c r="E111" s="18">
        <v>1</v>
      </c>
      <c r="F111" s="18">
        <v>0</v>
      </c>
      <c r="G111" s="18">
        <v>0</v>
      </c>
      <c r="H111" s="18">
        <v>1</v>
      </c>
      <c r="I111" s="18">
        <v>0</v>
      </c>
      <c r="J111" s="18">
        <v>0</v>
      </c>
      <c r="K111" s="18">
        <v>4</v>
      </c>
      <c r="L111" s="18">
        <f t="shared" si="13"/>
        <v>5</v>
      </c>
      <c r="M111" s="18">
        <f t="shared" si="14"/>
        <v>4</v>
      </c>
      <c r="N111" s="18">
        <f t="shared" si="15"/>
        <v>1</v>
      </c>
      <c r="O111" s="18">
        <f>IF(N111&lt;0, -N111, 0)</f>
        <v>0</v>
      </c>
    </row>
    <row r="112" spans="1:15" x14ac:dyDescent="0.25">
      <c r="A112" s="15">
        <v>111</v>
      </c>
      <c r="B112" s="36" t="s">
        <v>137</v>
      </c>
      <c r="C112" s="51">
        <f>VLOOKUP(B:B,Courts!B:F,5,FALSE())</f>
        <v>3</v>
      </c>
      <c r="D112" s="18">
        <v>0</v>
      </c>
      <c r="E112" s="18">
        <v>1</v>
      </c>
      <c r="F112" s="18">
        <v>0</v>
      </c>
      <c r="G112" s="18">
        <v>0</v>
      </c>
      <c r="H112" s="18">
        <v>1</v>
      </c>
      <c r="I112" s="18">
        <v>0</v>
      </c>
      <c r="J112" s="18">
        <v>0</v>
      </c>
      <c r="K112" s="18">
        <v>3</v>
      </c>
      <c r="L112" s="18">
        <f t="shared" si="13"/>
        <v>4</v>
      </c>
      <c r="M112" s="18">
        <f t="shared" si="14"/>
        <v>3</v>
      </c>
      <c r="N112" s="18">
        <f t="shared" si="15"/>
        <v>1</v>
      </c>
      <c r="O112" s="18">
        <f>IF(N112&lt;0, -N112, 0)</f>
        <v>0</v>
      </c>
    </row>
    <row r="113" spans="1:15" x14ac:dyDescent="0.25">
      <c r="A113" s="15">
        <v>112</v>
      </c>
      <c r="B113" s="37" t="s">
        <v>138</v>
      </c>
      <c r="C113" s="51">
        <f>VLOOKUP(B:B,Courts!B:F,5,FALSE())</f>
        <v>22</v>
      </c>
      <c r="D113" s="18">
        <v>1</v>
      </c>
      <c r="E113" s="18">
        <v>1</v>
      </c>
      <c r="F113" s="18">
        <v>0</v>
      </c>
      <c r="G113" s="18">
        <v>0</v>
      </c>
      <c r="H113" s="18">
        <v>1</v>
      </c>
      <c r="I113" s="18">
        <v>2</v>
      </c>
      <c r="J113" s="18">
        <v>1</v>
      </c>
      <c r="K113" s="18">
        <v>18</v>
      </c>
      <c r="L113" s="18">
        <f t="shared" si="13"/>
        <v>20</v>
      </c>
      <c r="M113" s="18">
        <f t="shared" si="14"/>
        <v>22</v>
      </c>
      <c r="N113" s="18">
        <f t="shared" si="15"/>
        <v>-2</v>
      </c>
      <c r="O113" s="18">
        <f>IF(N113&lt;0, -N113, 0)</f>
        <v>2</v>
      </c>
    </row>
    <row r="114" spans="1:15" x14ac:dyDescent="0.25">
      <c r="A114" s="15">
        <v>113</v>
      </c>
      <c r="B114" s="36" t="s">
        <v>139</v>
      </c>
      <c r="C114" s="51">
        <f>VLOOKUP(B:B,Courts!B:F,5,FALSE())</f>
        <v>5</v>
      </c>
      <c r="D114" s="18">
        <v>0</v>
      </c>
      <c r="E114" s="18">
        <v>1</v>
      </c>
      <c r="F114" s="18">
        <v>0</v>
      </c>
      <c r="G114" s="18">
        <v>0</v>
      </c>
      <c r="H114" s="18">
        <v>1</v>
      </c>
      <c r="I114" s="18">
        <v>0</v>
      </c>
      <c r="J114" s="18">
        <v>0</v>
      </c>
      <c r="K114" s="18">
        <v>3</v>
      </c>
      <c r="L114" s="18">
        <f t="shared" si="13"/>
        <v>4</v>
      </c>
      <c r="M114" s="18">
        <f t="shared" si="14"/>
        <v>5</v>
      </c>
      <c r="N114" s="18">
        <f t="shared" si="15"/>
        <v>-1</v>
      </c>
      <c r="O114" s="18">
        <f>IF(N114&lt;0, -N114, 0)</f>
        <v>1</v>
      </c>
    </row>
    <row r="115" spans="1:15" x14ac:dyDescent="0.25">
      <c r="A115" s="15">
        <v>114</v>
      </c>
      <c r="B115" s="37" t="s">
        <v>140</v>
      </c>
      <c r="C115" s="51">
        <f>VLOOKUP(B:B,Courts!B:F,5,FALSE())</f>
        <v>12</v>
      </c>
      <c r="D115" s="18">
        <v>1</v>
      </c>
      <c r="E115" s="18">
        <v>1</v>
      </c>
      <c r="F115" s="18">
        <v>0</v>
      </c>
      <c r="G115" s="18">
        <v>0</v>
      </c>
      <c r="H115" s="18">
        <v>1</v>
      </c>
      <c r="I115" s="18">
        <v>2</v>
      </c>
      <c r="J115" s="18">
        <v>1</v>
      </c>
      <c r="K115" s="18">
        <v>9</v>
      </c>
      <c r="L115" s="18">
        <f t="shared" si="13"/>
        <v>11</v>
      </c>
      <c r="M115" s="18">
        <f t="shared" si="14"/>
        <v>12</v>
      </c>
      <c r="N115" s="18">
        <f t="shared" si="15"/>
        <v>-1</v>
      </c>
      <c r="O115" s="18">
        <v>0</v>
      </c>
    </row>
    <row r="116" spans="1:15" x14ac:dyDescent="0.25">
      <c r="A116" s="15">
        <v>115</v>
      </c>
      <c r="B116" s="36" t="s">
        <v>141</v>
      </c>
      <c r="C116" s="51">
        <f>VLOOKUP(B:B,Courts!B:F,5,FALSE())</f>
        <v>2</v>
      </c>
      <c r="D116" s="18">
        <v>0</v>
      </c>
      <c r="E116" s="18">
        <v>1</v>
      </c>
      <c r="F116" s="18">
        <v>0</v>
      </c>
      <c r="G116" s="18">
        <v>0</v>
      </c>
      <c r="H116" s="18">
        <v>1</v>
      </c>
      <c r="I116" s="18">
        <v>0</v>
      </c>
      <c r="J116" s="18">
        <v>0</v>
      </c>
      <c r="K116" s="18">
        <v>2</v>
      </c>
      <c r="L116" s="18">
        <f t="shared" si="13"/>
        <v>3</v>
      </c>
      <c r="M116" s="18">
        <f t="shared" si="14"/>
        <v>2</v>
      </c>
      <c r="N116" s="18">
        <f t="shared" si="15"/>
        <v>1</v>
      </c>
      <c r="O116" s="18">
        <f>IF(N116&lt;0, -N116, 0)</f>
        <v>0</v>
      </c>
    </row>
    <row r="117" spans="1:15" x14ac:dyDescent="0.25">
      <c r="A117" s="15">
        <v>116</v>
      </c>
      <c r="B117" s="37" t="s">
        <v>1</v>
      </c>
      <c r="C117" s="51">
        <f>VLOOKUP(B:B,Courts!B:F,5,FALSE())</f>
        <v>21</v>
      </c>
      <c r="D117" s="18">
        <v>1</v>
      </c>
      <c r="E117" s="18">
        <v>1</v>
      </c>
      <c r="F117" s="18">
        <v>0</v>
      </c>
      <c r="G117" s="18">
        <v>0</v>
      </c>
      <c r="H117" s="18">
        <v>1</v>
      </c>
      <c r="I117" s="18">
        <v>2</v>
      </c>
      <c r="J117" s="18">
        <v>1</v>
      </c>
      <c r="K117" s="18">
        <v>17</v>
      </c>
      <c r="L117" s="18">
        <f t="shared" si="13"/>
        <v>19</v>
      </c>
      <c r="M117" s="18">
        <f t="shared" si="14"/>
        <v>21</v>
      </c>
      <c r="N117" s="18">
        <f t="shared" si="15"/>
        <v>-2</v>
      </c>
      <c r="O117" s="18">
        <f>IF(N117&lt;0, -N117, 0)</f>
        <v>2</v>
      </c>
    </row>
    <row r="118" spans="1:15" x14ac:dyDescent="0.25">
      <c r="A118" s="15">
        <v>117</v>
      </c>
      <c r="B118" s="36" t="s">
        <v>142</v>
      </c>
      <c r="C118" s="51">
        <f>VLOOKUP(B:B,Courts!B:F,5,FALSE())</f>
        <v>3</v>
      </c>
      <c r="D118" s="18">
        <v>0</v>
      </c>
      <c r="E118" s="18">
        <v>1</v>
      </c>
      <c r="F118" s="18">
        <v>0</v>
      </c>
      <c r="G118" s="18">
        <v>0</v>
      </c>
      <c r="H118" s="18">
        <v>1</v>
      </c>
      <c r="I118" s="18">
        <v>0</v>
      </c>
      <c r="J118" s="18">
        <v>0</v>
      </c>
      <c r="K118" s="18">
        <v>2</v>
      </c>
      <c r="L118" s="18">
        <f t="shared" si="13"/>
        <v>3</v>
      </c>
      <c r="M118" s="18">
        <f t="shared" si="14"/>
        <v>3</v>
      </c>
      <c r="N118" s="18">
        <f t="shared" si="15"/>
        <v>0</v>
      </c>
      <c r="O118" s="18">
        <f>IF(N118&lt;0, -N118, 0)</f>
        <v>0</v>
      </c>
    </row>
    <row r="119" spans="1:15" x14ac:dyDescent="0.25">
      <c r="A119" s="15">
        <v>118</v>
      </c>
      <c r="B119" s="36" t="s">
        <v>143</v>
      </c>
      <c r="C119" s="51">
        <f>VLOOKUP(B:B,Courts!B:F,5,FALSE())</f>
        <v>3</v>
      </c>
      <c r="D119" s="18">
        <v>0</v>
      </c>
      <c r="E119" s="18">
        <v>1</v>
      </c>
      <c r="F119" s="18">
        <v>0</v>
      </c>
      <c r="G119" s="18">
        <v>0</v>
      </c>
      <c r="H119" s="18">
        <v>1</v>
      </c>
      <c r="I119" s="18">
        <v>0</v>
      </c>
      <c r="J119" s="18">
        <v>0</v>
      </c>
      <c r="K119" s="18">
        <v>2</v>
      </c>
      <c r="L119" s="18">
        <f t="shared" si="13"/>
        <v>3</v>
      </c>
      <c r="M119" s="18">
        <f t="shared" si="14"/>
        <v>3</v>
      </c>
      <c r="N119" s="18">
        <f t="shared" si="15"/>
        <v>0</v>
      </c>
      <c r="O119" s="18">
        <f>IF(N119&lt;0, -N119, 0)</f>
        <v>0</v>
      </c>
    </row>
    <row r="120" spans="1:15" x14ac:dyDescent="0.25">
      <c r="A120" s="15">
        <v>119</v>
      </c>
      <c r="B120" s="37" t="s">
        <v>144</v>
      </c>
      <c r="C120" s="51">
        <f>VLOOKUP(B:B,Courts!B:F,5,FALSE())</f>
        <v>24</v>
      </c>
      <c r="D120" s="18">
        <v>1</v>
      </c>
      <c r="E120" s="18">
        <v>1</v>
      </c>
      <c r="F120" s="18">
        <v>0</v>
      </c>
      <c r="G120" s="18">
        <v>0</v>
      </c>
      <c r="H120" s="18">
        <v>1</v>
      </c>
      <c r="I120" s="18">
        <v>2</v>
      </c>
      <c r="J120" s="18">
        <v>1</v>
      </c>
      <c r="K120" s="18">
        <v>20</v>
      </c>
      <c r="L120" s="18">
        <f t="shared" si="13"/>
        <v>22</v>
      </c>
      <c r="M120" s="18">
        <f t="shared" si="14"/>
        <v>24</v>
      </c>
      <c r="N120" s="18">
        <f t="shared" si="15"/>
        <v>-2</v>
      </c>
      <c r="O120" s="18">
        <v>1</v>
      </c>
    </row>
    <row r="121" spans="1:15" x14ac:dyDescent="0.25">
      <c r="A121" s="15">
        <v>120</v>
      </c>
      <c r="B121" s="36" t="s">
        <v>145</v>
      </c>
      <c r="C121" s="51">
        <f>VLOOKUP(B:B,Courts!B:F,5,FALSE())</f>
        <v>2</v>
      </c>
      <c r="D121" s="18">
        <v>0</v>
      </c>
      <c r="E121" s="18">
        <v>1</v>
      </c>
      <c r="F121" s="18">
        <v>0</v>
      </c>
      <c r="G121" s="18">
        <v>0</v>
      </c>
      <c r="H121" s="18">
        <v>1</v>
      </c>
      <c r="I121" s="18">
        <v>0</v>
      </c>
      <c r="J121" s="18">
        <v>0</v>
      </c>
      <c r="K121" s="18">
        <v>2</v>
      </c>
      <c r="L121" s="18">
        <f t="shared" si="13"/>
        <v>3</v>
      </c>
      <c r="M121" s="18">
        <f t="shared" si="14"/>
        <v>2</v>
      </c>
      <c r="N121" s="18">
        <f t="shared" si="15"/>
        <v>1</v>
      </c>
      <c r="O121" s="18">
        <f t="shared" ref="O121:O127" si="17">IF(N121&lt;0, -N121, 0)</f>
        <v>0</v>
      </c>
    </row>
    <row r="122" spans="1:15" x14ac:dyDescent="0.25">
      <c r="A122" s="15">
        <v>121</v>
      </c>
      <c r="B122" s="37" t="s">
        <v>146</v>
      </c>
      <c r="C122" s="51">
        <f>VLOOKUP(B:B,Courts!B:F,5,FALSE())</f>
        <v>17</v>
      </c>
      <c r="D122" s="18">
        <v>1</v>
      </c>
      <c r="E122" s="18">
        <v>1</v>
      </c>
      <c r="F122" s="18">
        <v>0</v>
      </c>
      <c r="G122" s="18">
        <v>0</v>
      </c>
      <c r="H122" s="18">
        <v>1</v>
      </c>
      <c r="I122" s="18">
        <v>1</v>
      </c>
      <c r="J122" s="18">
        <v>1</v>
      </c>
      <c r="K122" s="18">
        <v>13</v>
      </c>
      <c r="L122" s="18">
        <f t="shared" si="13"/>
        <v>15</v>
      </c>
      <c r="M122" s="18">
        <f t="shared" si="14"/>
        <v>17</v>
      </c>
      <c r="N122" s="18">
        <f t="shared" si="15"/>
        <v>-2</v>
      </c>
      <c r="O122" s="18">
        <f t="shared" si="17"/>
        <v>2</v>
      </c>
    </row>
    <row r="123" spans="1:15" x14ac:dyDescent="0.25">
      <c r="A123" s="15">
        <v>122</v>
      </c>
      <c r="B123" s="36" t="s">
        <v>147</v>
      </c>
      <c r="C123" s="51">
        <f>VLOOKUP(B:B,Courts!B:F,5,FALSE())</f>
        <v>4</v>
      </c>
      <c r="D123" s="18">
        <v>0</v>
      </c>
      <c r="E123" s="18">
        <v>1</v>
      </c>
      <c r="F123" s="18">
        <v>0</v>
      </c>
      <c r="G123" s="18">
        <v>0</v>
      </c>
      <c r="H123" s="18">
        <v>1</v>
      </c>
      <c r="I123" s="18">
        <v>0</v>
      </c>
      <c r="J123" s="18">
        <v>0</v>
      </c>
      <c r="K123" s="18">
        <v>3</v>
      </c>
      <c r="L123" s="18">
        <f t="shared" si="13"/>
        <v>4</v>
      </c>
      <c r="M123" s="18">
        <f t="shared" si="14"/>
        <v>4</v>
      </c>
      <c r="N123" s="18">
        <f t="shared" si="15"/>
        <v>0</v>
      </c>
      <c r="O123" s="18">
        <f t="shared" si="17"/>
        <v>0</v>
      </c>
    </row>
    <row r="124" spans="1:15" x14ac:dyDescent="0.25">
      <c r="A124" s="15">
        <v>123</v>
      </c>
      <c r="B124" s="36" t="s">
        <v>148</v>
      </c>
      <c r="C124" s="51">
        <f>VLOOKUP(B:B,Courts!B:F,5,FALSE())</f>
        <v>3</v>
      </c>
      <c r="D124" s="18">
        <v>0</v>
      </c>
      <c r="E124" s="18">
        <v>1</v>
      </c>
      <c r="F124" s="18">
        <v>0</v>
      </c>
      <c r="G124" s="18">
        <v>0</v>
      </c>
      <c r="H124" s="18">
        <v>1</v>
      </c>
      <c r="I124" s="18">
        <v>0</v>
      </c>
      <c r="J124" s="18">
        <v>0</v>
      </c>
      <c r="K124" s="18">
        <v>2</v>
      </c>
      <c r="L124" s="18">
        <f t="shared" si="13"/>
        <v>3</v>
      </c>
      <c r="M124" s="18">
        <f t="shared" si="14"/>
        <v>3</v>
      </c>
      <c r="N124" s="18">
        <f t="shared" si="15"/>
        <v>0</v>
      </c>
      <c r="O124" s="18">
        <f t="shared" si="17"/>
        <v>0</v>
      </c>
    </row>
    <row r="125" spans="1:15" x14ac:dyDescent="0.25">
      <c r="A125" s="15">
        <v>124</v>
      </c>
      <c r="B125" s="36" t="s">
        <v>149</v>
      </c>
      <c r="C125" s="51">
        <f>VLOOKUP(B:B,Courts!B:F,5,FALSE())</f>
        <v>1</v>
      </c>
      <c r="D125" s="18">
        <v>0</v>
      </c>
      <c r="E125" s="18">
        <v>0</v>
      </c>
      <c r="F125" s="18">
        <v>0</v>
      </c>
      <c r="G125" s="18">
        <v>0</v>
      </c>
      <c r="H125" s="18">
        <v>0</v>
      </c>
      <c r="I125" s="18">
        <v>0</v>
      </c>
      <c r="J125" s="18">
        <v>0</v>
      </c>
      <c r="K125" s="18">
        <v>1</v>
      </c>
      <c r="L125" s="18">
        <f t="shared" si="13"/>
        <v>1</v>
      </c>
      <c r="M125" s="18">
        <f t="shared" si="14"/>
        <v>1</v>
      </c>
      <c r="N125" s="18">
        <f t="shared" si="15"/>
        <v>0</v>
      </c>
      <c r="O125" s="18">
        <f t="shared" si="17"/>
        <v>0</v>
      </c>
    </row>
    <row r="126" spans="1:15" x14ac:dyDescent="0.25">
      <c r="A126" s="15">
        <v>125</v>
      </c>
      <c r="B126" s="37" t="s">
        <v>150</v>
      </c>
      <c r="C126" s="51">
        <f>VLOOKUP(B:B,Courts!B:F,5,FALSE())</f>
        <v>21</v>
      </c>
      <c r="D126" s="18">
        <v>1</v>
      </c>
      <c r="E126" s="18">
        <v>1</v>
      </c>
      <c r="F126" s="18">
        <v>0</v>
      </c>
      <c r="G126" s="18">
        <v>0</v>
      </c>
      <c r="H126" s="18">
        <v>1</v>
      </c>
      <c r="I126" s="18">
        <v>2</v>
      </c>
      <c r="J126" s="18">
        <v>1</v>
      </c>
      <c r="K126" s="18">
        <v>21</v>
      </c>
      <c r="L126" s="18">
        <f t="shared" si="13"/>
        <v>23</v>
      </c>
      <c r="M126" s="18">
        <f t="shared" si="14"/>
        <v>21</v>
      </c>
      <c r="N126" s="18">
        <f t="shared" si="15"/>
        <v>2</v>
      </c>
      <c r="O126" s="18">
        <f t="shared" si="17"/>
        <v>0</v>
      </c>
    </row>
    <row r="127" spans="1:15" x14ac:dyDescent="0.25">
      <c r="A127" s="15">
        <v>126</v>
      </c>
      <c r="B127" s="36" t="s">
        <v>151</v>
      </c>
      <c r="C127" s="51">
        <f>VLOOKUP(B:B,Courts!B:F,5,FALSE())</f>
        <v>3</v>
      </c>
      <c r="D127" s="18">
        <v>0</v>
      </c>
      <c r="E127" s="18">
        <v>1</v>
      </c>
      <c r="F127" s="18">
        <v>0</v>
      </c>
      <c r="G127" s="18">
        <v>0</v>
      </c>
      <c r="H127" s="18">
        <v>1</v>
      </c>
      <c r="I127" s="18">
        <v>0</v>
      </c>
      <c r="J127" s="18">
        <v>0</v>
      </c>
      <c r="K127" s="18">
        <v>2</v>
      </c>
      <c r="L127" s="18">
        <f t="shared" si="13"/>
        <v>3</v>
      </c>
      <c r="M127" s="18">
        <f t="shared" si="14"/>
        <v>3</v>
      </c>
      <c r="N127" s="18">
        <f t="shared" si="15"/>
        <v>0</v>
      </c>
      <c r="O127" s="18">
        <f t="shared" si="17"/>
        <v>0</v>
      </c>
    </row>
    <row r="128" spans="1:15" x14ac:dyDescent="0.25">
      <c r="A128" s="15">
        <v>127</v>
      </c>
      <c r="B128" s="36" t="s">
        <v>152</v>
      </c>
      <c r="C128" s="51">
        <f>VLOOKUP(B:B,Courts!B:F,5,FALSE())</f>
        <v>5</v>
      </c>
      <c r="D128" s="18">
        <v>0</v>
      </c>
      <c r="E128" s="18">
        <v>1</v>
      </c>
      <c r="F128" s="18">
        <v>0</v>
      </c>
      <c r="G128" s="18">
        <v>0</v>
      </c>
      <c r="H128" s="18">
        <v>1</v>
      </c>
      <c r="I128" s="18">
        <v>0</v>
      </c>
      <c r="J128" s="18">
        <v>0</v>
      </c>
      <c r="K128" s="18">
        <v>3</v>
      </c>
      <c r="L128" s="18">
        <f t="shared" si="13"/>
        <v>4</v>
      </c>
      <c r="M128" s="18">
        <f t="shared" si="14"/>
        <v>5</v>
      </c>
      <c r="N128" s="18">
        <f t="shared" si="15"/>
        <v>-1</v>
      </c>
      <c r="O128" s="18">
        <v>0</v>
      </c>
    </row>
    <row r="129" spans="1:15" x14ac:dyDescent="0.25">
      <c r="A129" s="15">
        <v>128</v>
      </c>
      <c r="B129" s="36" t="s">
        <v>153</v>
      </c>
      <c r="C129" s="51">
        <f>VLOOKUP(B:B,Courts!B:F,5,FALSE())</f>
        <v>3</v>
      </c>
      <c r="D129" s="18">
        <v>0</v>
      </c>
      <c r="E129" s="18">
        <v>1</v>
      </c>
      <c r="F129" s="18">
        <v>0</v>
      </c>
      <c r="G129" s="18">
        <v>0</v>
      </c>
      <c r="H129" s="18">
        <v>1</v>
      </c>
      <c r="I129" s="18">
        <v>0</v>
      </c>
      <c r="J129" s="18">
        <v>0</v>
      </c>
      <c r="K129" s="18">
        <v>2</v>
      </c>
      <c r="L129" s="18">
        <f t="shared" si="13"/>
        <v>3</v>
      </c>
      <c r="M129" s="18">
        <f t="shared" si="14"/>
        <v>3</v>
      </c>
      <c r="N129" s="18">
        <f t="shared" si="15"/>
        <v>0</v>
      </c>
      <c r="O129" s="18">
        <f>IF(N129&lt;0, -N129, 0)</f>
        <v>0</v>
      </c>
    </row>
    <row r="130" spans="1:15" x14ac:dyDescent="0.25">
      <c r="A130" s="15">
        <v>129</v>
      </c>
      <c r="B130" s="37" t="s">
        <v>154</v>
      </c>
      <c r="C130" s="51">
        <f>VLOOKUP(B:B,Courts!B:F,5,FALSE())</f>
        <v>22</v>
      </c>
      <c r="D130" s="18">
        <v>1</v>
      </c>
      <c r="E130" s="18">
        <v>1</v>
      </c>
      <c r="F130" s="18">
        <v>0</v>
      </c>
      <c r="G130" s="18">
        <v>0</v>
      </c>
      <c r="H130" s="18">
        <v>1</v>
      </c>
      <c r="I130" s="18">
        <v>2</v>
      </c>
      <c r="J130" s="18">
        <v>1</v>
      </c>
      <c r="K130" s="18">
        <v>24</v>
      </c>
      <c r="L130" s="18">
        <f t="shared" si="13"/>
        <v>26</v>
      </c>
      <c r="M130" s="18">
        <f t="shared" si="14"/>
        <v>22</v>
      </c>
      <c r="N130" s="18">
        <f t="shared" si="15"/>
        <v>4</v>
      </c>
      <c r="O130" s="18">
        <f>IF(N130&lt;0, -N130, 0)</f>
        <v>0</v>
      </c>
    </row>
    <row r="131" spans="1:15" x14ac:dyDescent="0.25">
      <c r="A131" s="15">
        <v>130</v>
      </c>
      <c r="B131" s="36" t="s">
        <v>155</v>
      </c>
      <c r="C131" s="51">
        <f>VLOOKUP(B:B,Courts!B:F,5,FALSE())</f>
        <v>7</v>
      </c>
      <c r="D131" s="18">
        <v>0</v>
      </c>
      <c r="E131" s="18">
        <v>1</v>
      </c>
      <c r="F131" s="18">
        <v>0</v>
      </c>
      <c r="G131" s="18">
        <v>0</v>
      </c>
      <c r="H131" s="18">
        <v>1</v>
      </c>
      <c r="I131" s="18">
        <v>0</v>
      </c>
      <c r="J131" s="18">
        <v>0</v>
      </c>
      <c r="K131" s="18">
        <v>3</v>
      </c>
      <c r="L131" s="18">
        <f t="shared" si="13"/>
        <v>4</v>
      </c>
      <c r="M131" s="18">
        <f t="shared" si="14"/>
        <v>7</v>
      </c>
      <c r="N131" s="18">
        <f t="shared" si="15"/>
        <v>-3</v>
      </c>
      <c r="O131" s="18">
        <v>0</v>
      </c>
    </row>
    <row r="132" spans="1:15" x14ac:dyDescent="0.25">
      <c r="A132" s="5"/>
      <c r="C132" s="5"/>
    </row>
    <row r="133" spans="1:15" ht="15.75" x14ac:dyDescent="0.25">
      <c r="A133" s="51"/>
      <c r="B133" s="44" t="s">
        <v>156</v>
      </c>
      <c r="C133" s="24">
        <f t="shared" ref="C133" si="18">SUM(C2:C132)</f>
        <v>1336</v>
      </c>
      <c r="D133" s="24">
        <f t="shared" ref="D133:O133" si="19">SUM(D2:D132)</f>
        <v>43</v>
      </c>
      <c r="E133" s="24">
        <f t="shared" si="19"/>
        <v>120</v>
      </c>
      <c r="F133" s="24">
        <f t="shared" si="19"/>
        <v>2</v>
      </c>
      <c r="G133" s="24">
        <f t="shared" si="19"/>
        <v>12</v>
      </c>
      <c r="H133" s="24">
        <f t="shared" si="19"/>
        <v>134</v>
      </c>
      <c r="I133" s="24">
        <f t="shared" si="19"/>
        <v>100</v>
      </c>
      <c r="J133" s="24">
        <f t="shared" si="19"/>
        <v>52</v>
      </c>
      <c r="K133" s="24">
        <f t="shared" si="19"/>
        <v>1247</v>
      </c>
      <c r="L133" s="24">
        <f t="shared" si="19"/>
        <v>1424</v>
      </c>
      <c r="M133" s="24">
        <f t="shared" si="19"/>
        <v>1336</v>
      </c>
      <c r="N133" s="24">
        <f t="shared" si="19"/>
        <v>88</v>
      </c>
      <c r="O133" s="24">
        <f t="shared" si="19"/>
        <v>38</v>
      </c>
    </row>
    <row r="134" spans="1:15" x14ac:dyDescent="0.25">
      <c r="A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 spans="1:15" ht="15.75" x14ac:dyDescent="0.25">
      <c r="A135" s="49">
        <v>1</v>
      </c>
      <c r="B135" s="24" t="s">
        <v>157</v>
      </c>
      <c r="C135" s="28">
        <f t="shared" ref="C135" si="20">SUM(C2:C69)</f>
        <v>685</v>
      </c>
      <c r="D135" s="28">
        <f t="shared" ref="D135:O135" si="21">SUM(D2:D69)</f>
        <v>21</v>
      </c>
      <c r="E135" s="28">
        <f t="shared" si="21"/>
        <v>64</v>
      </c>
      <c r="F135" s="28">
        <f t="shared" si="21"/>
        <v>2</v>
      </c>
      <c r="G135" s="28">
        <f t="shared" si="21"/>
        <v>6</v>
      </c>
      <c r="H135" s="28">
        <f t="shared" si="21"/>
        <v>72</v>
      </c>
      <c r="I135" s="28">
        <f t="shared" si="21"/>
        <v>55</v>
      </c>
      <c r="J135" s="28">
        <f t="shared" si="21"/>
        <v>25</v>
      </c>
      <c r="K135" s="28">
        <f t="shared" si="21"/>
        <v>693</v>
      </c>
      <c r="L135" s="28">
        <f t="shared" si="21"/>
        <v>786</v>
      </c>
      <c r="M135" s="28">
        <f t="shared" si="21"/>
        <v>685</v>
      </c>
      <c r="N135" s="28">
        <f t="shared" si="21"/>
        <v>101</v>
      </c>
      <c r="O135" s="28">
        <f t="shared" si="21"/>
        <v>0</v>
      </c>
    </row>
    <row r="136" spans="1:15" ht="15.75" x14ac:dyDescent="0.25">
      <c r="A136" s="49">
        <v>2</v>
      </c>
      <c r="B136" s="24" t="s">
        <v>158</v>
      </c>
      <c r="C136" s="28">
        <f t="shared" ref="C136" si="22">SUM(C71:C131)</f>
        <v>623</v>
      </c>
      <c r="D136" s="28">
        <f t="shared" ref="D136:O136" si="23">SUM(D71:D131)</f>
        <v>21</v>
      </c>
      <c r="E136" s="28">
        <f t="shared" si="23"/>
        <v>55</v>
      </c>
      <c r="F136" s="28">
        <f t="shared" si="23"/>
        <v>0</v>
      </c>
      <c r="G136" s="28">
        <f t="shared" si="23"/>
        <v>4</v>
      </c>
      <c r="H136" s="28">
        <f t="shared" si="23"/>
        <v>59</v>
      </c>
      <c r="I136" s="28">
        <f t="shared" si="23"/>
        <v>42</v>
      </c>
      <c r="J136" s="28">
        <f t="shared" si="23"/>
        <v>25</v>
      </c>
      <c r="K136" s="28">
        <f t="shared" si="23"/>
        <v>522</v>
      </c>
      <c r="L136" s="28">
        <f t="shared" si="23"/>
        <v>602</v>
      </c>
      <c r="M136" s="28">
        <f t="shared" si="23"/>
        <v>623</v>
      </c>
      <c r="N136" s="28">
        <f t="shared" si="23"/>
        <v>-21</v>
      </c>
      <c r="O136" s="28">
        <f t="shared" si="23"/>
        <v>38</v>
      </c>
    </row>
    <row r="137" spans="1:15" ht="15.75" x14ac:dyDescent="0.25">
      <c r="A137" s="49">
        <v>3</v>
      </c>
      <c r="B137" s="24" t="s">
        <v>97</v>
      </c>
      <c r="C137" s="28">
        <f t="shared" ref="C137" si="24">SUM(C70)</f>
        <v>28</v>
      </c>
      <c r="D137" s="28">
        <f t="shared" ref="D137:O137" si="25">SUM(D70)</f>
        <v>1</v>
      </c>
      <c r="E137" s="28">
        <f t="shared" si="25"/>
        <v>1</v>
      </c>
      <c r="F137" s="28">
        <f t="shared" si="25"/>
        <v>0</v>
      </c>
      <c r="G137" s="28">
        <f t="shared" si="25"/>
        <v>2</v>
      </c>
      <c r="H137" s="28">
        <f t="shared" si="25"/>
        <v>3</v>
      </c>
      <c r="I137" s="28">
        <f t="shared" si="25"/>
        <v>3</v>
      </c>
      <c r="J137" s="28">
        <f t="shared" si="25"/>
        <v>2</v>
      </c>
      <c r="K137" s="28">
        <f t="shared" si="25"/>
        <v>32</v>
      </c>
      <c r="L137" s="28">
        <f t="shared" si="25"/>
        <v>36</v>
      </c>
      <c r="M137" s="28">
        <f t="shared" si="25"/>
        <v>28</v>
      </c>
      <c r="N137" s="28">
        <f t="shared" si="25"/>
        <v>8</v>
      </c>
      <c r="O137" s="28">
        <f t="shared" si="25"/>
        <v>0</v>
      </c>
    </row>
    <row r="138" spans="1:15" ht="15.75" x14ac:dyDescent="0.25">
      <c r="A138" s="51"/>
      <c r="B138" s="24" t="str">
        <f t="shared" ref="B138" si="26">B133</f>
        <v>Total</v>
      </c>
      <c r="C138" s="24">
        <f t="shared" ref="C138:O138" si="27">SUM(C135:C137)</f>
        <v>1336</v>
      </c>
      <c r="D138" s="24">
        <f t="shared" si="27"/>
        <v>43</v>
      </c>
      <c r="E138" s="24">
        <f t="shared" si="27"/>
        <v>120</v>
      </c>
      <c r="F138" s="24">
        <f t="shared" si="27"/>
        <v>2</v>
      </c>
      <c r="G138" s="24">
        <f t="shared" si="27"/>
        <v>12</v>
      </c>
      <c r="H138" s="24">
        <f t="shared" si="27"/>
        <v>134</v>
      </c>
      <c r="I138" s="24">
        <f t="shared" si="27"/>
        <v>100</v>
      </c>
      <c r="J138" s="24">
        <f t="shared" si="27"/>
        <v>52</v>
      </c>
      <c r="K138" s="24">
        <f t="shared" si="27"/>
        <v>1247</v>
      </c>
      <c r="L138" s="24">
        <f t="shared" si="27"/>
        <v>1424</v>
      </c>
      <c r="M138" s="24">
        <f t="shared" si="27"/>
        <v>1336</v>
      </c>
      <c r="N138" s="24">
        <f t="shared" si="27"/>
        <v>88</v>
      </c>
      <c r="O138" s="24">
        <f t="shared" si="27"/>
        <v>38</v>
      </c>
    </row>
  </sheetData>
  <autoFilter ref="A1:O1" xr:uid="{00000000-0009-0000-0000-000005000000}"/>
  <pageMargins left="0.7" right="0.7" top="0.75" bottom="0.75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9"/>
  <sheetViews>
    <sheetView workbookViewId="0">
      <pane ySplit="1" topLeftCell="A70" activePane="bottomLeft" state="frozen"/>
      <selection pane="bottomLeft" activeCell="J77" sqref="J77"/>
    </sheetView>
  </sheetViews>
  <sheetFormatPr defaultColWidth="8.7109375" defaultRowHeight="15" customHeight="1" x14ac:dyDescent="0.25"/>
  <cols>
    <col min="1" max="1" width="6.7109375" bestFit="1" customWidth="1"/>
    <col min="2" max="2" width="16.42578125" customWidth="1"/>
    <col min="3" max="3" width="18.42578125" customWidth="1"/>
    <col min="4" max="4" width="18" customWidth="1"/>
  </cols>
  <sheetData>
    <row r="1" spans="1:12" ht="150" x14ac:dyDescent="0.25">
      <c r="A1" s="59" t="s">
        <v>15</v>
      </c>
      <c r="B1" s="59" t="s">
        <v>16</v>
      </c>
      <c r="C1" s="60" t="s">
        <v>187</v>
      </c>
      <c r="D1" s="60" t="s">
        <v>188</v>
      </c>
      <c r="E1" s="60" t="s">
        <v>4</v>
      </c>
      <c r="F1" s="61">
        <v>2018</v>
      </c>
      <c r="G1" s="61">
        <v>2019</v>
      </c>
      <c r="H1" s="61">
        <v>2023</v>
      </c>
      <c r="I1" s="23" t="s">
        <v>183</v>
      </c>
      <c r="J1" s="23" t="s">
        <v>13</v>
      </c>
      <c r="K1" s="23" t="s">
        <v>184</v>
      </c>
      <c r="L1" s="62" t="s">
        <v>185</v>
      </c>
    </row>
    <row r="2" spans="1:12" x14ac:dyDescent="0.25">
      <c r="A2" s="19">
        <v>1</v>
      </c>
      <c r="B2" s="16" t="s">
        <v>29</v>
      </c>
      <c r="C2" s="38">
        <f>VLOOKUP(B:B,Courts!B:F,2,FALSE())</f>
        <v>48</v>
      </c>
      <c r="D2" s="38">
        <f>VLOOKUP(B:B,Courts!B:E,4,FALSE())</f>
        <v>0</v>
      </c>
      <c r="E2" s="38">
        <f>VLOOKUP(B:B,Courts!B:D,3,FALSE())</f>
        <v>0</v>
      </c>
      <c r="F2" s="38">
        <v>33</v>
      </c>
      <c r="G2" s="63">
        <v>0</v>
      </c>
      <c r="H2" s="64">
        <v>2</v>
      </c>
      <c r="I2" s="64">
        <f>SUM(F2:H2)</f>
        <v>35</v>
      </c>
      <c r="J2" s="64">
        <f>SUM(C2:E2)*1</f>
        <v>48</v>
      </c>
      <c r="K2" s="64">
        <f>I2-J2</f>
        <v>-13</v>
      </c>
      <c r="L2" s="64">
        <v>-13</v>
      </c>
    </row>
    <row r="3" spans="1:12" x14ac:dyDescent="0.25">
      <c r="A3" s="19">
        <v>2</v>
      </c>
      <c r="B3" s="19" t="s">
        <v>30</v>
      </c>
      <c r="C3" s="38">
        <f>VLOOKUP(B:B,Courts!B:F,2,FALSE())</f>
        <v>5</v>
      </c>
      <c r="D3" s="38">
        <f>VLOOKUP(B:B,Courts!B:E,4,FALSE())</f>
        <v>1</v>
      </c>
      <c r="E3" s="38">
        <f>VLOOKUP(B:B,Courts!B:D,3,FALSE())</f>
        <v>0</v>
      </c>
      <c r="F3" s="38">
        <v>4</v>
      </c>
      <c r="G3" s="63">
        <v>0</v>
      </c>
      <c r="H3" s="64">
        <v>1</v>
      </c>
      <c r="I3" s="64">
        <f t="shared" ref="I3:I66" si="0">SUM(F3:H3)</f>
        <v>5</v>
      </c>
      <c r="J3" s="64">
        <f t="shared" ref="J3:J66" si="1">SUM(C3:E3)*1</f>
        <v>6</v>
      </c>
      <c r="K3" s="64">
        <f t="shared" ref="K3:K66" si="2">I3-J3</f>
        <v>-1</v>
      </c>
      <c r="L3" s="64">
        <v>-1</v>
      </c>
    </row>
    <row r="4" spans="1:12" x14ac:dyDescent="0.25">
      <c r="A4" s="19">
        <v>3</v>
      </c>
      <c r="B4" s="19" t="s">
        <v>31</v>
      </c>
      <c r="C4" s="38">
        <f>VLOOKUP(B:B,Courts!B:F,2,FALSE())</f>
        <v>4</v>
      </c>
      <c r="D4" s="38">
        <f>VLOOKUP(B:B,Courts!B:E,4,FALSE())</f>
        <v>1</v>
      </c>
      <c r="E4" s="38">
        <f>VLOOKUP(B:B,Courts!B:D,3,FALSE())</f>
        <v>0</v>
      </c>
      <c r="F4" s="38">
        <v>1</v>
      </c>
      <c r="G4" s="63">
        <v>0</v>
      </c>
      <c r="H4" s="64">
        <v>2</v>
      </c>
      <c r="I4" s="64">
        <f t="shared" si="0"/>
        <v>3</v>
      </c>
      <c r="J4" s="64">
        <f t="shared" si="1"/>
        <v>5</v>
      </c>
      <c r="K4" s="64">
        <f t="shared" si="2"/>
        <v>-2</v>
      </c>
      <c r="L4" s="64">
        <v>-2</v>
      </c>
    </row>
    <row r="5" spans="1:12" x14ac:dyDescent="0.25">
      <c r="A5" s="19">
        <v>4</v>
      </c>
      <c r="B5" s="16" t="s">
        <v>32</v>
      </c>
      <c r="C5" s="38">
        <f>VLOOKUP(B:B,Courts!B:F,2,FALSE())</f>
        <v>11</v>
      </c>
      <c r="D5" s="38">
        <f>VLOOKUP(B:B,Courts!B:E,4,FALSE())</f>
        <v>0</v>
      </c>
      <c r="E5" s="38">
        <f>VLOOKUP(B:B,Courts!B:D,3,FALSE())</f>
        <v>0</v>
      </c>
      <c r="F5" s="38">
        <v>9</v>
      </c>
      <c r="G5" s="63">
        <v>0</v>
      </c>
      <c r="H5" s="64">
        <v>2</v>
      </c>
      <c r="I5" s="64">
        <f t="shared" si="0"/>
        <v>11</v>
      </c>
      <c r="J5" s="64">
        <f t="shared" si="1"/>
        <v>11</v>
      </c>
      <c r="K5" s="64">
        <f t="shared" si="2"/>
        <v>0</v>
      </c>
      <c r="L5" s="64">
        <v>0</v>
      </c>
    </row>
    <row r="6" spans="1:12" x14ac:dyDescent="0.25">
      <c r="A6" s="19">
        <v>5</v>
      </c>
      <c r="B6" s="16" t="s">
        <v>33</v>
      </c>
      <c r="C6" s="38">
        <f>VLOOKUP(B:B,Courts!B:F,2,FALSE())</f>
        <v>25</v>
      </c>
      <c r="D6" s="38">
        <f>VLOOKUP(B:B,Courts!B:E,4,FALSE())</f>
        <v>0</v>
      </c>
      <c r="E6" s="38">
        <f>VLOOKUP(B:B,Courts!B:D,3,FALSE())</f>
        <v>0</v>
      </c>
      <c r="F6" s="38">
        <v>18</v>
      </c>
      <c r="G6" s="63">
        <v>0</v>
      </c>
      <c r="H6" s="64">
        <v>2</v>
      </c>
      <c r="I6" s="64">
        <f t="shared" si="0"/>
        <v>20</v>
      </c>
      <c r="J6" s="64">
        <f t="shared" si="1"/>
        <v>25</v>
      </c>
      <c r="K6" s="64">
        <f t="shared" si="2"/>
        <v>-5</v>
      </c>
      <c r="L6" s="64">
        <v>-5</v>
      </c>
    </row>
    <row r="7" spans="1:12" x14ac:dyDescent="0.25">
      <c r="A7" s="19">
        <v>6</v>
      </c>
      <c r="B7" s="19" t="s">
        <v>34</v>
      </c>
      <c r="C7" s="38">
        <f>VLOOKUP(B:B,Courts!B:F,2,FALSE())</f>
        <v>6</v>
      </c>
      <c r="D7" s="38">
        <f>VLOOKUP(B:B,Courts!B:E,4,FALSE())</f>
        <v>1</v>
      </c>
      <c r="E7" s="38">
        <f>VLOOKUP(B:B,Courts!B:D,3,FALSE())</f>
        <v>0</v>
      </c>
      <c r="F7" s="38">
        <v>2</v>
      </c>
      <c r="G7" s="63">
        <v>0</v>
      </c>
      <c r="H7" s="64">
        <v>2</v>
      </c>
      <c r="I7" s="64">
        <f t="shared" si="0"/>
        <v>4</v>
      </c>
      <c r="J7" s="64">
        <f t="shared" si="1"/>
        <v>7</v>
      </c>
      <c r="K7" s="64">
        <f t="shared" si="2"/>
        <v>-3</v>
      </c>
      <c r="L7" s="64">
        <v>-3</v>
      </c>
    </row>
    <row r="8" spans="1:12" x14ac:dyDescent="0.25">
      <c r="A8" s="19">
        <v>7</v>
      </c>
      <c r="B8" s="19" t="s">
        <v>35</v>
      </c>
      <c r="C8" s="38">
        <f>VLOOKUP(B:B,Courts!B:F,2,FALSE())</f>
        <v>4</v>
      </c>
      <c r="D8" s="38">
        <f>VLOOKUP(B:B,Courts!B:E,4,FALSE())</f>
        <v>1</v>
      </c>
      <c r="E8" s="38">
        <f>VLOOKUP(B:B,Courts!B:D,3,FALSE())</f>
        <v>0</v>
      </c>
      <c r="F8" s="38">
        <v>2</v>
      </c>
      <c r="G8" s="63">
        <v>0</v>
      </c>
      <c r="H8" s="64">
        <v>1</v>
      </c>
      <c r="I8" s="64">
        <f t="shared" si="0"/>
        <v>3</v>
      </c>
      <c r="J8" s="64">
        <f t="shared" si="1"/>
        <v>5</v>
      </c>
      <c r="K8" s="64">
        <f t="shared" si="2"/>
        <v>-2</v>
      </c>
      <c r="L8" s="64">
        <v>-2</v>
      </c>
    </row>
    <row r="9" spans="1:12" x14ac:dyDescent="0.25">
      <c r="A9" s="19">
        <v>8</v>
      </c>
      <c r="B9" s="16" t="s">
        <v>36</v>
      </c>
      <c r="C9" s="38">
        <f>VLOOKUP(B:B,Courts!B:F,2,FALSE())</f>
        <v>12</v>
      </c>
      <c r="D9" s="38">
        <f>VLOOKUP(B:B,Courts!B:E,4,FALSE())</f>
        <v>0</v>
      </c>
      <c r="E9" s="38">
        <f>VLOOKUP(B:B,Courts!B:D,3,FALSE())</f>
        <v>0</v>
      </c>
      <c r="F9" s="38">
        <v>10</v>
      </c>
      <c r="G9" s="63">
        <v>0</v>
      </c>
      <c r="H9" s="64">
        <v>0</v>
      </c>
      <c r="I9" s="64">
        <f t="shared" si="0"/>
        <v>10</v>
      </c>
      <c r="J9" s="64">
        <f t="shared" si="1"/>
        <v>12</v>
      </c>
      <c r="K9" s="64">
        <f t="shared" si="2"/>
        <v>-2</v>
      </c>
      <c r="L9" s="64">
        <v>-2</v>
      </c>
    </row>
    <row r="10" spans="1:12" x14ac:dyDescent="0.25">
      <c r="A10" s="19">
        <v>9</v>
      </c>
      <c r="B10" s="19" t="s">
        <v>37</v>
      </c>
      <c r="C10" s="38">
        <f>VLOOKUP(B:B,Courts!B:F,2,FALSE())</f>
        <v>2</v>
      </c>
      <c r="D10" s="38">
        <f>VLOOKUP(B:B,Courts!B:E,4,FALSE())</f>
        <v>0</v>
      </c>
      <c r="E10" s="38">
        <f>VLOOKUP(B:B,Courts!B:D,3,FALSE())</f>
        <v>0</v>
      </c>
      <c r="F10" s="38">
        <v>1</v>
      </c>
      <c r="G10" s="63">
        <v>0</v>
      </c>
      <c r="H10" s="64">
        <v>0</v>
      </c>
      <c r="I10" s="64">
        <f t="shared" si="0"/>
        <v>1</v>
      </c>
      <c r="J10" s="64">
        <f t="shared" si="1"/>
        <v>2</v>
      </c>
      <c r="K10" s="64">
        <f t="shared" si="2"/>
        <v>-1</v>
      </c>
      <c r="L10" s="64">
        <v>-1</v>
      </c>
    </row>
    <row r="11" spans="1:12" x14ac:dyDescent="0.25">
      <c r="A11" s="19">
        <v>10</v>
      </c>
      <c r="B11" s="16" t="s">
        <v>38</v>
      </c>
      <c r="C11" s="38">
        <f>VLOOKUP(B:B,Courts!B:F,2,FALSE())</f>
        <v>11</v>
      </c>
      <c r="D11" s="38">
        <f>VLOOKUP(B:B,Courts!B:E,4,FALSE())</f>
        <v>0</v>
      </c>
      <c r="E11" s="38">
        <f>VLOOKUP(B:B,Courts!B:D,3,FALSE())</f>
        <v>0</v>
      </c>
      <c r="F11" s="38">
        <v>12</v>
      </c>
      <c r="G11" s="63">
        <v>0</v>
      </c>
      <c r="H11" s="64">
        <v>0</v>
      </c>
      <c r="I11" s="64">
        <f t="shared" si="0"/>
        <v>12</v>
      </c>
      <c r="J11" s="64">
        <f t="shared" si="1"/>
        <v>11</v>
      </c>
      <c r="K11" s="64">
        <f t="shared" si="2"/>
        <v>1</v>
      </c>
      <c r="L11" s="64">
        <v>0</v>
      </c>
    </row>
    <row r="12" spans="1:12" x14ac:dyDescent="0.25">
      <c r="A12" s="19">
        <v>11</v>
      </c>
      <c r="B12" s="19" t="s">
        <v>39</v>
      </c>
      <c r="C12" s="38">
        <f>VLOOKUP(B:B,Courts!B:F,2,FALSE())</f>
        <v>4</v>
      </c>
      <c r="D12" s="38">
        <f>VLOOKUP(B:B,Courts!B:E,4,FALSE())</f>
        <v>1</v>
      </c>
      <c r="E12" s="38">
        <f>VLOOKUP(B:B,Courts!B:D,3,FALSE())</f>
        <v>0</v>
      </c>
      <c r="F12" s="38">
        <v>2</v>
      </c>
      <c r="G12" s="63">
        <v>0</v>
      </c>
      <c r="H12" s="64">
        <v>1</v>
      </c>
      <c r="I12" s="64">
        <f t="shared" si="0"/>
        <v>3</v>
      </c>
      <c r="J12" s="64">
        <f t="shared" si="1"/>
        <v>5</v>
      </c>
      <c r="K12" s="64">
        <f t="shared" si="2"/>
        <v>-2</v>
      </c>
      <c r="L12" s="64">
        <v>-1</v>
      </c>
    </row>
    <row r="13" spans="1:12" x14ac:dyDescent="0.25">
      <c r="A13" s="19">
        <v>12</v>
      </c>
      <c r="B13" s="19" t="s">
        <v>40</v>
      </c>
      <c r="C13" s="38">
        <f>VLOOKUP(B:B,Courts!B:F,2,FALSE())</f>
        <v>2</v>
      </c>
      <c r="D13" s="38">
        <f>VLOOKUP(B:B,Courts!B:E,4,FALSE())</f>
        <v>1</v>
      </c>
      <c r="E13" s="38">
        <f>VLOOKUP(B:B,Courts!B:D,3,FALSE())</f>
        <v>0</v>
      </c>
      <c r="F13" s="38">
        <v>1</v>
      </c>
      <c r="G13" s="63">
        <v>0</v>
      </c>
      <c r="H13" s="64">
        <v>2</v>
      </c>
      <c r="I13" s="64">
        <f t="shared" si="0"/>
        <v>3</v>
      </c>
      <c r="J13" s="64">
        <f t="shared" si="1"/>
        <v>3</v>
      </c>
      <c r="K13" s="64">
        <f t="shared" si="2"/>
        <v>0</v>
      </c>
      <c r="L13" s="64">
        <v>0</v>
      </c>
    </row>
    <row r="14" spans="1:12" x14ac:dyDescent="0.25">
      <c r="A14" s="19">
        <v>13</v>
      </c>
      <c r="B14" s="16" t="s">
        <v>41</v>
      </c>
      <c r="C14" s="38">
        <f>VLOOKUP(B:B,Courts!B:F,2,FALSE())</f>
        <v>12</v>
      </c>
      <c r="D14" s="38">
        <f>VLOOKUP(B:B,Courts!B:E,4,FALSE())</f>
        <v>0</v>
      </c>
      <c r="E14" s="38">
        <f>VLOOKUP(B:B,Courts!B:D,3,FALSE())</f>
        <v>0</v>
      </c>
      <c r="F14" s="38">
        <v>7</v>
      </c>
      <c r="G14" s="63">
        <v>5</v>
      </c>
      <c r="H14" s="64">
        <v>0</v>
      </c>
      <c r="I14" s="64">
        <f t="shared" si="0"/>
        <v>12</v>
      </c>
      <c r="J14" s="64">
        <f t="shared" si="1"/>
        <v>12</v>
      </c>
      <c r="K14" s="64">
        <f t="shared" si="2"/>
        <v>0</v>
      </c>
      <c r="L14" s="64">
        <v>0</v>
      </c>
    </row>
    <row r="15" spans="1:12" x14ac:dyDescent="0.25">
      <c r="A15" s="19">
        <v>14</v>
      </c>
      <c r="B15" s="19" t="s">
        <v>42</v>
      </c>
      <c r="C15" s="38">
        <f>VLOOKUP(B:B,Courts!B:F,2,FALSE())</f>
        <v>7</v>
      </c>
      <c r="D15" s="38">
        <f>VLOOKUP(B:B,Courts!B:E,4,FALSE())</f>
        <v>1</v>
      </c>
      <c r="E15" s="38">
        <f>VLOOKUP(B:B,Courts!B:D,3,FALSE())</f>
        <v>0</v>
      </c>
      <c r="F15" s="38">
        <v>4</v>
      </c>
      <c r="G15" s="63">
        <v>0</v>
      </c>
      <c r="H15" s="64">
        <v>1</v>
      </c>
      <c r="I15" s="64">
        <f t="shared" si="0"/>
        <v>5</v>
      </c>
      <c r="J15" s="64">
        <f t="shared" si="1"/>
        <v>8</v>
      </c>
      <c r="K15" s="64">
        <f t="shared" si="2"/>
        <v>-3</v>
      </c>
      <c r="L15" s="64">
        <v>-3</v>
      </c>
    </row>
    <row r="16" spans="1:12" x14ac:dyDescent="0.25">
      <c r="A16" s="19">
        <v>15</v>
      </c>
      <c r="B16" s="19" t="s">
        <v>43</v>
      </c>
      <c r="C16" s="38">
        <f>VLOOKUP(B:B,Courts!B:F,2,FALSE())</f>
        <v>4</v>
      </c>
      <c r="D16" s="38">
        <f>VLOOKUP(B:B,Courts!B:E,4,FALSE())</f>
        <v>1</v>
      </c>
      <c r="E16" s="38">
        <f>VLOOKUP(B:B,Courts!B:D,3,FALSE())</f>
        <v>0</v>
      </c>
      <c r="F16" s="38">
        <v>2</v>
      </c>
      <c r="G16" s="63">
        <v>0</v>
      </c>
      <c r="H16" s="64">
        <v>2</v>
      </c>
      <c r="I16" s="64">
        <f t="shared" si="0"/>
        <v>4</v>
      </c>
      <c r="J16" s="64">
        <f t="shared" si="1"/>
        <v>5</v>
      </c>
      <c r="K16" s="64">
        <f t="shared" si="2"/>
        <v>-1</v>
      </c>
      <c r="L16" s="64">
        <v>-1</v>
      </c>
    </row>
    <row r="17" spans="1:12" x14ac:dyDescent="0.25">
      <c r="A17" s="19">
        <v>16</v>
      </c>
      <c r="B17" s="16" t="s">
        <v>44</v>
      </c>
      <c r="C17" s="38">
        <f>VLOOKUP(B:B,Courts!B:F,2,FALSE())</f>
        <v>16</v>
      </c>
      <c r="D17" s="38">
        <f>VLOOKUP(B:B,Courts!B:E,4,FALSE())</f>
        <v>0</v>
      </c>
      <c r="E17" s="38">
        <f>VLOOKUP(B:B,Courts!B:D,3,FALSE())</f>
        <v>0</v>
      </c>
      <c r="F17" s="38">
        <v>14</v>
      </c>
      <c r="G17" s="63">
        <v>0</v>
      </c>
      <c r="H17" s="64">
        <v>1</v>
      </c>
      <c r="I17" s="64">
        <f t="shared" si="0"/>
        <v>15</v>
      </c>
      <c r="J17" s="64">
        <f t="shared" si="1"/>
        <v>16</v>
      </c>
      <c r="K17" s="64">
        <f t="shared" si="2"/>
        <v>-1</v>
      </c>
      <c r="L17" s="64">
        <v>-1</v>
      </c>
    </row>
    <row r="18" spans="1:12" x14ac:dyDescent="0.25">
      <c r="A18" s="19">
        <v>17</v>
      </c>
      <c r="B18" s="19" t="s">
        <v>45</v>
      </c>
      <c r="C18" s="38">
        <f>VLOOKUP(B:B,Courts!B:F,2,FALSE())</f>
        <v>3</v>
      </c>
      <c r="D18" s="38">
        <f>VLOOKUP(B:B,Courts!B:E,4,FALSE())</f>
        <v>1</v>
      </c>
      <c r="E18" s="38">
        <f>VLOOKUP(B:B,Courts!B:D,3,FALSE())</f>
        <v>0</v>
      </c>
      <c r="F18" s="38">
        <v>2</v>
      </c>
      <c r="G18" s="63">
        <v>0</v>
      </c>
      <c r="H18" s="64">
        <v>1</v>
      </c>
      <c r="I18" s="64">
        <f t="shared" si="0"/>
        <v>3</v>
      </c>
      <c r="J18" s="64">
        <f t="shared" si="1"/>
        <v>4</v>
      </c>
      <c r="K18" s="64">
        <f t="shared" si="2"/>
        <v>-1</v>
      </c>
      <c r="L18" s="64">
        <v>-1</v>
      </c>
    </row>
    <row r="19" spans="1:12" x14ac:dyDescent="0.25">
      <c r="A19" s="19">
        <v>18</v>
      </c>
      <c r="B19" s="19" t="s">
        <v>46</v>
      </c>
      <c r="C19" s="38">
        <f>VLOOKUP(B:B,Courts!B:F,2,FALSE())</f>
        <v>3</v>
      </c>
      <c r="D19" s="38">
        <f>VLOOKUP(B:B,Courts!B:E,4,FALSE())</f>
        <v>1</v>
      </c>
      <c r="E19" s="38">
        <f>VLOOKUP(B:B,Courts!B:D,3,FALSE())</f>
        <v>0</v>
      </c>
      <c r="F19" s="38">
        <v>3</v>
      </c>
      <c r="G19" s="63">
        <v>0</v>
      </c>
      <c r="H19" s="64">
        <v>1</v>
      </c>
      <c r="I19" s="64">
        <f t="shared" si="0"/>
        <v>4</v>
      </c>
      <c r="J19" s="64">
        <f t="shared" si="1"/>
        <v>4</v>
      </c>
      <c r="K19" s="64">
        <f t="shared" si="2"/>
        <v>0</v>
      </c>
      <c r="L19" s="64">
        <v>0</v>
      </c>
    </row>
    <row r="20" spans="1:12" x14ac:dyDescent="0.25">
      <c r="A20" s="19">
        <v>19</v>
      </c>
      <c r="B20" s="16" t="s">
        <v>47</v>
      </c>
      <c r="C20" s="38">
        <f>VLOOKUP(B:B,Courts!B:F,2,FALSE())</f>
        <v>18</v>
      </c>
      <c r="D20" s="38">
        <f>VLOOKUP(B:B,Courts!B:E,4,FALSE())</f>
        <v>0</v>
      </c>
      <c r="E20" s="38">
        <f>VLOOKUP(B:B,Courts!B:D,3,FALSE())</f>
        <v>0</v>
      </c>
      <c r="F20" s="38">
        <v>16</v>
      </c>
      <c r="G20" s="63">
        <v>0</v>
      </c>
      <c r="H20" s="64">
        <v>2</v>
      </c>
      <c r="I20" s="64">
        <f t="shared" si="0"/>
        <v>18</v>
      </c>
      <c r="J20" s="64">
        <f t="shared" si="1"/>
        <v>18</v>
      </c>
      <c r="K20" s="64">
        <f t="shared" si="2"/>
        <v>0</v>
      </c>
      <c r="L20" s="64">
        <v>0</v>
      </c>
    </row>
    <row r="21" spans="1:12" x14ac:dyDescent="0.25">
      <c r="A21" s="19">
        <v>20</v>
      </c>
      <c r="B21" s="19" t="s">
        <v>48</v>
      </c>
      <c r="C21" s="38">
        <f>VLOOKUP(B:B,Courts!B:F,2,FALSE())</f>
        <v>9</v>
      </c>
      <c r="D21" s="38">
        <f>VLOOKUP(B:B,Courts!B:E,4,FALSE())</f>
        <v>1</v>
      </c>
      <c r="E21" s="38">
        <f>VLOOKUP(B:B,Courts!B:D,3,FALSE())</f>
        <v>0</v>
      </c>
      <c r="F21" s="38">
        <v>6</v>
      </c>
      <c r="G21" s="63">
        <v>0</v>
      </c>
      <c r="H21" s="64">
        <v>5</v>
      </c>
      <c r="I21" s="64">
        <f t="shared" si="0"/>
        <v>11</v>
      </c>
      <c r="J21" s="64">
        <f t="shared" si="1"/>
        <v>10</v>
      </c>
      <c r="K21" s="64">
        <f t="shared" si="2"/>
        <v>1</v>
      </c>
      <c r="L21" s="64">
        <v>0</v>
      </c>
    </row>
    <row r="22" spans="1:12" x14ac:dyDescent="0.25">
      <c r="A22" s="19">
        <v>21</v>
      </c>
      <c r="B22" s="16" t="s">
        <v>49</v>
      </c>
      <c r="C22" s="38">
        <f>VLOOKUP(B:B,Courts!B:F,2,FALSE())</f>
        <v>19</v>
      </c>
      <c r="D22" s="38">
        <f>VLOOKUP(B:B,Courts!B:E,4,FALSE())</f>
        <v>0</v>
      </c>
      <c r="E22" s="38">
        <f>VLOOKUP(B:B,Courts!B:D,3,FALSE())</f>
        <v>0</v>
      </c>
      <c r="F22" s="38">
        <v>18</v>
      </c>
      <c r="G22" s="63">
        <v>0</v>
      </c>
      <c r="H22" s="64">
        <v>0</v>
      </c>
      <c r="I22" s="64">
        <f t="shared" si="0"/>
        <v>18</v>
      </c>
      <c r="J22" s="64">
        <f t="shared" si="1"/>
        <v>19</v>
      </c>
      <c r="K22" s="64">
        <f t="shared" si="2"/>
        <v>-1</v>
      </c>
      <c r="L22" s="64">
        <v>0</v>
      </c>
    </row>
    <row r="23" spans="1:12" x14ac:dyDescent="0.25">
      <c r="A23" s="19">
        <v>22</v>
      </c>
      <c r="B23" s="19" t="s">
        <v>50</v>
      </c>
      <c r="C23" s="38">
        <f>VLOOKUP(B:B,Courts!B:F,2,FALSE())</f>
        <v>4</v>
      </c>
      <c r="D23" s="38">
        <f>VLOOKUP(B:B,Courts!B:E,4,FALSE())</f>
        <v>1</v>
      </c>
      <c r="E23" s="38">
        <f>VLOOKUP(B:B,Courts!B:D,3,FALSE())</f>
        <v>0</v>
      </c>
      <c r="F23" s="38">
        <v>5</v>
      </c>
      <c r="G23" s="63">
        <v>0</v>
      </c>
      <c r="H23" s="64">
        <v>1</v>
      </c>
      <c r="I23" s="64">
        <f t="shared" si="0"/>
        <v>6</v>
      </c>
      <c r="J23" s="64">
        <f t="shared" si="1"/>
        <v>5</v>
      </c>
      <c r="K23" s="64">
        <f t="shared" si="2"/>
        <v>1</v>
      </c>
      <c r="L23" s="64">
        <v>0</v>
      </c>
    </row>
    <row r="24" spans="1:12" x14ac:dyDescent="0.25">
      <c r="A24" s="19">
        <v>23</v>
      </c>
      <c r="B24" s="19" t="s">
        <v>51</v>
      </c>
      <c r="C24" s="38">
        <f>VLOOKUP(B:B,Courts!B:F,2,FALSE())</f>
        <v>3</v>
      </c>
      <c r="D24" s="38">
        <f>VLOOKUP(B:B,Courts!B:E,4,FALSE())</f>
        <v>1</v>
      </c>
      <c r="E24" s="38">
        <f>VLOOKUP(B:B,Courts!B:D,3,FALSE())</f>
        <v>0</v>
      </c>
      <c r="F24" s="38">
        <v>2</v>
      </c>
      <c r="G24" s="63">
        <v>0</v>
      </c>
      <c r="H24" s="64">
        <v>2</v>
      </c>
      <c r="I24" s="64">
        <f t="shared" si="0"/>
        <v>4</v>
      </c>
      <c r="J24" s="64">
        <f t="shared" si="1"/>
        <v>4</v>
      </c>
      <c r="K24" s="64">
        <f t="shared" si="2"/>
        <v>0</v>
      </c>
      <c r="L24" s="64">
        <v>0</v>
      </c>
    </row>
    <row r="25" spans="1:12" x14ac:dyDescent="0.25">
      <c r="A25" s="19">
        <v>24</v>
      </c>
      <c r="B25" s="19" t="s">
        <v>52</v>
      </c>
      <c r="C25" s="38">
        <f>VLOOKUP(B:B,Courts!B:F,2,FALSE())</f>
        <v>3</v>
      </c>
      <c r="D25" s="38">
        <f>VLOOKUP(B:B,Courts!B:E,4,FALSE())</f>
        <v>1</v>
      </c>
      <c r="E25" s="38">
        <f>VLOOKUP(B:B,Courts!B:D,3,FALSE())</f>
        <v>0</v>
      </c>
      <c r="F25" s="38">
        <v>3</v>
      </c>
      <c r="G25" s="63">
        <v>0</v>
      </c>
      <c r="H25" s="64">
        <v>1</v>
      </c>
      <c r="I25" s="64">
        <f t="shared" si="0"/>
        <v>4</v>
      </c>
      <c r="J25" s="64">
        <f t="shared" si="1"/>
        <v>4</v>
      </c>
      <c r="K25" s="64">
        <f t="shared" si="2"/>
        <v>0</v>
      </c>
      <c r="L25" s="64">
        <v>0</v>
      </c>
    </row>
    <row r="26" spans="1:12" x14ac:dyDescent="0.25">
      <c r="A26" s="19">
        <v>25</v>
      </c>
      <c r="B26" s="16" t="s">
        <v>53</v>
      </c>
      <c r="C26" s="38">
        <f>VLOOKUP(B:B,Courts!B:F,2,FALSE())</f>
        <v>45</v>
      </c>
      <c r="D26" s="38">
        <f>VLOOKUP(B:B,Courts!B:E,4,FALSE())</f>
        <v>0</v>
      </c>
      <c r="E26" s="38">
        <f>VLOOKUP(B:B,Courts!B:D,3,FALSE())</f>
        <v>0</v>
      </c>
      <c r="F26" s="38">
        <v>35</v>
      </c>
      <c r="G26" s="63">
        <v>0</v>
      </c>
      <c r="H26" s="64">
        <v>2</v>
      </c>
      <c r="I26" s="64">
        <f t="shared" si="0"/>
        <v>37</v>
      </c>
      <c r="J26" s="64">
        <f t="shared" si="1"/>
        <v>45</v>
      </c>
      <c r="K26" s="64">
        <f t="shared" si="2"/>
        <v>-8</v>
      </c>
      <c r="L26" s="64">
        <v>-8</v>
      </c>
    </row>
    <row r="27" spans="1:12" x14ac:dyDescent="0.25">
      <c r="A27" s="19">
        <v>26</v>
      </c>
      <c r="B27" s="19" t="s">
        <v>54</v>
      </c>
      <c r="C27" s="38">
        <f>VLOOKUP(B:B,Courts!B:F,2,FALSE())</f>
        <v>3</v>
      </c>
      <c r="D27" s="38">
        <f>VLOOKUP(B:B,Courts!B:E,4,FALSE())</f>
        <v>1</v>
      </c>
      <c r="E27" s="38">
        <f>VLOOKUP(B:B,Courts!B:D,3,FALSE())</f>
        <v>0</v>
      </c>
      <c r="F27" s="38">
        <v>4</v>
      </c>
      <c r="G27" s="63">
        <v>0</v>
      </c>
      <c r="H27" s="64">
        <v>1</v>
      </c>
      <c r="I27" s="64">
        <f t="shared" si="0"/>
        <v>5</v>
      </c>
      <c r="J27" s="64">
        <f t="shared" si="1"/>
        <v>4</v>
      </c>
      <c r="K27" s="64">
        <f t="shared" si="2"/>
        <v>1</v>
      </c>
      <c r="L27" s="64">
        <v>0</v>
      </c>
    </row>
    <row r="28" spans="1:12" x14ac:dyDescent="0.25">
      <c r="A28" s="19">
        <v>27</v>
      </c>
      <c r="B28" s="19" t="s">
        <v>55</v>
      </c>
      <c r="C28" s="38">
        <f>VLOOKUP(B:B,Courts!B:F,2,FALSE())</f>
        <v>5</v>
      </c>
      <c r="D28" s="38">
        <f>VLOOKUP(B:B,Courts!B:E,4,FALSE())</f>
        <v>1</v>
      </c>
      <c r="E28" s="38">
        <f>VLOOKUP(B:B,Courts!B:D,3,FALSE())</f>
        <v>0</v>
      </c>
      <c r="F28" s="38">
        <v>4</v>
      </c>
      <c r="G28" s="63">
        <v>0</v>
      </c>
      <c r="H28" s="64">
        <v>1</v>
      </c>
      <c r="I28" s="64">
        <f t="shared" si="0"/>
        <v>5</v>
      </c>
      <c r="J28" s="64">
        <f t="shared" si="1"/>
        <v>6</v>
      </c>
      <c r="K28" s="64">
        <f t="shared" si="2"/>
        <v>-1</v>
      </c>
      <c r="L28" s="64">
        <v>0</v>
      </c>
    </row>
    <row r="29" spans="1:12" x14ac:dyDescent="0.25">
      <c r="A29" s="19">
        <v>28</v>
      </c>
      <c r="B29" s="16" t="s">
        <v>56</v>
      </c>
      <c r="C29" s="38">
        <f>VLOOKUP(B:B,Courts!B:F,2,FALSE())</f>
        <v>10</v>
      </c>
      <c r="D29" s="38">
        <f>VLOOKUP(B:B,Courts!B:E,4,FALSE())</f>
        <v>0</v>
      </c>
      <c r="E29" s="38">
        <f>VLOOKUP(B:B,Courts!B:D,3,FALSE())</f>
        <v>0</v>
      </c>
      <c r="F29" s="38">
        <v>10</v>
      </c>
      <c r="G29" s="63">
        <v>0</v>
      </c>
      <c r="H29" s="64">
        <v>2</v>
      </c>
      <c r="I29" s="64">
        <f t="shared" si="0"/>
        <v>12</v>
      </c>
      <c r="J29" s="64">
        <f t="shared" si="1"/>
        <v>10</v>
      </c>
      <c r="K29" s="64">
        <f t="shared" si="2"/>
        <v>2</v>
      </c>
      <c r="L29" s="64">
        <v>0</v>
      </c>
    </row>
    <row r="30" spans="1:12" x14ac:dyDescent="0.25">
      <c r="A30" s="19">
        <v>29</v>
      </c>
      <c r="B30" s="19" t="s">
        <v>57</v>
      </c>
      <c r="C30" s="38">
        <f>VLOOKUP(B:B,Courts!B:F,2,FALSE())</f>
        <v>4</v>
      </c>
      <c r="D30" s="38">
        <f>VLOOKUP(B:B,Courts!B:E,4,FALSE())</f>
        <v>1</v>
      </c>
      <c r="E30" s="38">
        <f>VLOOKUP(B:B,Courts!B:D,3,FALSE())</f>
        <v>0</v>
      </c>
      <c r="F30" s="38">
        <v>3</v>
      </c>
      <c r="G30" s="63">
        <v>0</v>
      </c>
      <c r="H30" s="64">
        <v>1</v>
      </c>
      <c r="I30" s="64">
        <f t="shared" si="0"/>
        <v>4</v>
      </c>
      <c r="J30" s="64">
        <f t="shared" si="1"/>
        <v>5</v>
      </c>
      <c r="K30" s="64">
        <f t="shared" si="2"/>
        <v>-1</v>
      </c>
      <c r="L30" s="64">
        <v>0</v>
      </c>
    </row>
    <row r="31" spans="1:12" x14ac:dyDescent="0.25">
      <c r="A31" s="19">
        <v>30</v>
      </c>
      <c r="B31" s="19" t="s">
        <v>58</v>
      </c>
      <c r="C31" s="38">
        <f>VLOOKUP(B:B,Courts!B:F,2,FALSE())</f>
        <v>3</v>
      </c>
      <c r="D31" s="38">
        <f>VLOOKUP(B:B,Courts!B:E,4,FALSE())</f>
        <v>1</v>
      </c>
      <c r="E31" s="38">
        <f>VLOOKUP(B:B,Courts!B:D,3,FALSE())</f>
        <v>0</v>
      </c>
      <c r="F31" s="38">
        <v>2</v>
      </c>
      <c r="G31" s="63">
        <v>0</v>
      </c>
      <c r="H31" s="64">
        <v>1</v>
      </c>
      <c r="I31" s="64">
        <f t="shared" si="0"/>
        <v>3</v>
      </c>
      <c r="J31" s="64">
        <f t="shared" si="1"/>
        <v>4</v>
      </c>
      <c r="K31" s="64">
        <f t="shared" si="2"/>
        <v>-1</v>
      </c>
      <c r="L31" s="64">
        <v>0</v>
      </c>
    </row>
    <row r="32" spans="1:12" x14ac:dyDescent="0.25">
      <c r="A32" s="19">
        <v>31</v>
      </c>
      <c r="B32" s="19" t="s">
        <v>59</v>
      </c>
      <c r="C32" s="38">
        <f>VLOOKUP(B:B,Courts!B:F,2,FALSE())</f>
        <v>1</v>
      </c>
      <c r="D32" s="38">
        <f>VLOOKUP(B:B,Courts!B:E,4,FALSE())</f>
        <v>1</v>
      </c>
      <c r="E32" s="38">
        <f>VLOOKUP(B:B,Courts!B:D,3,FALSE())</f>
        <v>0</v>
      </c>
      <c r="F32" s="38">
        <v>0</v>
      </c>
      <c r="G32" s="63">
        <v>1</v>
      </c>
      <c r="H32" s="64">
        <v>1</v>
      </c>
      <c r="I32" s="64">
        <f t="shared" si="0"/>
        <v>2</v>
      </c>
      <c r="J32" s="64">
        <f t="shared" si="1"/>
        <v>2</v>
      </c>
      <c r="K32" s="64">
        <f t="shared" si="2"/>
        <v>0</v>
      </c>
      <c r="L32" s="64">
        <v>0</v>
      </c>
    </row>
    <row r="33" spans="1:12" x14ac:dyDescent="0.25">
      <c r="A33" s="19">
        <v>32</v>
      </c>
      <c r="B33" s="16" t="s">
        <v>60</v>
      </c>
      <c r="C33" s="38">
        <f>VLOOKUP(B:B,Courts!B:F,2,FALSE())</f>
        <v>73</v>
      </c>
      <c r="D33" s="38">
        <f>VLOOKUP(B:B,Courts!B:E,4,FALSE())</f>
        <v>0</v>
      </c>
      <c r="E33" s="38">
        <f>VLOOKUP(B:B,Courts!B:D,3,FALSE())</f>
        <v>0</v>
      </c>
      <c r="F33" s="38">
        <v>53</v>
      </c>
      <c r="G33" s="63">
        <v>0</v>
      </c>
      <c r="H33" s="64">
        <v>16</v>
      </c>
      <c r="I33" s="64">
        <f t="shared" si="0"/>
        <v>69</v>
      </c>
      <c r="J33" s="64">
        <f t="shared" si="1"/>
        <v>73</v>
      </c>
      <c r="K33" s="64">
        <f t="shared" si="2"/>
        <v>-4</v>
      </c>
      <c r="L33" s="64">
        <v>-4</v>
      </c>
    </row>
    <row r="34" spans="1:12" x14ac:dyDescent="0.25">
      <c r="A34" s="19">
        <v>33</v>
      </c>
      <c r="B34" s="19" t="s">
        <v>61</v>
      </c>
      <c r="C34" s="38">
        <f>VLOOKUP(B:B,Courts!B:F,2,FALSE())</f>
        <v>3</v>
      </c>
      <c r="D34" s="38">
        <f>VLOOKUP(B:B,Courts!B:E,4,FALSE())</f>
        <v>1</v>
      </c>
      <c r="E34" s="38">
        <f>VLOOKUP(B:B,Courts!B:D,3,FALSE())</f>
        <v>0</v>
      </c>
      <c r="F34" s="38">
        <v>3</v>
      </c>
      <c r="G34" s="63">
        <v>0</v>
      </c>
      <c r="H34" s="64">
        <v>1</v>
      </c>
      <c r="I34" s="64">
        <f t="shared" si="0"/>
        <v>4</v>
      </c>
      <c r="J34" s="64">
        <f t="shared" si="1"/>
        <v>4</v>
      </c>
      <c r="K34" s="64">
        <f t="shared" si="2"/>
        <v>0</v>
      </c>
      <c r="L34" s="64">
        <v>0</v>
      </c>
    </row>
    <row r="35" spans="1:12" x14ac:dyDescent="0.25">
      <c r="A35" s="19">
        <v>34</v>
      </c>
      <c r="B35" s="19" t="s">
        <v>62</v>
      </c>
      <c r="C35" s="38">
        <f>VLOOKUP(B:B,Courts!B:F,2,FALSE())</f>
        <v>4</v>
      </c>
      <c r="D35" s="38">
        <f>VLOOKUP(B:B,Courts!B:E,4,FALSE())</f>
        <v>1</v>
      </c>
      <c r="E35" s="38">
        <f>VLOOKUP(B:B,Courts!B:D,3,FALSE())</f>
        <v>0</v>
      </c>
      <c r="F35" s="38">
        <v>3</v>
      </c>
      <c r="G35" s="63">
        <v>0</v>
      </c>
      <c r="H35" s="64">
        <v>1</v>
      </c>
      <c r="I35" s="64">
        <f t="shared" si="0"/>
        <v>4</v>
      </c>
      <c r="J35" s="64">
        <f t="shared" si="1"/>
        <v>5</v>
      </c>
      <c r="K35" s="64">
        <f t="shared" si="2"/>
        <v>-1</v>
      </c>
      <c r="L35" s="64">
        <v>-1</v>
      </c>
    </row>
    <row r="36" spans="1:12" x14ac:dyDescent="0.25">
      <c r="A36" s="19">
        <v>35</v>
      </c>
      <c r="B36" s="19" t="s">
        <v>63</v>
      </c>
      <c r="C36" s="38">
        <f>VLOOKUP(B:B,Courts!B:F,2,FALSE())</f>
        <v>6</v>
      </c>
      <c r="D36" s="38">
        <f>VLOOKUP(B:B,Courts!B:E,4,FALSE())</f>
        <v>1</v>
      </c>
      <c r="E36" s="38">
        <f>VLOOKUP(B:B,Courts!B:D,3,FALSE())</f>
        <v>0</v>
      </c>
      <c r="F36" s="38">
        <v>4</v>
      </c>
      <c r="G36" s="63">
        <v>0</v>
      </c>
      <c r="H36" s="64">
        <v>1</v>
      </c>
      <c r="I36" s="64">
        <f t="shared" si="0"/>
        <v>5</v>
      </c>
      <c r="J36" s="64">
        <f t="shared" si="1"/>
        <v>7</v>
      </c>
      <c r="K36" s="64">
        <f t="shared" si="2"/>
        <v>-2</v>
      </c>
      <c r="L36" s="64">
        <v>-2</v>
      </c>
    </row>
    <row r="37" spans="1:12" x14ac:dyDescent="0.25">
      <c r="A37" s="19">
        <v>36</v>
      </c>
      <c r="B37" s="19" t="s">
        <v>64</v>
      </c>
      <c r="C37" s="38">
        <f>VLOOKUP(B:B,Courts!B:F,2,FALSE())</f>
        <v>3</v>
      </c>
      <c r="D37" s="38">
        <f>VLOOKUP(B:B,Courts!B:E,4,FALSE())</f>
        <v>1</v>
      </c>
      <c r="E37" s="38">
        <f>VLOOKUP(B:B,Courts!B:D,3,FALSE())</f>
        <v>0</v>
      </c>
      <c r="F37" s="38">
        <v>2</v>
      </c>
      <c r="G37" s="63">
        <v>0</v>
      </c>
      <c r="H37" s="64">
        <v>1</v>
      </c>
      <c r="I37" s="64">
        <f t="shared" si="0"/>
        <v>3</v>
      </c>
      <c r="J37" s="64">
        <f t="shared" si="1"/>
        <v>4</v>
      </c>
      <c r="K37" s="64">
        <f t="shared" si="2"/>
        <v>-1</v>
      </c>
      <c r="L37" s="64">
        <v>-1</v>
      </c>
    </row>
    <row r="38" spans="1:12" x14ac:dyDescent="0.25">
      <c r="A38" s="19">
        <v>37</v>
      </c>
      <c r="B38" s="16" t="s">
        <v>65</v>
      </c>
      <c r="C38" s="38">
        <f>VLOOKUP(B:B,Courts!B:F,2,FALSE())</f>
        <v>10</v>
      </c>
      <c r="D38" s="38">
        <f>VLOOKUP(B:B,Courts!B:E,4,FALSE())</f>
        <v>0</v>
      </c>
      <c r="E38" s="38">
        <f>VLOOKUP(B:B,Courts!B:D,3,FALSE())</f>
        <v>0</v>
      </c>
      <c r="F38" s="38">
        <v>6</v>
      </c>
      <c r="G38" s="63">
        <v>0</v>
      </c>
      <c r="H38" s="64">
        <v>2</v>
      </c>
      <c r="I38" s="64">
        <f t="shared" si="0"/>
        <v>8</v>
      </c>
      <c r="J38" s="64">
        <f t="shared" si="1"/>
        <v>10</v>
      </c>
      <c r="K38" s="64">
        <f t="shared" si="2"/>
        <v>-2</v>
      </c>
      <c r="L38" s="64">
        <v>-2</v>
      </c>
    </row>
    <row r="39" spans="1:12" x14ac:dyDescent="0.25">
      <c r="A39" s="19">
        <v>38</v>
      </c>
      <c r="B39" s="19" t="s">
        <v>66</v>
      </c>
      <c r="C39" s="38">
        <f>VLOOKUP(B:B,Courts!B:F,2,FALSE())</f>
        <v>2</v>
      </c>
      <c r="D39" s="38">
        <f>VLOOKUP(B:B,Courts!B:E,4,FALSE())</f>
        <v>1</v>
      </c>
      <c r="E39" s="38">
        <f>VLOOKUP(B:B,Courts!B:D,3,FALSE())</f>
        <v>0</v>
      </c>
      <c r="F39" s="38">
        <v>1</v>
      </c>
      <c r="G39" s="63">
        <v>0</v>
      </c>
      <c r="H39" s="64">
        <v>2</v>
      </c>
      <c r="I39" s="64">
        <f t="shared" si="0"/>
        <v>3</v>
      </c>
      <c r="J39" s="64">
        <f t="shared" si="1"/>
        <v>3</v>
      </c>
      <c r="K39" s="64">
        <f t="shared" si="2"/>
        <v>0</v>
      </c>
      <c r="L39" s="64">
        <v>0</v>
      </c>
    </row>
    <row r="40" spans="1:12" x14ac:dyDescent="0.25">
      <c r="A40" s="19">
        <v>39</v>
      </c>
      <c r="B40" s="19" t="s">
        <v>67</v>
      </c>
      <c r="C40" s="38">
        <f>VLOOKUP(B:B,Courts!B:F,2,FALSE())</f>
        <v>3</v>
      </c>
      <c r="D40" s="38">
        <f>VLOOKUP(B:B,Courts!B:E,4,FALSE())</f>
        <v>1</v>
      </c>
      <c r="E40" s="38">
        <f>VLOOKUP(B:B,Courts!B:D,3,FALSE())</f>
        <v>0</v>
      </c>
      <c r="F40" s="38">
        <v>2</v>
      </c>
      <c r="G40" s="63">
        <v>0</v>
      </c>
      <c r="H40" s="64">
        <v>1</v>
      </c>
      <c r="I40" s="64">
        <f t="shared" si="0"/>
        <v>3</v>
      </c>
      <c r="J40" s="64">
        <f t="shared" si="1"/>
        <v>4</v>
      </c>
      <c r="K40" s="64">
        <f t="shared" si="2"/>
        <v>-1</v>
      </c>
      <c r="L40" s="64">
        <v>-1</v>
      </c>
    </row>
    <row r="41" spans="1:12" x14ac:dyDescent="0.25">
      <c r="A41" s="19">
        <v>40</v>
      </c>
      <c r="B41" s="16" t="s">
        <v>68</v>
      </c>
      <c r="C41" s="38">
        <f>VLOOKUP(B:B,Courts!B:F,2,FALSE())</f>
        <v>15</v>
      </c>
      <c r="D41" s="38">
        <f>VLOOKUP(B:B,Courts!B:E,4,FALSE())</f>
        <v>0</v>
      </c>
      <c r="E41" s="38">
        <f>VLOOKUP(B:B,Courts!B:D,3,FALSE())</f>
        <v>0</v>
      </c>
      <c r="F41" s="38">
        <v>13</v>
      </c>
      <c r="G41" s="63">
        <v>0</v>
      </c>
      <c r="H41" s="64">
        <v>0</v>
      </c>
      <c r="I41" s="64">
        <f t="shared" si="0"/>
        <v>13</v>
      </c>
      <c r="J41" s="64">
        <f t="shared" si="1"/>
        <v>15</v>
      </c>
      <c r="K41" s="64">
        <f t="shared" si="2"/>
        <v>-2</v>
      </c>
      <c r="L41" s="64">
        <v>-2</v>
      </c>
    </row>
    <row r="42" spans="1:12" x14ac:dyDescent="0.25">
      <c r="A42" s="19">
        <v>41</v>
      </c>
      <c r="B42" s="19" t="s">
        <v>69</v>
      </c>
      <c r="C42" s="38">
        <f>VLOOKUP(B:B,Courts!B:F,2,FALSE())</f>
        <v>2</v>
      </c>
      <c r="D42" s="38">
        <f>VLOOKUP(B:B,Courts!B:E,4,FALSE())</f>
        <v>1</v>
      </c>
      <c r="E42" s="38">
        <f>VLOOKUP(B:B,Courts!B:D,3,FALSE())</f>
        <v>0</v>
      </c>
      <c r="F42" s="38">
        <v>1</v>
      </c>
      <c r="G42" s="63">
        <v>0</v>
      </c>
      <c r="H42" s="64">
        <v>1</v>
      </c>
      <c r="I42" s="64">
        <f t="shared" si="0"/>
        <v>2</v>
      </c>
      <c r="J42" s="64">
        <f t="shared" si="1"/>
        <v>3</v>
      </c>
      <c r="K42" s="64">
        <f t="shared" si="2"/>
        <v>-1</v>
      </c>
      <c r="L42" s="64">
        <v>-1</v>
      </c>
    </row>
    <row r="43" spans="1:12" x14ac:dyDescent="0.25">
      <c r="A43" s="19">
        <v>42</v>
      </c>
      <c r="B43" s="19" t="s">
        <v>70</v>
      </c>
      <c r="C43" s="38">
        <f>VLOOKUP(B:B,Courts!B:F,2,FALSE())</f>
        <v>2</v>
      </c>
      <c r="D43" s="38">
        <f>VLOOKUP(B:B,Courts!B:E,4,FALSE())</f>
        <v>1</v>
      </c>
      <c r="E43" s="38">
        <f>VLOOKUP(B:B,Courts!B:D,3,FALSE())</f>
        <v>0</v>
      </c>
      <c r="F43" s="38">
        <v>1</v>
      </c>
      <c r="G43" s="63">
        <v>0</v>
      </c>
      <c r="H43" s="64">
        <v>1</v>
      </c>
      <c r="I43" s="64">
        <f t="shared" si="0"/>
        <v>2</v>
      </c>
      <c r="J43" s="64">
        <f t="shared" si="1"/>
        <v>3</v>
      </c>
      <c r="K43" s="64">
        <f t="shared" si="2"/>
        <v>-1</v>
      </c>
      <c r="L43" s="64">
        <v>-1</v>
      </c>
    </row>
    <row r="44" spans="1:12" ht="30" x14ac:dyDescent="0.25">
      <c r="A44" s="19">
        <v>43</v>
      </c>
      <c r="B44" s="19" t="s">
        <v>71</v>
      </c>
      <c r="C44" s="38">
        <f>VLOOKUP(B:B,Courts!B:F,2,FALSE())</f>
        <v>0</v>
      </c>
      <c r="D44" s="38">
        <f>VLOOKUP(B:B,Courts!B:E,4,FALSE())</f>
        <v>1</v>
      </c>
      <c r="E44" s="38">
        <f>VLOOKUP(B:B,Courts!B:D,3,FALSE())</f>
        <v>0</v>
      </c>
      <c r="F44" s="38">
        <v>0</v>
      </c>
      <c r="G44" s="63">
        <v>0</v>
      </c>
      <c r="H44" s="64">
        <v>1</v>
      </c>
      <c r="I44" s="64">
        <f t="shared" si="0"/>
        <v>1</v>
      </c>
      <c r="J44" s="64">
        <f t="shared" si="1"/>
        <v>1</v>
      </c>
      <c r="K44" s="64">
        <f t="shared" si="2"/>
        <v>0</v>
      </c>
      <c r="L44" s="64">
        <v>0</v>
      </c>
    </row>
    <row r="45" spans="1:12" x14ac:dyDescent="0.25">
      <c r="A45" s="19">
        <v>44</v>
      </c>
      <c r="B45" s="16" t="s">
        <v>72</v>
      </c>
      <c r="C45" s="38">
        <f>VLOOKUP(B:B,Courts!B:F,2,FALSE())</f>
        <v>13</v>
      </c>
      <c r="D45" s="38">
        <f>VLOOKUP(B:B,Courts!B:E,4,FALSE())</f>
        <v>0</v>
      </c>
      <c r="E45" s="38">
        <f>VLOOKUP(B:B,Courts!B:D,3,FALSE())</f>
        <v>0</v>
      </c>
      <c r="F45" s="38">
        <v>9</v>
      </c>
      <c r="G45" s="63">
        <v>0</v>
      </c>
      <c r="H45" s="64">
        <v>0</v>
      </c>
      <c r="I45" s="64">
        <f t="shared" si="0"/>
        <v>9</v>
      </c>
      <c r="J45" s="64">
        <f t="shared" si="1"/>
        <v>13</v>
      </c>
      <c r="K45" s="64">
        <f t="shared" si="2"/>
        <v>-4</v>
      </c>
      <c r="L45" s="64">
        <v>-4</v>
      </c>
    </row>
    <row r="46" spans="1:12" x14ac:dyDescent="0.25">
      <c r="A46" s="19">
        <v>45</v>
      </c>
      <c r="B46" s="16" t="s">
        <v>73</v>
      </c>
      <c r="C46" s="38">
        <f>VLOOKUP(B:B,Courts!B:F,2,FALSE())</f>
        <v>35</v>
      </c>
      <c r="D46" s="38">
        <f>VLOOKUP(B:B,Courts!B:E,4,FALSE())</f>
        <v>0</v>
      </c>
      <c r="E46" s="38">
        <f>VLOOKUP(B:B,Courts!B:D,3,FALSE())</f>
        <v>0</v>
      </c>
      <c r="F46" s="38">
        <v>23</v>
      </c>
      <c r="G46" s="63">
        <v>0</v>
      </c>
      <c r="H46" s="64">
        <v>2</v>
      </c>
      <c r="I46" s="64">
        <f t="shared" si="0"/>
        <v>25</v>
      </c>
      <c r="J46" s="64">
        <f t="shared" si="1"/>
        <v>35</v>
      </c>
      <c r="K46" s="64">
        <f t="shared" si="2"/>
        <v>-10</v>
      </c>
      <c r="L46" s="64">
        <v>-10</v>
      </c>
    </row>
    <row r="47" spans="1:12" x14ac:dyDescent="0.25">
      <c r="A47" s="19">
        <v>46</v>
      </c>
      <c r="B47" s="19" t="s">
        <v>74</v>
      </c>
      <c r="C47" s="38">
        <f>VLOOKUP(B:B,Courts!B:F,2,FALSE())</f>
        <v>5</v>
      </c>
      <c r="D47" s="38">
        <f>VLOOKUP(B:B,Courts!B:E,4,FALSE())</f>
        <v>1</v>
      </c>
      <c r="E47" s="38">
        <f>VLOOKUP(B:B,Courts!B:D,3,FALSE())</f>
        <v>0</v>
      </c>
      <c r="F47" s="38">
        <v>3</v>
      </c>
      <c r="G47" s="63">
        <v>0</v>
      </c>
      <c r="H47" s="64">
        <v>2</v>
      </c>
      <c r="I47" s="64">
        <f t="shared" si="0"/>
        <v>5</v>
      </c>
      <c r="J47" s="64">
        <f t="shared" si="1"/>
        <v>6</v>
      </c>
      <c r="K47" s="64">
        <f t="shared" si="2"/>
        <v>-1</v>
      </c>
      <c r="L47" s="64">
        <v>-1</v>
      </c>
    </row>
    <row r="48" spans="1:12" x14ac:dyDescent="0.25">
      <c r="A48" s="19">
        <v>47</v>
      </c>
      <c r="B48" s="19" t="s">
        <v>75</v>
      </c>
      <c r="C48" s="38">
        <f>VLOOKUP(B:B,Courts!B:F,2,FALSE())</f>
        <v>6</v>
      </c>
      <c r="D48" s="38">
        <f>VLOOKUP(B:B,Courts!B:E,4,FALSE())</f>
        <v>1</v>
      </c>
      <c r="E48" s="38">
        <f>VLOOKUP(B:B,Courts!B:D,3,FALSE())</f>
        <v>0</v>
      </c>
      <c r="F48" s="38">
        <v>5</v>
      </c>
      <c r="G48" s="63">
        <v>0</v>
      </c>
      <c r="H48" s="64">
        <v>1</v>
      </c>
      <c r="I48" s="64">
        <f t="shared" si="0"/>
        <v>6</v>
      </c>
      <c r="J48" s="64">
        <f t="shared" si="1"/>
        <v>7</v>
      </c>
      <c r="K48" s="64">
        <f t="shared" si="2"/>
        <v>-1</v>
      </c>
      <c r="L48" s="64">
        <v>-1</v>
      </c>
    </row>
    <row r="49" spans="1:12" x14ac:dyDescent="0.25">
      <c r="A49" s="19">
        <v>48</v>
      </c>
      <c r="B49" s="19" t="s">
        <v>76</v>
      </c>
      <c r="C49" s="38">
        <f>VLOOKUP(B:B,Courts!B:F,2,FALSE())</f>
        <v>6</v>
      </c>
      <c r="D49" s="38">
        <f>VLOOKUP(B:B,Courts!B:E,4,FALSE())</f>
        <v>1</v>
      </c>
      <c r="E49" s="38">
        <f>VLOOKUP(B:B,Courts!B:D,3,FALSE())</f>
        <v>0</v>
      </c>
      <c r="F49" s="38">
        <v>2</v>
      </c>
      <c r="G49" s="63">
        <v>0</v>
      </c>
      <c r="H49" s="64">
        <v>3</v>
      </c>
      <c r="I49" s="64">
        <f t="shared" si="0"/>
        <v>5</v>
      </c>
      <c r="J49" s="64">
        <f t="shared" si="1"/>
        <v>7</v>
      </c>
      <c r="K49" s="64">
        <f t="shared" si="2"/>
        <v>-2</v>
      </c>
      <c r="L49" s="64">
        <v>-2</v>
      </c>
    </row>
    <row r="50" spans="1:12" x14ac:dyDescent="0.25">
      <c r="A50" s="19">
        <v>49</v>
      </c>
      <c r="B50" s="16" t="s">
        <v>77</v>
      </c>
      <c r="C50" s="38">
        <f>VLOOKUP(B:B,Courts!B:F,2,FALSE())</f>
        <v>14</v>
      </c>
      <c r="D50" s="38">
        <f>VLOOKUP(B:B,Courts!B:E,4,FALSE())</f>
        <v>0</v>
      </c>
      <c r="E50" s="38">
        <f>VLOOKUP(B:B,Courts!B:D,3,FALSE())</f>
        <v>0</v>
      </c>
      <c r="F50" s="38">
        <v>14</v>
      </c>
      <c r="G50" s="63">
        <v>0</v>
      </c>
      <c r="H50" s="64">
        <v>0</v>
      </c>
      <c r="I50" s="64">
        <f t="shared" si="0"/>
        <v>14</v>
      </c>
      <c r="J50" s="64">
        <f t="shared" si="1"/>
        <v>14</v>
      </c>
      <c r="K50" s="64">
        <f t="shared" si="2"/>
        <v>0</v>
      </c>
      <c r="L50" s="64">
        <v>0</v>
      </c>
    </row>
    <row r="51" spans="1:12" ht="30" x14ac:dyDescent="0.25">
      <c r="A51" s="19">
        <v>50</v>
      </c>
      <c r="B51" s="19" t="s">
        <v>78</v>
      </c>
      <c r="C51" s="38">
        <f>VLOOKUP(B:B,Courts!B:F,2,FALSE())</f>
        <v>3</v>
      </c>
      <c r="D51" s="38">
        <f>VLOOKUP(B:B,Courts!B:E,4,FALSE())</f>
        <v>1</v>
      </c>
      <c r="E51" s="38">
        <f>VLOOKUP(B:B,Courts!B:D,3,FALSE())</f>
        <v>0</v>
      </c>
      <c r="F51" s="38">
        <v>2</v>
      </c>
      <c r="G51" s="63">
        <v>0</v>
      </c>
      <c r="H51" s="64">
        <v>2</v>
      </c>
      <c r="I51" s="64">
        <f t="shared" si="0"/>
        <v>4</v>
      </c>
      <c r="J51" s="64">
        <f t="shared" si="1"/>
        <v>4</v>
      </c>
      <c r="K51" s="64">
        <f t="shared" si="2"/>
        <v>0</v>
      </c>
      <c r="L51" s="64">
        <v>0</v>
      </c>
    </row>
    <row r="52" spans="1:12" x14ac:dyDescent="0.25">
      <c r="A52" s="19">
        <v>51</v>
      </c>
      <c r="B52" s="19" t="s">
        <v>79</v>
      </c>
      <c r="C52" s="38">
        <f>VLOOKUP(B:B,Courts!B:F,2,FALSE())</f>
        <v>2</v>
      </c>
      <c r="D52" s="38">
        <f>VLOOKUP(B:B,Courts!B:E,4,FALSE())</f>
        <v>1</v>
      </c>
      <c r="E52" s="38">
        <f>VLOOKUP(B:B,Courts!B:D,3,FALSE())</f>
        <v>0</v>
      </c>
      <c r="F52" s="38">
        <v>0</v>
      </c>
      <c r="G52" s="63">
        <v>0</v>
      </c>
      <c r="H52" s="64">
        <v>2</v>
      </c>
      <c r="I52" s="64">
        <f t="shared" si="0"/>
        <v>2</v>
      </c>
      <c r="J52" s="64">
        <f t="shared" si="1"/>
        <v>3</v>
      </c>
      <c r="K52" s="64">
        <f t="shared" si="2"/>
        <v>-1</v>
      </c>
      <c r="L52" s="64">
        <v>-1</v>
      </c>
    </row>
    <row r="53" spans="1:12" ht="30" x14ac:dyDescent="0.25">
      <c r="A53" s="19">
        <v>52</v>
      </c>
      <c r="B53" s="19" t="s">
        <v>80</v>
      </c>
      <c r="C53" s="38">
        <f>VLOOKUP(B:B,Courts!B:F,2,FALSE())</f>
        <v>0</v>
      </c>
      <c r="D53" s="38">
        <f>VLOOKUP(B:B,Courts!B:E,4,FALSE())</f>
        <v>1</v>
      </c>
      <c r="E53" s="38">
        <f>VLOOKUP(B:B,Courts!B:D,3,FALSE())</f>
        <v>0</v>
      </c>
      <c r="F53" s="38">
        <v>0</v>
      </c>
      <c r="G53" s="63">
        <v>1</v>
      </c>
      <c r="H53" s="64">
        <v>0</v>
      </c>
      <c r="I53" s="64">
        <f t="shared" si="0"/>
        <v>1</v>
      </c>
      <c r="J53" s="64">
        <f t="shared" si="1"/>
        <v>1</v>
      </c>
      <c r="K53" s="64">
        <f t="shared" si="2"/>
        <v>0</v>
      </c>
      <c r="L53" s="64">
        <v>0</v>
      </c>
    </row>
    <row r="54" spans="1:12" x14ac:dyDescent="0.25">
      <c r="A54" s="19">
        <v>53</v>
      </c>
      <c r="B54" s="16" t="s">
        <v>81</v>
      </c>
      <c r="C54" s="38">
        <f>VLOOKUP(B:B,Courts!B:F,2,FALSE())</f>
        <v>22</v>
      </c>
      <c r="D54" s="38">
        <f>VLOOKUP(B:B,Courts!B:E,4,FALSE())</f>
        <v>0</v>
      </c>
      <c r="E54" s="38">
        <f>VLOOKUP(B:B,Courts!B:D,3,FALSE())</f>
        <v>0</v>
      </c>
      <c r="F54" s="38">
        <v>19</v>
      </c>
      <c r="G54" s="63">
        <v>0</v>
      </c>
      <c r="H54" s="64">
        <v>0</v>
      </c>
      <c r="I54" s="64">
        <f t="shared" si="0"/>
        <v>19</v>
      </c>
      <c r="J54" s="64">
        <f t="shared" si="1"/>
        <v>22</v>
      </c>
      <c r="K54" s="64">
        <f t="shared" si="2"/>
        <v>-3</v>
      </c>
      <c r="L54" s="64">
        <v>-3</v>
      </c>
    </row>
    <row r="55" spans="1:12" x14ac:dyDescent="0.25">
      <c r="A55" s="19">
        <v>54</v>
      </c>
      <c r="B55" s="19" t="s">
        <v>82</v>
      </c>
      <c r="C55" s="38">
        <f>VLOOKUP(B:B,Courts!B:F,2,FALSE())</f>
        <v>9</v>
      </c>
      <c r="D55" s="38">
        <f>VLOOKUP(B:B,Courts!B:E,4,FALSE())</f>
        <v>1</v>
      </c>
      <c r="E55" s="38">
        <f>VLOOKUP(B:B,Courts!B:D,3,FALSE())</f>
        <v>0</v>
      </c>
      <c r="F55" s="38">
        <v>3</v>
      </c>
      <c r="G55" s="63">
        <v>0</v>
      </c>
      <c r="H55" s="64">
        <v>0</v>
      </c>
      <c r="I55" s="64">
        <f t="shared" si="0"/>
        <v>3</v>
      </c>
      <c r="J55" s="64">
        <f t="shared" si="1"/>
        <v>10</v>
      </c>
      <c r="K55" s="64">
        <f t="shared" si="2"/>
        <v>-7</v>
      </c>
      <c r="L55" s="64">
        <v>-7</v>
      </c>
    </row>
    <row r="56" spans="1:12" x14ac:dyDescent="0.25">
      <c r="A56" s="19">
        <v>55</v>
      </c>
      <c r="B56" s="19" t="s">
        <v>83</v>
      </c>
      <c r="C56" s="38">
        <f>VLOOKUP(B:B,Courts!B:F,2,FALSE())</f>
        <v>8</v>
      </c>
      <c r="D56" s="38">
        <f>VLOOKUP(B:B,Courts!B:E,4,FALSE())</f>
        <v>1</v>
      </c>
      <c r="E56" s="38">
        <f>VLOOKUP(B:B,Courts!B:D,3,FALSE())</f>
        <v>0</v>
      </c>
      <c r="F56" s="38">
        <v>5</v>
      </c>
      <c r="G56" s="63">
        <v>0</v>
      </c>
      <c r="H56" s="64">
        <v>0</v>
      </c>
      <c r="I56" s="64">
        <f t="shared" si="0"/>
        <v>5</v>
      </c>
      <c r="J56" s="64">
        <f t="shared" si="1"/>
        <v>9</v>
      </c>
      <c r="K56" s="64">
        <f t="shared" si="2"/>
        <v>-4</v>
      </c>
      <c r="L56" s="64">
        <v>-4</v>
      </c>
    </row>
    <row r="57" spans="1:12" x14ac:dyDescent="0.25">
      <c r="A57" s="19">
        <v>56</v>
      </c>
      <c r="B57" s="16" t="s">
        <v>84</v>
      </c>
      <c r="C57" s="38">
        <f>VLOOKUP(B:B,Courts!B:F,2,FALSE())</f>
        <v>17</v>
      </c>
      <c r="D57" s="38">
        <f>VLOOKUP(B:B,Courts!B:E,4,FALSE())</f>
        <v>0</v>
      </c>
      <c r="E57" s="38">
        <f>VLOOKUP(B:B,Courts!B:D,3,FALSE())</f>
        <v>0</v>
      </c>
      <c r="F57" s="38">
        <v>16</v>
      </c>
      <c r="G57" s="63">
        <v>0</v>
      </c>
      <c r="H57" s="64">
        <v>0</v>
      </c>
      <c r="I57" s="64">
        <f t="shared" si="0"/>
        <v>16</v>
      </c>
      <c r="J57" s="64">
        <f t="shared" si="1"/>
        <v>17</v>
      </c>
      <c r="K57" s="64">
        <f t="shared" si="2"/>
        <v>-1</v>
      </c>
      <c r="L57" s="64">
        <v>-1</v>
      </c>
    </row>
    <row r="58" spans="1:12" x14ac:dyDescent="0.25">
      <c r="A58" s="19">
        <v>57</v>
      </c>
      <c r="B58" s="19" t="s">
        <v>85</v>
      </c>
      <c r="C58" s="38">
        <f>VLOOKUP(B:B,Courts!B:F,2,FALSE())</f>
        <v>7</v>
      </c>
      <c r="D58" s="38">
        <f>VLOOKUP(B:B,Courts!B:E,4,FALSE())</f>
        <v>1</v>
      </c>
      <c r="E58" s="38">
        <f>VLOOKUP(B:B,Courts!B:D,3,FALSE())</f>
        <v>0</v>
      </c>
      <c r="F58" s="38">
        <v>5</v>
      </c>
      <c r="G58" s="63">
        <v>0</v>
      </c>
      <c r="H58" s="64">
        <v>1</v>
      </c>
      <c r="I58" s="64">
        <f t="shared" si="0"/>
        <v>6</v>
      </c>
      <c r="J58" s="64">
        <f t="shared" si="1"/>
        <v>8</v>
      </c>
      <c r="K58" s="64">
        <f t="shared" si="2"/>
        <v>-2</v>
      </c>
      <c r="L58" s="64">
        <v>-2</v>
      </c>
    </row>
    <row r="59" spans="1:12" x14ac:dyDescent="0.25">
      <c r="A59" s="19">
        <v>58</v>
      </c>
      <c r="B59" s="19" t="s">
        <v>86</v>
      </c>
      <c r="C59" s="38">
        <f>VLOOKUP(B:B,Courts!B:F,2,FALSE())</f>
        <v>5</v>
      </c>
      <c r="D59" s="38">
        <f>VLOOKUP(B:B,Courts!B:E,4,FALSE())</f>
        <v>1</v>
      </c>
      <c r="E59" s="38">
        <f>VLOOKUP(B:B,Courts!B:D,3,FALSE())</f>
        <v>0</v>
      </c>
      <c r="F59" s="38">
        <v>3</v>
      </c>
      <c r="G59" s="63">
        <v>0</v>
      </c>
      <c r="H59" s="64">
        <v>2</v>
      </c>
      <c r="I59" s="64">
        <f t="shared" si="0"/>
        <v>5</v>
      </c>
      <c r="J59" s="64">
        <f t="shared" si="1"/>
        <v>6</v>
      </c>
      <c r="K59" s="64">
        <f t="shared" si="2"/>
        <v>-1</v>
      </c>
      <c r="L59" s="64">
        <v>-1</v>
      </c>
    </row>
    <row r="60" spans="1:12" x14ac:dyDescent="0.25">
      <c r="A60" s="19">
        <v>59</v>
      </c>
      <c r="B60" s="19" t="s">
        <v>87</v>
      </c>
      <c r="C60" s="38">
        <f>VLOOKUP(B:B,Courts!B:F,2,FALSE())</f>
        <v>3</v>
      </c>
      <c r="D60" s="38">
        <f>VLOOKUP(B:B,Courts!B:E,4,FALSE())</f>
        <v>1</v>
      </c>
      <c r="E60" s="38">
        <f>VLOOKUP(B:B,Courts!B:D,3,FALSE())</f>
        <v>0</v>
      </c>
      <c r="F60" s="38">
        <v>1</v>
      </c>
      <c r="G60" s="63">
        <v>0</v>
      </c>
      <c r="H60" s="64">
        <v>2</v>
      </c>
      <c r="I60" s="64">
        <f t="shared" si="0"/>
        <v>3</v>
      </c>
      <c r="J60" s="64">
        <f t="shared" si="1"/>
        <v>4</v>
      </c>
      <c r="K60" s="64">
        <f t="shared" si="2"/>
        <v>-1</v>
      </c>
      <c r="L60" s="64">
        <v>-1</v>
      </c>
    </row>
    <row r="61" spans="1:12" x14ac:dyDescent="0.25">
      <c r="A61" s="19">
        <v>60</v>
      </c>
      <c r="B61" s="19" t="s">
        <v>88</v>
      </c>
      <c r="C61" s="38">
        <f>VLOOKUP(B:B,Courts!B:F,2,FALSE())</f>
        <v>5</v>
      </c>
      <c r="D61" s="38">
        <f>VLOOKUP(B:B,Courts!B:E,4,FALSE())</f>
        <v>1</v>
      </c>
      <c r="E61" s="38">
        <f>VLOOKUP(B:B,Courts!B:D,3,FALSE())</f>
        <v>0</v>
      </c>
      <c r="F61" s="38">
        <v>3</v>
      </c>
      <c r="G61" s="63">
        <v>0</v>
      </c>
      <c r="H61" s="64">
        <v>0</v>
      </c>
      <c r="I61" s="64">
        <f t="shared" si="0"/>
        <v>3</v>
      </c>
      <c r="J61" s="64">
        <f t="shared" si="1"/>
        <v>6</v>
      </c>
      <c r="K61" s="64">
        <f t="shared" si="2"/>
        <v>-3</v>
      </c>
      <c r="L61" s="64">
        <v>-3</v>
      </c>
    </row>
    <row r="62" spans="1:12" ht="25.5" x14ac:dyDescent="0.25">
      <c r="A62" s="19">
        <v>61</v>
      </c>
      <c r="B62" s="16" t="s">
        <v>89</v>
      </c>
      <c r="C62" s="38">
        <f>VLOOKUP(B:B,Courts!B:F,2,FALSE())</f>
        <v>9</v>
      </c>
      <c r="D62" s="38">
        <f>VLOOKUP(B:B,Courts!B:E,4,FALSE())</f>
        <v>0</v>
      </c>
      <c r="E62" s="38">
        <f>VLOOKUP(B:B,Courts!B:D,3,FALSE())</f>
        <v>0</v>
      </c>
      <c r="F62" s="38">
        <v>5</v>
      </c>
      <c r="G62" s="63">
        <v>0</v>
      </c>
      <c r="H62" s="64">
        <v>2</v>
      </c>
      <c r="I62" s="64">
        <f t="shared" si="0"/>
        <v>7</v>
      </c>
      <c r="J62" s="64">
        <f t="shared" si="1"/>
        <v>9</v>
      </c>
      <c r="K62" s="64">
        <f t="shared" si="2"/>
        <v>-2</v>
      </c>
      <c r="L62" s="64">
        <v>-2</v>
      </c>
    </row>
    <row r="63" spans="1:12" x14ac:dyDescent="0.25">
      <c r="A63" s="19">
        <v>62</v>
      </c>
      <c r="B63" s="19" t="s">
        <v>90</v>
      </c>
      <c r="C63" s="38">
        <f>VLOOKUP(B:B,Courts!B:F,2,FALSE())</f>
        <v>3</v>
      </c>
      <c r="D63" s="38">
        <f>VLOOKUP(B:B,Courts!B:E,4,FALSE())</f>
        <v>1</v>
      </c>
      <c r="E63" s="38">
        <f>VLOOKUP(B:B,Courts!B:D,3,FALSE())</f>
        <v>0</v>
      </c>
      <c r="F63" s="38">
        <v>2</v>
      </c>
      <c r="G63" s="63">
        <v>0</v>
      </c>
      <c r="H63" s="64">
        <v>1</v>
      </c>
      <c r="I63" s="64">
        <f t="shared" si="0"/>
        <v>3</v>
      </c>
      <c r="J63" s="64">
        <f t="shared" si="1"/>
        <v>4</v>
      </c>
      <c r="K63" s="64">
        <f t="shared" si="2"/>
        <v>-1</v>
      </c>
      <c r="L63" s="64">
        <v>-1</v>
      </c>
    </row>
    <row r="64" spans="1:12" x14ac:dyDescent="0.25">
      <c r="A64" s="19">
        <v>63</v>
      </c>
      <c r="B64" s="19" t="s">
        <v>91</v>
      </c>
      <c r="C64" s="38">
        <f>VLOOKUP(B:B,Courts!B:F,2,FALSE())</f>
        <v>6</v>
      </c>
      <c r="D64" s="38">
        <f>VLOOKUP(B:B,Courts!B:E,4,FALSE())</f>
        <v>1</v>
      </c>
      <c r="E64" s="38">
        <f>VLOOKUP(B:B,Courts!B:D,3,FALSE())</f>
        <v>0</v>
      </c>
      <c r="F64" s="38">
        <v>3</v>
      </c>
      <c r="G64" s="63">
        <v>0</v>
      </c>
      <c r="H64" s="64">
        <v>1</v>
      </c>
      <c r="I64" s="64">
        <f t="shared" si="0"/>
        <v>4</v>
      </c>
      <c r="J64" s="64">
        <f t="shared" si="1"/>
        <v>7</v>
      </c>
      <c r="K64" s="64">
        <f t="shared" si="2"/>
        <v>-3</v>
      </c>
      <c r="L64" s="64">
        <v>-3</v>
      </c>
    </row>
    <row r="65" spans="1:12" x14ac:dyDescent="0.25">
      <c r="A65" s="19">
        <v>64</v>
      </c>
      <c r="B65" s="16" t="s">
        <v>92</v>
      </c>
      <c r="C65" s="38">
        <f>VLOOKUP(B:B,Courts!B:F,2,FALSE())</f>
        <v>13</v>
      </c>
      <c r="D65" s="38">
        <f>VLOOKUP(B:B,Courts!B:E,4,FALSE())</f>
        <v>0</v>
      </c>
      <c r="E65" s="38">
        <f>VLOOKUP(B:B,Courts!B:D,3,FALSE())</f>
        <v>0</v>
      </c>
      <c r="F65" s="38">
        <v>9</v>
      </c>
      <c r="G65" s="63">
        <v>0</v>
      </c>
      <c r="H65" s="64">
        <v>0</v>
      </c>
      <c r="I65" s="64">
        <f t="shared" si="0"/>
        <v>9</v>
      </c>
      <c r="J65" s="64">
        <f t="shared" si="1"/>
        <v>13</v>
      </c>
      <c r="K65" s="64">
        <f t="shared" si="2"/>
        <v>-4</v>
      </c>
      <c r="L65" s="64">
        <v>-4</v>
      </c>
    </row>
    <row r="66" spans="1:12" x14ac:dyDescent="0.25">
      <c r="A66" s="19">
        <v>65</v>
      </c>
      <c r="B66" s="19" t="s">
        <v>93</v>
      </c>
      <c r="C66" s="38">
        <f>VLOOKUP(B:B,Courts!B:F,2,FALSE())</f>
        <v>2</v>
      </c>
      <c r="D66" s="38">
        <f>VLOOKUP(B:B,Courts!B:E,4,FALSE())</f>
        <v>1</v>
      </c>
      <c r="E66" s="38">
        <f>VLOOKUP(B:B,Courts!B:D,3,FALSE())</f>
        <v>0</v>
      </c>
      <c r="F66" s="38">
        <v>1</v>
      </c>
      <c r="G66" s="63">
        <v>0</v>
      </c>
      <c r="H66" s="64">
        <v>1</v>
      </c>
      <c r="I66" s="64">
        <f t="shared" si="0"/>
        <v>2</v>
      </c>
      <c r="J66" s="64">
        <f t="shared" si="1"/>
        <v>3</v>
      </c>
      <c r="K66" s="64">
        <f t="shared" si="2"/>
        <v>-1</v>
      </c>
      <c r="L66" s="64">
        <v>-1</v>
      </c>
    </row>
    <row r="67" spans="1:12" x14ac:dyDescent="0.25">
      <c r="A67" s="19">
        <v>66</v>
      </c>
      <c r="B67" s="16" t="s">
        <v>94</v>
      </c>
      <c r="C67" s="38">
        <f>VLOOKUP(B:B,Courts!B:F,2,FALSE())</f>
        <v>10</v>
      </c>
      <c r="D67" s="38">
        <f>VLOOKUP(B:B,Courts!B:E,4,FALSE())</f>
        <v>0</v>
      </c>
      <c r="E67" s="38">
        <f>VLOOKUP(B:B,Courts!B:D,3,FALSE())</f>
        <v>0</v>
      </c>
      <c r="F67" s="38">
        <v>10</v>
      </c>
      <c r="G67" s="63">
        <v>0</v>
      </c>
      <c r="H67" s="64">
        <v>1</v>
      </c>
      <c r="I67" s="64">
        <f t="shared" ref="I67:I132" si="3">SUM(F67:H67)</f>
        <v>11</v>
      </c>
      <c r="J67" s="64">
        <f t="shared" ref="J67:J132" si="4">SUM(C67:E67)*1</f>
        <v>10</v>
      </c>
      <c r="K67" s="64">
        <f t="shared" ref="K67:K132" si="5">I67-J67</f>
        <v>1</v>
      </c>
      <c r="L67" s="64">
        <v>0</v>
      </c>
    </row>
    <row r="68" spans="1:12" x14ac:dyDescent="0.25">
      <c r="A68" s="19">
        <v>67</v>
      </c>
      <c r="B68" s="19" t="s">
        <v>95</v>
      </c>
      <c r="C68" s="38">
        <f>VLOOKUP(B:B,Courts!B:F,2,FALSE())</f>
        <v>6</v>
      </c>
      <c r="D68" s="38">
        <f>VLOOKUP(B:B,Courts!B:E,4,FALSE())</f>
        <v>1</v>
      </c>
      <c r="E68" s="38">
        <f>VLOOKUP(B:B,Courts!B:D,3,FALSE())</f>
        <v>0</v>
      </c>
      <c r="F68" s="38">
        <v>2</v>
      </c>
      <c r="G68" s="63">
        <v>0</v>
      </c>
      <c r="H68" s="64">
        <v>2</v>
      </c>
      <c r="I68" s="64">
        <f t="shared" si="3"/>
        <v>4</v>
      </c>
      <c r="J68" s="64">
        <f t="shared" si="4"/>
        <v>7</v>
      </c>
      <c r="K68" s="64">
        <f t="shared" si="5"/>
        <v>-3</v>
      </c>
      <c r="L68" s="64">
        <v>-3</v>
      </c>
    </row>
    <row r="69" spans="1:12" x14ac:dyDescent="0.25">
      <c r="A69" s="19">
        <v>68</v>
      </c>
      <c r="B69" s="19" t="s">
        <v>96</v>
      </c>
      <c r="C69" s="38">
        <f>VLOOKUP(B:B,Courts!B:F,2,FALSE())</f>
        <v>2</v>
      </c>
      <c r="D69" s="38">
        <f>VLOOKUP(B:B,Courts!B:E,4,FALSE())</f>
        <v>1</v>
      </c>
      <c r="E69" s="38">
        <f>VLOOKUP(B:B,Courts!B:D,3,FALSE())</f>
        <v>0</v>
      </c>
      <c r="F69" s="38">
        <v>1</v>
      </c>
      <c r="G69" s="63">
        <v>0</v>
      </c>
      <c r="H69" s="64">
        <v>1</v>
      </c>
      <c r="I69" s="64">
        <f t="shared" si="3"/>
        <v>2</v>
      </c>
      <c r="J69" s="64">
        <f t="shared" si="4"/>
        <v>3</v>
      </c>
      <c r="K69" s="64">
        <f t="shared" si="5"/>
        <v>-1</v>
      </c>
      <c r="L69" s="64">
        <v>0</v>
      </c>
    </row>
    <row r="70" spans="1:12" x14ac:dyDescent="0.25">
      <c r="A70" s="19">
        <v>69</v>
      </c>
      <c r="B70" s="16" t="s">
        <v>97</v>
      </c>
      <c r="C70" s="38">
        <f>VLOOKUP(B:B,Courts!B:F,2,FALSE())</f>
        <v>28</v>
      </c>
      <c r="D70" s="38">
        <f>VLOOKUP(B:B,Courts!B:E,4,FALSE())</f>
        <v>0</v>
      </c>
      <c r="E70" s="38">
        <f>VLOOKUP(B:B,Courts!B:D,3,FALSE())</f>
        <v>0</v>
      </c>
      <c r="F70" s="38">
        <v>31</v>
      </c>
      <c r="G70" s="63">
        <v>0</v>
      </c>
      <c r="H70" s="64">
        <v>0</v>
      </c>
      <c r="I70" s="64">
        <f t="shared" si="3"/>
        <v>31</v>
      </c>
      <c r="J70" s="64">
        <f t="shared" si="4"/>
        <v>28</v>
      </c>
      <c r="K70" s="64">
        <f t="shared" si="5"/>
        <v>3</v>
      </c>
      <c r="L70" s="64">
        <v>0</v>
      </c>
    </row>
    <row r="71" spans="1:12" x14ac:dyDescent="0.25">
      <c r="A71" s="19">
        <v>70</v>
      </c>
      <c r="B71" s="16" t="s">
        <v>98</v>
      </c>
      <c r="C71" s="38">
        <f>VLOOKUP(B:B,Courts!B:F,2,FALSE())</f>
        <v>22</v>
      </c>
      <c r="D71" s="38">
        <f>VLOOKUP(B:B,Courts!B:E,4,FALSE())</f>
        <v>0</v>
      </c>
      <c r="E71" s="38">
        <f>VLOOKUP(B:B,Courts!B:D,3,FALSE())</f>
        <v>5</v>
      </c>
      <c r="F71" s="38">
        <v>18</v>
      </c>
      <c r="G71" s="63">
        <v>0</v>
      </c>
      <c r="H71" s="64">
        <v>0</v>
      </c>
      <c r="I71" s="64">
        <f t="shared" si="3"/>
        <v>18</v>
      </c>
      <c r="J71" s="64">
        <f t="shared" si="4"/>
        <v>27</v>
      </c>
      <c r="K71" s="64">
        <f t="shared" si="5"/>
        <v>-9</v>
      </c>
      <c r="L71" s="64">
        <v>-9</v>
      </c>
    </row>
    <row r="72" spans="1:12" x14ac:dyDescent="0.25">
      <c r="A72" s="19">
        <v>71</v>
      </c>
      <c r="B72" s="19" t="s">
        <v>99</v>
      </c>
      <c r="C72" s="38">
        <f>VLOOKUP(B:B,Courts!B:F,2,FALSE())</f>
        <v>2</v>
      </c>
      <c r="D72" s="38">
        <f>VLOOKUP(B:B,Courts!B:E,4,FALSE())</f>
        <v>1</v>
      </c>
      <c r="E72" s="38">
        <f>VLOOKUP(B:B,Courts!B:D,3,FALSE())</f>
        <v>1</v>
      </c>
      <c r="F72" s="38">
        <v>3</v>
      </c>
      <c r="G72" s="63">
        <v>0</v>
      </c>
      <c r="H72" s="64">
        <v>0</v>
      </c>
      <c r="I72" s="64">
        <f t="shared" si="3"/>
        <v>3</v>
      </c>
      <c r="J72" s="64">
        <f t="shared" si="4"/>
        <v>4</v>
      </c>
      <c r="K72" s="64">
        <f t="shared" si="5"/>
        <v>-1</v>
      </c>
      <c r="L72" s="64">
        <v>-1</v>
      </c>
    </row>
    <row r="73" spans="1:12" x14ac:dyDescent="0.25">
      <c r="A73" s="19">
        <v>72</v>
      </c>
      <c r="B73" s="16" t="s">
        <v>100</v>
      </c>
      <c r="C73" s="38">
        <f>VLOOKUP(B:B,Courts!B:F,2,FALSE())</f>
        <v>15</v>
      </c>
      <c r="D73" s="38">
        <f>VLOOKUP(B:B,Courts!B:E,4,FALSE())</f>
        <v>0</v>
      </c>
      <c r="E73" s="38">
        <f>VLOOKUP(B:B,Courts!B:D,3,FALSE())</f>
        <v>3</v>
      </c>
      <c r="F73" s="38">
        <v>16</v>
      </c>
      <c r="G73" s="63">
        <v>0</v>
      </c>
      <c r="H73" s="64">
        <v>0</v>
      </c>
      <c r="I73" s="64">
        <f t="shared" si="3"/>
        <v>16</v>
      </c>
      <c r="J73" s="64">
        <f t="shared" si="4"/>
        <v>18</v>
      </c>
      <c r="K73" s="64">
        <f t="shared" si="5"/>
        <v>-2</v>
      </c>
      <c r="L73" s="64">
        <v>-2</v>
      </c>
    </row>
    <row r="74" spans="1:12" x14ac:dyDescent="0.25">
      <c r="A74" s="19">
        <v>73</v>
      </c>
      <c r="B74" s="19" t="s">
        <v>101</v>
      </c>
      <c r="C74" s="38">
        <f>VLOOKUP(B:B,Courts!B:F,2,FALSE())</f>
        <v>2</v>
      </c>
      <c r="D74" s="38">
        <f>VLOOKUP(B:B,Courts!B:E,4,FALSE())</f>
        <v>1</v>
      </c>
      <c r="E74" s="38">
        <f>VLOOKUP(B:B,Courts!B:D,3,FALSE())</f>
        <v>0</v>
      </c>
      <c r="F74" s="38">
        <v>1</v>
      </c>
      <c r="G74" s="63">
        <v>0</v>
      </c>
      <c r="H74" s="64">
        <v>0</v>
      </c>
      <c r="I74" s="64">
        <f t="shared" si="3"/>
        <v>1</v>
      </c>
      <c r="J74" s="64">
        <f t="shared" si="4"/>
        <v>3</v>
      </c>
      <c r="K74" s="64">
        <f t="shared" si="5"/>
        <v>-2</v>
      </c>
      <c r="L74" s="64">
        <v>-2</v>
      </c>
    </row>
    <row r="75" spans="1:12" x14ac:dyDescent="0.25">
      <c r="A75" s="19">
        <v>74</v>
      </c>
      <c r="B75" s="19" t="s">
        <v>102</v>
      </c>
      <c r="C75" s="38">
        <f>VLOOKUP(B:B,Courts!B:F,2,FALSE())</f>
        <v>1</v>
      </c>
      <c r="D75" s="38">
        <f>VLOOKUP(B:B,Courts!B:E,4,FALSE())</f>
        <v>1</v>
      </c>
      <c r="E75" s="38">
        <f>VLOOKUP(B:B,Courts!B:D,3,FALSE())</f>
        <v>0</v>
      </c>
      <c r="F75" s="38">
        <v>1</v>
      </c>
      <c r="G75" s="63">
        <v>0</v>
      </c>
      <c r="H75" s="64">
        <v>0</v>
      </c>
      <c r="I75" s="64">
        <f t="shared" si="3"/>
        <v>1</v>
      </c>
      <c r="J75" s="64">
        <f t="shared" si="4"/>
        <v>2</v>
      </c>
      <c r="K75" s="64">
        <f t="shared" si="5"/>
        <v>-1</v>
      </c>
      <c r="L75" s="64">
        <v>-1</v>
      </c>
    </row>
    <row r="76" spans="1:12" x14ac:dyDescent="0.25">
      <c r="A76" s="19">
        <v>75</v>
      </c>
      <c r="B76" s="19" t="s">
        <v>103</v>
      </c>
      <c r="C76" s="38">
        <f>VLOOKUP(B:B,Courts!B:F,2,FALSE())</f>
        <v>1</v>
      </c>
      <c r="D76" s="38">
        <f>VLOOKUP(B:B,Courts!B:E,4,FALSE())</f>
        <v>1</v>
      </c>
      <c r="E76" s="38">
        <f>VLOOKUP(B:B,Courts!B:D,3,FALSE())</f>
        <v>0</v>
      </c>
      <c r="F76" s="38">
        <v>1</v>
      </c>
      <c r="G76" s="63">
        <v>0</v>
      </c>
      <c r="H76" s="64">
        <v>0</v>
      </c>
      <c r="I76" s="64">
        <f t="shared" si="3"/>
        <v>1</v>
      </c>
      <c r="J76" s="64">
        <f t="shared" si="4"/>
        <v>2</v>
      </c>
      <c r="K76" s="64">
        <f t="shared" si="5"/>
        <v>-1</v>
      </c>
      <c r="L76" s="64">
        <v>-1</v>
      </c>
    </row>
    <row r="77" spans="1:12" x14ac:dyDescent="0.25">
      <c r="A77" s="19">
        <v>76</v>
      </c>
      <c r="B77" s="16" t="s">
        <v>104</v>
      </c>
      <c r="C77" s="38">
        <f>VLOOKUP(B:B,Courts!B:F,2,FALSE())</f>
        <v>8</v>
      </c>
      <c r="D77" s="38">
        <f>VLOOKUP(B:B,Courts!B:E,4,FALSE())</f>
        <v>0</v>
      </c>
      <c r="E77" s="38">
        <f>VLOOKUP(B:B,Courts!B:D,3,FALSE())</f>
        <v>1</v>
      </c>
      <c r="F77" s="38">
        <v>6</v>
      </c>
      <c r="G77" s="63">
        <v>0</v>
      </c>
      <c r="H77" s="64">
        <v>0</v>
      </c>
      <c r="I77" s="64">
        <f t="shared" si="3"/>
        <v>6</v>
      </c>
      <c r="J77" s="64">
        <f t="shared" si="4"/>
        <v>9</v>
      </c>
      <c r="K77" s="64">
        <f t="shared" si="5"/>
        <v>-3</v>
      </c>
      <c r="L77" s="64">
        <v>-3</v>
      </c>
    </row>
    <row r="78" spans="1:12" x14ac:dyDescent="0.25">
      <c r="A78" s="19">
        <v>77</v>
      </c>
      <c r="B78" s="16" t="s">
        <v>105</v>
      </c>
      <c r="C78" s="38">
        <f>VLOOKUP(B:B,Courts!B:F,2,FALSE())</f>
        <v>39</v>
      </c>
      <c r="D78" s="38">
        <f>VLOOKUP(B:B,Courts!B:E,4,FALSE())</f>
        <v>0</v>
      </c>
      <c r="E78" s="38">
        <f>VLOOKUP(B:B,Courts!B:D,3,FALSE())</f>
        <v>10</v>
      </c>
      <c r="F78" s="38">
        <v>34</v>
      </c>
      <c r="G78" s="63">
        <v>0</v>
      </c>
      <c r="H78" s="64">
        <v>0</v>
      </c>
      <c r="I78" s="64">
        <f t="shared" si="3"/>
        <v>34</v>
      </c>
      <c r="J78" s="64">
        <f t="shared" si="4"/>
        <v>49</v>
      </c>
      <c r="K78" s="64">
        <f t="shared" si="5"/>
        <v>-15</v>
      </c>
      <c r="L78" s="64">
        <v>-15</v>
      </c>
    </row>
    <row r="79" spans="1:12" x14ac:dyDescent="0.25">
      <c r="A79" s="19">
        <v>78</v>
      </c>
      <c r="B79" s="16" t="s">
        <v>106</v>
      </c>
      <c r="C79" s="38">
        <f>VLOOKUP(B:B,Courts!B:F,2,FALSE())</f>
        <v>11</v>
      </c>
      <c r="D79" s="38">
        <f>VLOOKUP(B:B,Courts!B:E,4,FALSE())</f>
        <v>0</v>
      </c>
      <c r="E79" s="38">
        <f>VLOOKUP(B:B,Courts!B:D,3,FALSE())</f>
        <v>1</v>
      </c>
      <c r="F79" s="38">
        <v>8</v>
      </c>
      <c r="G79" s="63">
        <v>0</v>
      </c>
      <c r="H79" s="64">
        <v>1</v>
      </c>
      <c r="I79" s="64">
        <f t="shared" si="3"/>
        <v>9</v>
      </c>
      <c r="J79" s="64">
        <f t="shared" si="4"/>
        <v>12</v>
      </c>
      <c r="K79" s="64">
        <f t="shared" si="5"/>
        <v>-3</v>
      </c>
      <c r="L79" s="64">
        <v>-3</v>
      </c>
    </row>
    <row r="80" spans="1:12" x14ac:dyDescent="0.25">
      <c r="A80" s="19">
        <v>79</v>
      </c>
      <c r="B80" s="19" t="s">
        <v>107</v>
      </c>
      <c r="C80" s="38">
        <f>VLOOKUP(B:B,Courts!B:F,2,FALSE())</f>
        <v>2</v>
      </c>
      <c r="D80" s="38">
        <f>VLOOKUP(B:B,Courts!B:E,4,FALSE())</f>
        <v>1</v>
      </c>
      <c r="E80" s="38">
        <f>VLOOKUP(B:B,Courts!B:D,3,FALSE())</f>
        <v>0</v>
      </c>
      <c r="F80" s="38">
        <v>3</v>
      </c>
      <c r="G80" s="63">
        <v>0</v>
      </c>
      <c r="H80" s="64">
        <v>1</v>
      </c>
      <c r="I80" s="64">
        <f t="shared" si="3"/>
        <v>4</v>
      </c>
      <c r="J80" s="64">
        <f t="shared" si="4"/>
        <v>3</v>
      </c>
      <c r="K80" s="64">
        <f t="shared" si="5"/>
        <v>1</v>
      </c>
      <c r="L80" s="64">
        <v>0</v>
      </c>
    </row>
    <row r="81" spans="1:12" x14ac:dyDescent="0.25">
      <c r="A81" s="19">
        <v>80</v>
      </c>
      <c r="B81" s="19" t="s">
        <v>108</v>
      </c>
      <c r="C81" s="38">
        <f>VLOOKUP(B:B,Courts!B:F,2,FALSE())</f>
        <v>2</v>
      </c>
      <c r="D81" s="38">
        <f>VLOOKUP(B:B,Courts!B:E,4,FALSE())</f>
        <v>1</v>
      </c>
      <c r="E81" s="38">
        <f>VLOOKUP(B:B,Courts!B:D,3,FALSE())</f>
        <v>1</v>
      </c>
      <c r="F81" s="38">
        <v>1</v>
      </c>
      <c r="G81" s="63">
        <v>0</v>
      </c>
      <c r="H81" s="64">
        <v>2</v>
      </c>
      <c r="I81" s="64">
        <f t="shared" si="3"/>
        <v>3</v>
      </c>
      <c r="J81" s="64">
        <f t="shared" si="4"/>
        <v>4</v>
      </c>
      <c r="K81" s="64">
        <f t="shared" si="5"/>
        <v>-1</v>
      </c>
      <c r="L81" s="64">
        <v>0</v>
      </c>
    </row>
    <row r="82" spans="1:12" x14ac:dyDescent="0.25">
      <c r="A82" s="19">
        <v>81</v>
      </c>
      <c r="B82" s="16" t="s">
        <v>109</v>
      </c>
      <c r="C82" s="38">
        <f>VLOOKUP(B:B,Courts!B:F,2,FALSE())</f>
        <v>48</v>
      </c>
      <c r="D82" s="38">
        <f>VLOOKUP(B:B,Courts!B:E,4,FALSE())</f>
        <v>0</v>
      </c>
      <c r="E82" s="38">
        <f>VLOOKUP(B:B,Courts!B:D,3,FALSE())</f>
        <v>14</v>
      </c>
      <c r="F82" s="38">
        <v>38</v>
      </c>
      <c r="G82" s="63">
        <v>0</v>
      </c>
      <c r="H82" s="64">
        <v>0</v>
      </c>
      <c r="I82" s="64">
        <f t="shared" si="3"/>
        <v>38</v>
      </c>
      <c r="J82" s="64">
        <f t="shared" si="4"/>
        <v>62</v>
      </c>
      <c r="K82" s="64">
        <f t="shared" si="5"/>
        <v>-24</v>
      </c>
      <c r="L82" s="64">
        <v>-24</v>
      </c>
    </row>
    <row r="83" spans="1:12" x14ac:dyDescent="0.25">
      <c r="A83" s="19">
        <v>82</v>
      </c>
      <c r="B83" s="19" t="s">
        <v>110</v>
      </c>
      <c r="C83" s="38">
        <f>VLOOKUP(B:B,Courts!B:F,2,FALSE())</f>
        <v>3</v>
      </c>
      <c r="D83" s="38">
        <f>VLOOKUP(B:B,Courts!B:E,4,FALSE())</f>
        <v>1</v>
      </c>
      <c r="E83" s="38">
        <f>VLOOKUP(B:B,Courts!B:D,3,FALSE())</f>
        <v>1</v>
      </c>
      <c r="F83" s="38">
        <v>3</v>
      </c>
      <c r="G83" s="63">
        <v>0</v>
      </c>
      <c r="H83" s="64">
        <v>0</v>
      </c>
      <c r="I83" s="64">
        <f t="shared" si="3"/>
        <v>3</v>
      </c>
      <c r="J83" s="64">
        <f t="shared" si="4"/>
        <v>5</v>
      </c>
      <c r="K83" s="64">
        <f t="shared" si="5"/>
        <v>-2</v>
      </c>
      <c r="L83" s="64">
        <v>-2</v>
      </c>
    </row>
    <row r="84" spans="1:12" x14ac:dyDescent="0.25">
      <c r="A84" s="19">
        <v>83</v>
      </c>
      <c r="B84" s="19" t="s">
        <v>111</v>
      </c>
      <c r="C84" s="38">
        <f>VLOOKUP(B:B,Courts!B:F,2,FALSE())</f>
        <v>3</v>
      </c>
      <c r="D84" s="38">
        <f>VLOOKUP(B:B,Courts!B:E,4,FALSE())</f>
        <v>1</v>
      </c>
      <c r="E84" s="38">
        <f>VLOOKUP(B:B,Courts!B:D,3,FALSE())</f>
        <v>1</v>
      </c>
      <c r="F84" s="38">
        <v>3</v>
      </c>
      <c r="G84" s="63">
        <v>0</v>
      </c>
      <c r="H84" s="64">
        <v>1</v>
      </c>
      <c r="I84" s="64">
        <f t="shared" si="3"/>
        <v>4</v>
      </c>
      <c r="J84" s="64">
        <f t="shared" si="4"/>
        <v>5</v>
      </c>
      <c r="K84" s="64">
        <f t="shared" si="5"/>
        <v>-1</v>
      </c>
      <c r="L84" s="64">
        <v>-1</v>
      </c>
    </row>
    <row r="85" spans="1:12" x14ac:dyDescent="0.25">
      <c r="A85" s="19">
        <v>84</v>
      </c>
      <c r="B85" s="16" t="s">
        <v>112</v>
      </c>
      <c r="C85" s="38">
        <f>VLOOKUP(B:B,Courts!B:F,2,FALSE())</f>
        <v>23</v>
      </c>
      <c r="D85" s="38">
        <f>VLOOKUP(B:B,Courts!B:E,4,FALSE())</f>
        <v>0</v>
      </c>
      <c r="E85" s="38">
        <f>VLOOKUP(B:B,Courts!B:D,3,FALSE())</f>
        <v>9</v>
      </c>
      <c r="F85" s="38">
        <v>21</v>
      </c>
      <c r="G85" s="63">
        <v>0</v>
      </c>
      <c r="H85" s="64">
        <v>0</v>
      </c>
      <c r="I85" s="64">
        <f t="shared" si="3"/>
        <v>21</v>
      </c>
      <c r="J85" s="64">
        <f t="shared" si="4"/>
        <v>32</v>
      </c>
      <c r="K85" s="64">
        <f t="shared" si="5"/>
        <v>-11</v>
      </c>
      <c r="L85" s="64">
        <v>-11</v>
      </c>
    </row>
    <row r="86" spans="1:12" x14ac:dyDescent="0.25">
      <c r="A86" s="19">
        <v>85</v>
      </c>
      <c r="B86" s="19" t="s">
        <v>113</v>
      </c>
      <c r="C86" s="38">
        <f>VLOOKUP(B:B,Courts!B:F,2,FALSE())</f>
        <v>3</v>
      </c>
      <c r="D86" s="38">
        <f>VLOOKUP(B:B,Courts!B:E,4,FALSE())</f>
        <v>1</v>
      </c>
      <c r="E86" s="38">
        <f>VLOOKUP(B:B,Courts!B:D,3,FALSE())</f>
        <v>1</v>
      </c>
      <c r="F86" s="38">
        <v>4</v>
      </c>
      <c r="G86" s="63">
        <v>0</v>
      </c>
      <c r="H86" s="64">
        <v>0</v>
      </c>
      <c r="I86" s="64">
        <f t="shared" si="3"/>
        <v>4</v>
      </c>
      <c r="J86" s="64">
        <f t="shared" si="4"/>
        <v>5</v>
      </c>
      <c r="K86" s="64">
        <f t="shared" si="5"/>
        <v>-1</v>
      </c>
      <c r="L86" s="64">
        <v>-1</v>
      </c>
    </row>
    <row r="87" spans="1:12" x14ac:dyDescent="0.25">
      <c r="A87" s="19">
        <v>86</v>
      </c>
      <c r="B87" s="19" t="s">
        <v>221</v>
      </c>
      <c r="C87" s="38">
        <f>VLOOKUP(B:B,Courts!B:F,2,FALSE())</f>
        <v>1</v>
      </c>
      <c r="D87" s="38">
        <f>VLOOKUP(B:B,Courts!B:E,4,FALSE())</f>
        <v>1</v>
      </c>
      <c r="E87" s="38">
        <f>VLOOKUP(B:B,Courts!B:D,3,FALSE())</f>
        <v>0</v>
      </c>
      <c r="F87" s="38">
        <v>0</v>
      </c>
      <c r="G87" s="38">
        <v>0</v>
      </c>
      <c r="H87" s="38">
        <v>0</v>
      </c>
      <c r="I87" s="64">
        <f t="shared" si="3"/>
        <v>0</v>
      </c>
      <c r="J87" s="64">
        <f t="shared" si="4"/>
        <v>2</v>
      </c>
      <c r="K87" s="64">
        <f t="shared" si="5"/>
        <v>-2</v>
      </c>
      <c r="L87" s="64">
        <v>-2</v>
      </c>
    </row>
    <row r="88" spans="1:12" x14ac:dyDescent="0.25">
      <c r="A88" s="19">
        <v>87</v>
      </c>
      <c r="B88" s="19" t="s">
        <v>222</v>
      </c>
      <c r="C88" s="38">
        <f>VLOOKUP(B:B,Courts!B:F,2,FALSE())</f>
        <v>2</v>
      </c>
      <c r="D88" s="38">
        <f>VLOOKUP(B:B,Courts!B:E,4,FALSE())</f>
        <v>1</v>
      </c>
      <c r="E88" s="38">
        <f>VLOOKUP(B:B,Courts!B:D,3,FALSE())</f>
        <v>0</v>
      </c>
      <c r="F88" s="38">
        <v>0</v>
      </c>
      <c r="G88" s="38">
        <v>0</v>
      </c>
      <c r="H88" s="38">
        <v>0</v>
      </c>
      <c r="I88" s="64">
        <f t="shared" si="3"/>
        <v>0</v>
      </c>
      <c r="J88" s="64">
        <f t="shared" si="4"/>
        <v>3</v>
      </c>
      <c r="K88" s="64">
        <f t="shared" si="5"/>
        <v>-3</v>
      </c>
      <c r="L88" s="64">
        <v>-3</v>
      </c>
    </row>
    <row r="89" spans="1:12" x14ac:dyDescent="0.25">
      <c r="A89" s="19">
        <v>88</v>
      </c>
      <c r="B89" s="16" t="s">
        <v>114</v>
      </c>
      <c r="C89" s="38">
        <f>VLOOKUP(B:B,Courts!B:F,2,FALSE())</f>
        <v>11</v>
      </c>
      <c r="D89" s="38">
        <f>VLOOKUP(B:B,Courts!B:E,4,FALSE())</f>
        <v>0</v>
      </c>
      <c r="E89" s="38">
        <f>VLOOKUP(B:B,Courts!B:D,3,FALSE())</f>
        <v>2</v>
      </c>
      <c r="F89" s="38">
        <v>11</v>
      </c>
      <c r="G89" s="63">
        <v>0</v>
      </c>
      <c r="H89" s="64">
        <v>0</v>
      </c>
      <c r="I89" s="64">
        <f t="shared" si="3"/>
        <v>11</v>
      </c>
      <c r="J89" s="64">
        <f t="shared" si="4"/>
        <v>13</v>
      </c>
      <c r="K89" s="64">
        <f t="shared" si="5"/>
        <v>-2</v>
      </c>
      <c r="L89" s="64">
        <v>-2</v>
      </c>
    </row>
    <row r="90" spans="1:12" x14ac:dyDescent="0.25">
      <c r="A90" s="19">
        <v>89</v>
      </c>
      <c r="B90" s="19" t="s">
        <v>115</v>
      </c>
      <c r="C90" s="38">
        <f>VLOOKUP(B:B,Courts!B:F,2,FALSE())</f>
        <v>4</v>
      </c>
      <c r="D90" s="38">
        <f>VLOOKUP(B:B,Courts!B:E,4,FALSE())</f>
        <v>1</v>
      </c>
      <c r="E90" s="38">
        <f>VLOOKUP(B:B,Courts!B:D,3,FALSE())</f>
        <v>2</v>
      </c>
      <c r="F90" s="38">
        <v>5</v>
      </c>
      <c r="G90" s="63">
        <v>0</v>
      </c>
      <c r="H90" s="64">
        <v>0</v>
      </c>
      <c r="I90" s="64">
        <f t="shared" si="3"/>
        <v>5</v>
      </c>
      <c r="J90" s="64">
        <f t="shared" si="4"/>
        <v>7</v>
      </c>
      <c r="K90" s="64">
        <f t="shared" si="5"/>
        <v>-2</v>
      </c>
      <c r="L90" s="64">
        <v>-2</v>
      </c>
    </row>
    <row r="91" spans="1:12" x14ac:dyDescent="0.25">
      <c r="A91" s="19">
        <v>90</v>
      </c>
      <c r="B91" s="16" t="s">
        <v>116</v>
      </c>
      <c r="C91" s="38">
        <f>VLOOKUP(B:B,Courts!B:F,2,FALSE())</f>
        <v>10</v>
      </c>
      <c r="D91" s="38">
        <f>VLOOKUP(B:B,Courts!B:E,4,FALSE())</f>
        <v>0</v>
      </c>
      <c r="E91" s="38">
        <f>VLOOKUP(B:B,Courts!B:D,3,FALSE())</f>
        <v>3</v>
      </c>
      <c r="F91" s="38">
        <v>11</v>
      </c>
      <c r="G91" s="63">
        <v>0</v>
      </c>
      <c r="H91" s="64">
        <v>0</v>
      </c>
      <c r="I91" s="64">
        <f t="shared" si="3"/>
        <v>11</v>
      </c>
      <c r="J91" s="64">
        <f t="shared" si="4"/>
        <v>13</v>
      </c>
      <c r="K91" s="64">
        <f t="shared" si="5"/>
        <v>-2</v>
      </c>
      <c r="L91" s="64">
        <v>-2</v>
      </c>
    </row>
    <row r="92" spans="1:12" x14ac:dyDescent="0.25">
      <c r="A92" s="19">
        <v>91</v>
      </c>
      <c r="B92" s="19" t="s">
        <v>117</v>
      </c>
      <c r="C92" s="38">
        <f>VLOOKUP(B:B,Courts!B:F,2,FALSE())</f>
        <v>2</v>
      </c>
      <c r="D92" s="38">
        <f>VLOOKUP(B:B,Courts!B:E,4,FALSE())</f>
        <v>1</v>
      </c>
      <c r="E92" s="38">
        <f>VLOOKUP(B:B,Courts!B:D,3,FALSE())</f>
        <v>1</v>
      </c>
      <c r="F92" s="38">
        <v>3</v>
      </c>
      <c r="G92" s="63">
        <v>0</v>
      </c>
      <c r="H92" s="64">
        <v>0</v>
      </c>
      <c r="I92" s="64">
        <f t="shared" si="3"/>
        <v>3</v>
      </c>
      <c r="J92" s="64">
        <f t="shared" si="4"/>
        <v>4</v>
      </c>
      <c r="K92" s="64">
        <f t="shared" si="5"/>
        <v>-1</v>
      </c>
      <c r="L92" s="64">
        <v>-1</v>
      </c>
    </row>
    <row r="93" spans="1:12" x14ac:dyDescent="0.25">
      <c r="A93" s="19">
        <v>92</v>
      </c>
      <c r="B93" s="19" t="s">
        <v>118</v>
      </c>
      <c r="C93" s="38">
        <f>VLOOKUP(B:B,Courts!B:F,2,FALSE())</f>
        <v>2</v>
      </c>
      <c r="D93" s="38">
        <f>VLOOKUP(B:B,Courts!B:E,4,FALSE())</f>
        <v>1</v>
      </c>
      <c r="E93" s="38">
        <f>VLOOKUP(B:B,Courts!B:D,3,FALSE())</f>
        <v>1</v>
      </c>
      <c r="F93" s="38">
        <v>2</v>
      </c>
      <c r="G93" s="63">
        <v>0</v>
      </c>
      <c r="H93" s="64">
        <v>0</v>
      </c>
      <c r="I93" s="64">
        <f t="shared" si="3"/>
        <v>2</v>
      </c>
      <c r="J93" s="64">
        <f t="shared" si="4"/>
        <v>4</v>
      </c>
      <c r="K93" s="64">
        <f t="shared" si="5"/>
        <v>-2</v>
      </c>
      <c r="L93" s="64">
        <v>-2</v>
      </c>
    </row>
    <row r="94" spans="1:12" x14ac:dyDescent="0.25">
      <c r="A94" s="19">
        <v>93</v>
      </c>
      <c r="B94" s="16" t="s">
        <v>119</v>
      </c>
      <c r="C94" s="38">
        <f>VLOOKUP(B:B,Courts!B:F,2,FALSE())</f>
        <v>15</v>
      </c>
      <c r="D94" s="38">
        <f>VLOOKUP(B:B,Courts!B:E,4,FALSE())</f>
        <v>0</v>
      </c>
      <c r="E94" s="38">
        <f>VLOOKUP(B:B,Courts!B:D,3,FALSE())</f>
        <v>4</v>
      </c>
      <c r="F94" s="38">
        <v>13</v>
      </c>
      <c r="G94" s="63">
        <v>0</v>
      </c>
      <c r="H94" s="64">
        <v>0</v>
      </c>
      <c r="I94" s="64">
        <f t="shared" si="3"/>
        <v>13</v>
      </c>
      <c r="J94" s="64">
        <f t="shared" si="4"/>
        <v>19</v>
      </c>
      <c r="K94" s="64">
        <f t="shared" si="5"/>
        <v>-6</v>
      </c>
      <c r="L94" s="64">
        <v>-6</v>
      </c>
    </row>
    <row r="95" spans="1:12" x14ac:dyDescent="0.25">
      <c r="A95" s="19">
        <v>94</v>
      </c>
      <c r="B95" s="19" t="s">
        <v>120</v>
      </c>
      <c r="C95" s="38">
        <f>VLOOKUP(B:B,Courts!B:F,2,FALSE())</f>
        <v>2</v>
      </c>
      <c r="D95" s="38">
        <f>VLOOKUP(B:B,Courts!B:E,4,FALSE())</f>
        <v>1</v>
      </c>
      <c r="E95" s="38">
        <f>VLOOKUP(B:B,Courts!B:D,3,FALSE())</f>
        <v>0</v>
      </c>
      <c r="F95" s="38">
        <v>1</v>
      </c>
      <c r="G95" s="63">
        <v>0</v>
      </c>
      <c r="H95" s="64">
        <v>2</v>
      </c>
      <c r="I95" s="64">
        <f t="shared" si="3"/>
        <v>3</v>
      </c>
      <c r="J95" s="64">
        <f t="shared" si="4"/>
        <v>3</v>
      </c>
      <c r="K95" s="64">
        <f t="shared" si="5"/>
        <v>0</v>
      </c>
      <c r="L95" s="64">
        <v>0</v>
      </c>
    </row>
    <row r="96" spans="1:12" x14ac:dyDescent="0.25">
      <c r="A96" s="19">
        <v>95</v>
      </c>
      <c r="B96" s="16" t="s">
        <v>121</v>
      </c>
      <c r="C96" s="38">
        <f>VLOOKUP(B:B,Courts!B:F,2,FALSE())</f>
        <v>26</v>
      </c>
      <c r="D96" s="38">
        <f>VLOOKUP(B:B,Courts!B:E,4,FALSE())</f>
        <v>0</v>
      </c>
      <c r="E96" s="38">
        <f>VLOOKUP(B:B,Courts!B:D,3,FALSE())</f>
        <v>7</v>
      </c>
      <c r="F96" s="38">
        <v>22</v>
      </c>
      <c r="G96" s="63">
        <v>0</v>
      </c>
      <c r="H96" s="64">
        <v>0</v>
      </c>
      <c r="I96" s="64">
        <f t="shared" si="3"/>
        <v>22</v>
      </c>
      <c r="J96" s="64">
        <f t="shared" si="4"/>
        <v>33</v>
      </c>
      <c r="K96" s="64">
        <f t="shared" si="5"/>
        <v>-11</v>
      </c>
      <c r="L96" s="64">
        <v>-11</v>
      </c>
    </row>
    <row r="97" spans="1:12" x14ac:dyDescent="0.25">
      <c r="A97" s="19">
        <v>96</v>
      </c>
      <c r="B97" s="19" t="s">
        <v>122</v>
      </c>
      <c r="C97" s="38">
        <f>VLOOKUP(B:B,Courts!B:F,2,FALSE())</f>
        <v>2</v>
      </c>
      <c r="D97" s="38">
        <f>VLOOKUP(B:B,Courts!B:E,4,FALSE())</f>
        <v>1</v>
      </c>
      <c r="E97" s="38">
        <f>VLOOKUP(B:B,Courts!B:D,3,FALSE())</f>
        <v>0</v>
      </c>
      <c r="F97" s="38">
        <v>2</v>
      </c>
      <c r="G97" s="63">
        <v>0</v>
      </c>
      <c r="H97" s="64">
        <v>0</v>
      </c>
      <c r="I97" s="64">
        <f t="shared" si="3"/>
        <v>2</v>
      </c>
      <c r="J97" s="64">
        <f t="shared" si="4"/>
        <v>3</v>
      </c>
      <c r="K97" s="64">
        <f t="shared" si="5"/>
        <v>-1</v>
      </c>
      <c r="L97" s="64">
        <v>-1</v>
      </c>
    </row>
    <row r="98" spans="1:12" x14ac:dyDescent="0.25">
      <c r="A98" s="19">
        <v>97</v>
      </c>
      <c r="B98" s="19" t="s">
        <v>123</v>
      </c>
      <c r="C98" s="38">
        <f>VLOOKUP(B:B,Courts!B:F,2,FALSE())</f>
        <v>1</v>
      </c>
      <c r="D98" s="38">
        <f>VLOOKUP(B:B,Courts!B:E,4,FALSE())</f>
        <v>0</v>
      </c>
      <c r="E98" s="38">
        <f>VLOOKUP(B:B,Courts!B:D,3,FALSE())</f>
        <v>0</v>
      </c>
      <c r="F98" s="38">
        <v>0</v>
      </c>
      <c r="G98" s="63">
        <v>0</v>
      </c>
      <c r="H98" s="64">
        <v>0</v>
      </c>
      <c r="I98" s="64">
        <f t="shared" si="3"/>
        <v>0</v>
      </c>
      <c r="J98" s="64">
        <f t="shared" si="4"/>
        <v>1</v>
      </c>
      <c r="K98" s="64">
        <f t="shared" si="5"/>
        <v>-1</v>
      </c>
      <c r="L98" s="64">
        <v>-1</v>
      </c>
    </row>
    <row r="99" spans="1:12" x14ac:dyDescent="0.25">
      <c r="A99" s="19">
        <v>98</v>
      </c>
      <c r="B99" s="19" t="s">
        <v>124</v>
      </c>
      <c r="C99" s="38">
        <f>VLOOKUP(B:B,Courts!B:F,2,FALSE())</f>
        <v>1</v>
      </c>
      <c r="D99" s="38">
        <f>VLOOKUP(B:B,Courts!B:E,4,FALSE())</f>
        <v>1</v>
      </c>
      <c r="E99" s="38">
        <f>VLOOKUP(B:B,Courts!B:D,3,FALSE())</f>
        <v>0</v>
      </c>
      <c r="F99" s="38">
        <v>2</v>
      </c>
      <c r="G99" s="63">
        <v>0</v>
      </c>
      <c r="H99" s="64">
        <v>0</v>
      </c>
      <c r="I99" s="64">
        <f t="shared" si="3"/>
        <v>2</v>
      </c>
      <c r="J99" s="64">
        <f t="shared" si="4"/>
        <v>2</v>
      </c>
      <c r="K99" s="64">
        <f t="shared" si="5"/>
        <v>0</v>
      </c>
      <c r="L99" s="64">
        <v>0</v>
      </c>
    </row>
    <row r="100" spans="1:12" x14ac:dyDescent="0.25">
      <c r="A100" s="19">
        <v>99</v>
      </c>
      <c r="B100" s="16" t="s">
        <v>125</v>
      </c>
      <c r="C100" s="38">
        <f>VLOOKUP(B:B,Courts!B:F,2,FALSE())</f>
        <v>15</v>
      </c>
      <c r="D100" s="38">
        <f>VLOOKUP(B:B,Courts!B:E,4,FALSE())</f>
        <v>0</v>
      </c>
      <c r="E100" s="38">
        <f>VLOOKUP(B:B,Courts!B:D,3,FALSE())</f>
        <v>1</v>
      </c>
      <c r="F100" s="38">
        <v>15</v>
      </c>
      <c r="G100" s="63">
        <v>0</v>
      </c>
      <c r="H100" s="64">
        <v>0</v>
      </c>
      <c r="I100" s="64">
        <f t="shared" si="3"/>
        <v>15</v>
      </c>
      <c r="J100" s="64">
        <f t="shared" si="4"/>
        <v>16</v>
      </c>
      <c r="K100" s="64">
        <f t="shared" si="5"/>
        <v>-1</v>
      </c>
      <c r="L100" s="64">
        <v>-1</v>
      </c>
    </row>
    <row r="101" spans="1:12" x14ac:dyDescent="0.25">
      <c r="A101" s="19">
        <v>100</v>
      </c>
      <c r="B101" s="19" t="s">
        <v>126</v>
      </c>
      <c r="C101" s="38">
        <f>VLOOKUP(B:B,Courts!B:F,2,FALSE())</f>
        <v>2</v>
      </c>
      <c r="D101" s="38">
        <f>VLOOKUP(B:B,Courts!B:E,4,FALSE())</f>
        <v>1</v>
      </c>
      <c r="E101" s="38">
        <f>VLOOKUP(B:B,Courts!B:D,3,FALSE())</f>
        <v>1</v>
      </c>
      <c r="F101" s="38">
        <v>3</v>
      </c>
      <c r="G101" s="63">
        <v>0</v>
      </c>
      <c r="H101" s="64">
        <v>0</v>
      </c>
      <c r="I101" s="64">
        <f t="shared" si="3"/>
        <v>3</v>
      </c>
      <c r="J101" s="64">
        <f t="shared" si="4"/>
        <v>4</v>
      </c>
      <c r="K101" s="64">
        <f t="shared" si="5"/>
        <v>-1</v>
      </c>
      <c r="L101" s="64">
        <v>-1</v>
      </c>
    </row>
    <row r="102" spans="1:12" x14ac:dyDescent="0.25">
      <c r="A102" s="19">
        <v>101</v>
      </c>
      <c r="B102" s="19" t="s">
        <v>127</v>
      </c>
      <c r="C102" s="38">
        <f>VLOOKUP(B:B,Courts!B:F,2,FALSE())</f>
        <v>2</v>
      </c>
      <c r="D102" s="38">
        <f>VLOOKUP(B:B,Courts!B:E,4,FALSE())</f>
        <v>1</v>
      </c>
      <c r="E102" s="38">
        <f>VLOOKUP(B:B,Courts!B:D,3,FALSE())</f>
        <v>0</v>
      </c>
      <c r="F102" s="38">
        <v>2</v>
      </c>
      <c r="G102" s="63">
        <v>0</v>
      </c>
      <c r="H102" s="64">
        <v>0</v>
      </c>
      <c r="I102" s="64">
        <f t="shared" si="3"/>
        <v>2</v>
      </c>
      <c r="J102" s="64">
        <f t="shared" si="4"/>
        <v>3</v>
      </c>
      <c r="K102" s="64">
        <f t="shared" si="5"/>
        <v>-1</v>
      </c>
      <c r="L102" s="64">
        <v>-1</v>
      </c>
    </row>
    <row r="103" spans="1:12" ht="30" x14ac:dyDescent="0.25">
      <c r="A103" s="19">
        <v>102</v>
      </c>
      <c r="B103" s="19" t="s">
        <v>128</v>
      </c>
      <c r="C103" s="38">
        <f>VLOOKUP(B:B,Courts!B:F,2,FALSE())</f>
        <v>0</v>
      </c>
      <c r="D103" s="38">
        <f>VLOOKUP(B:B,Courts!B:E,4,FALSE())</f>
        <v>1</v>
      </c>
      <c r="E103" s="38">
        <f>VLOOKUP(B:B,Courts!B:D,3,FALSE())</f>
        <v>0</v>
      </c>
      <c r="F103" s="38">
        <v>0</v>
      </c>
      <c r="G103" s="63">
        <v>0</v>
      </c>
      <c r="H103" s="64">
        <v>1</v>
      </c>
      <c r="I103" s="64">
        <f t="shared" si="3"/>
        <v>1</v>
      </c>
      <c r="J103" s="64">
        <f t="shared" si="4"/>
        <v>1</v>
      </c>
      <c r="K103" s="64">
        <f t="shared" si="5"/>
        <v>0</v>
      </c>
      <c r="L103" s="64">
        <v>0</v>
      </c>
    </row>
    <row r="104" spans="1:12" x14ac:dyDescent="0.25">
      <c r="A104" s="19">
        <v>103</v>
      </c>
      <c r="B104" s="16" t="s">
        <v>129</v>
      </c>
      <c r="C104" s="38">
        <f>VLOOKUP(B:B,Courts!B:F,2,FALSE())</f>
        <v>12</v>
      </c>
      <c r="D104" s="38">
        <f>VLOOKUP(B:B,Courts!B:E,4,FALSE())</f>
        <v>0</v>
      </c>
      <c r="E104" s="38">
        <f>VLOOKUP(B:B,Courts!B:D,3,FALSE())</f>
        <v>3</v>
      </c>
      <c r="F104" s="38">
        <v>12</v>
      </c>
      <c r="G104" s="63">
        <v>0</v>
      </c>
      <c r="H104" s="64">
        <v>0</v>
      </c>
      <c r="I104" s="64">
        <f t="shared" si="3"/>
        <v>12</v>
      </c>
      <c r="J104" s="64">
        <f t="shared" si="4"/>
        <v>15</v>
      </c>
      <c r="K104" s="64">
        <f t="shared" si="5"/>
        <v>-3</v>
      </c>
      <c r="L104" s="64">
        <v>-3</v>
      </c>
    </row>
    <row r="105" spans="1:12" x14ac:dyDescent="0.25">
      <c r="A105" s="19">
        <v>104</v>
      </c>
      <c r="B105" s="19" t="s">
        <v>130</v>
      </c>
      <c r="C105" s="38">
        <f>VLOOKUP(B:B,Courts!B:F,2,FALSE())</f>
        <v>3</v>
      </c>
      <c r="D105" s="38">
        <f>VLOOKUP(B:B,Courts!B:E,4,FALSE())</f>
        <v>1</v>
      </c>
      <c r="E105" s="38">
        <f>VLOOKUP(B:B,Courts!B:D,3,FALSE())</f>
        <v>1</v>
      </c>
      <c r="F105" s="38">
        <v>3</v>
      </c>
      <c r="G105" s="63">
        <v>0</v>
      </c>
      <c r="H105" s="64">
        <v>1</v>
      </c>
      <c r="I105" s="64">
        <f t="shared" si="3"/>
        <v>4</v>
      </c>
      <c r="J105" s="64">
        <f t="shared" si="4"/>
        <v>5</v>
      </c>
      <c r="K105" s="64">
        <f t="shared" si="5"/>
        <v>-1</v>
      </c>
      <c r="L105" s="64">
        <v>-1</v>
      </c>
    </row>
    <row r="106" spans="1:12" x14ac:dyDescent="0.25">
      <c r="A106" s="19">
        <v>105</v>
      </c>
      <c r="B106" s="19" t="s">
        <v>131</v>
      </c>
      <c r="C106" s="38">
        <f>VLOOKUP(B:B,Courts!B:F,2,FALSE())</f>
        <v>2</v>
      </c>
      <c r="D106" s="38">
        <f>VLOOKUP(B:B,Courts!B:E,4,FALSE())</f>
        <v>1</v>
      </c>
      <c r="E106" s="38">
        <f>VLOOKUP(B:B,Courts!B:D,3,FALSE())</f>
        <v>1</v>
      </c>
      <c r="F106" s="38">
        <v>1</v>
      </c>
      <c r="G106" s="63">
        <v>0</v>
      </c>
      <c r="H106" s="64">
        <v>0</v>
      </c>
      <c r="I106" s="64">
        <f t="shared" si="3"/>
        <v>1</v>
      </c>
      <c r="J106" s="64">
        <f t="shared" si="4"/>
        <v>4</v>
      </c>
      <c r="K106" s="64">
        <f t="shared" si="5"/>
        <v>-3</v>
      </c>
      <c r="L106" s="64">
        <v>-3</v>
      </c>
    </row>
    <row r="107" spans="1:12" x14ac:dyDescent="0.25">
      <c r="A107" s="19">
        <v>106</v>
      </c>
      <c r="B107" s="16" t="s">
        <v>132</v>
      </c>
      <c r="C107" s="38">
        <f>VLOOKUP(B:B,Courts!B:F,2,FALSE())</f>
        <v>13</v>
      </c>
      <c r="D107" s="38">
        <f>VLOOKUP(B:B,Courts!B:E,4,FALSE())</f>
        <v>0</v>
      </c>
      <c r="E107" s="38">
        <f>VLOOKUP(B:B,Courts!B:D,3,FALSE())</f>
        <v>1</v>
      </c>
      <c r="F107" s="38">
        <v>7</v>
      </c>
      <c r="G107" s="63">
        <v>0</v>
      </c>
      <c r="H107" s="64">
        <v>3</v>
      </c>
      <c r="I107" s="64">
        <f t="shared" si="3"/>
        <v>10</v>
      </c>
      <c r="J107" s="64">
        <f t="shared" si="4"/>
        <v>14</v>
      </c>
      <c r="K107" s="64">
        <f t="shared" si="5"/>
        <v>-4</v>
      </c>
      <c r="L107" s="64">
        <v>-4</v>
      </c>
    </row>
    <row r="108" spans="1:12" x14ac:dyDescent="0.25">
      <c r="A108" s="19">
        <v>107</v>
      </c>
      <c r="B108" s="19" t="s">
        <v>133</v>
      </c>
      <c r="C108" s="38">
        <f>VLOOKUP(B:B,Courts!B:F,2,FALSE())</f>
        <v>2</v>
      </c>
      <c r="D108" s="38">
        <f>VLOOKUP(B:B,Courts!B:E,4,FALSE())</f>
        <v>1</v>
      </c>
      <c r="E108" s="38">
        <f>VLOOKUP(B:B,Courts!B:D,3,FALSE())</f>
        <v>0</v>
      </c>
      <c r="F108" s="38">
        <v>3</v>
      </c>
      <c r="G108" s="63">
        <v>0</v>
      </c>
      <c r="H108" s="64">
        <v>1</v>
      </c>
      <c r="I108" s="64">
        <f t="shared" si="3"/>
        <v>4</v>
      </c>
      <c r="J108" s="64">
        <f t="shared" si="4"/>
        <v>3</v>
      </c>
      <c r="K108" s="64">
        <f t="shared" si="5"/>
        <v>1</v>
      </c>
      <c r="L108" s="64">
        <v>0</v>
      </c>
    </row>
    <row r="109" spans="1:12" x14ac:dyDescent="0.25">
      <c r="A109" s="19">
        <v>108</v>
      </c>
      <c r="B109" s="19" t="s">
        <v>134</v>
      </c>
      <c r="C109" s="38">
        <f>VLOOKUP(B:B,Courts!B:F,2,FALSE())</f>
        <v>3</v>
      </c>
      <c r="D109" s="38">
        <f>VLOOKUP(B:B,Courts!B:E,4,FALSE())</f>
        <v>0</v>
      </c>
      <c r="E109" s="38">
        <f>VLOOKUP(B:B,Courts!B:D,3,FALSE())</f>
        <v>2</v>
      </c>
      <c r="F109" s="38">
        <v>0</v>
      </c>
      <c r="G109" s="63">
        <v>0</v>
      </c>
      <c r="H109" s="64">
        <v>1</v>
      </c>
      <c r="I109" s="64">
        <f t="shared" si="3"/>
        <v>1</v>
      </c>
      <c r="J109" s="64">
        <f t="shared" si="4"/>
        <v>5</v>
      </c>
      <c r="K109" s="64">
        <f t="shared" si="5"/>
        <v>-4</v>
      </c>
      <c r="L109" s="64">
        <v>-3</v>
      </c>
    </row>
    <row r="110" spans="1:12" x14ac:dyDescent="0.25">
      <c r="A110" s="19">
        <v>109</v>
      </c>
      <c r="B110" s="16" t="s">
        <v>135</v>
      </c>
      <c r="C110" s="38">
        <f>VLOOKUP(B:B,Courts!B:F,2,FALSE())</f>
        <v>13</v>
      </c>
      <c r="D110" s="38">
        <f>VLOOKUP(B:B,Courts!B:E,4,FALSE())</f>
        <v>0</v>
      </c>
      <c r="E110" s="38">
        <f>VLOOKUP(B:B,Courts!B:D,3,FALSE())</f>
        <v>4</v>
      </c>
      <c r="F110" s="38">
        <v>12</v>
      </c>
      <c r="G110" s="63">
        <v>0</v>
      </c>
      <c r="H110" s="64">
        <v>3</v>
      </c>
      <c r="I110" s="64">
        <f t="shared" si="3"/>
        <v>15</v>
      </c>
      <c r="J110" s="64">
        <f t="shared" si="4"/>
        <v>17</v>
      </c>
      <c r="K110" s="64">
        <f t="shared" si="5"/>
        <v>-2</v>
      </c>
      <c r="L110" s="64">
        <v>-2</v>
      </c>
    </row>
    <row r="111" spans="1:12" x14ac:dyDescent="0.25">
      <c r="A111" s="19">
        <v>110</v>
      </c>
      <c r="B111" s="19" t="s">
        <v>136</v>
      </c>
      <c r="C111" s="38">
        <f>VLOOKUP(B:B,Courts!B:F,2,FALSE())</f>
        <v>2</v>
      </c>
      <c r="D111" s="38">
        <f>VLOOKUP(B:B,Courts!B:E,4,FALSE())</f>
        <v>1</v>
      </c>
      <c r="E111" s="38">
        <f>VLOOKUP(B:B,Courts!B:D,3,FALSE())</f>
        <v>1</v>
      </c>
      <c r="F111" s="38">
        <v>2</v>
      </c>
      <c r="G111" s="63">
        <v>0</v>
      </c>
      <c r="H111" s="64">
        <v>2</v>
      </c>
      <c r="I111" s="64">
        <f t="shared" si="3"/>
        <v>4</v>
      </c>
      <c r="J111" s="64">
        <f t="shared" si="4"/>
        <v>4</v>
      </c>
      <c r="K111" s="64">
        <f t="shared" si="5"/>
        <v>0</v>
      </c>
      <c r="L111" s="64">
        <v>0</v>
      </c>
    </row>
    <row r="112" spans="1:12" x14ac:dyDescent="0.25">
      <c r="A112" s="19">
        <v>111</v>
      </c>
      <c r="B112" s="19" t="s">
        <v>137</v>
      </c>
      <c r="C112" s="38">
        <f>VLOOKUP(B:B,Courts!B:F,2,FALSE())</f>
        <v>2</v>
      </c>
      <c r="D112" s="38">
        <f>VLOOKUP(B:B,Courts!B:E,4,FALSE())</f>
        <v>1</v>
      </c>
      <c r="E112" s="38">
        <f>VLOOKUP(B:B,Courts!B:D,3,FALSE())</f>
        <v>0</v>
      </c>
      <c r="F112" s="38">
        <v>2</v>
      </c>
      <c r="G112" s="63">
        <v>0</v>
      </c>
      <c r="H112" s="64">
        <v>1</v>
      </c>
      <c r="I112" s="64">
        <f t="shared" si="3"/>
        <v>3</v>
      </c>
      <c r="J112" s="64">
        <f t="shared" si="4"/>
        <v>3</v>
      </c>
      <c r="K112" s="64">
        <f t="shared" si="5"/>
        <v>0</v>
      </c>
      <c r="L112" s="64">
        <v>0</v>
      </c>
    </row>
    <row r="113" spans="1:12" x14ac:dyDescent="0.25">
      <c r="A113" s="19">
        <v>112</v>
      </c>
      <c r="B113" s="16" t="s">
        <v>138</v>
      </c>
      <c r="C113" s="38">
        <f>VLOOKUP(B:B,Courts!B:F,2,FALSE())</f>
        <v>19</v>
      </c>
      <c r="D113" s="38">
        <f>VLOOKUP(B:B,Courts!B:E,4,FALSE())</f>
        <v>0</v>
      </c>
      <c r="E113" s="38">
        <f>VLOOKUP(B:B,Courts!B:D,3,FALSE())</f>
        <v>3</v>
      </c>
      <c r="F113" s="38">
        <v>17</v>
      </c>
      <c r="G113" s="63">
        <v>0</v>
      </c>
      <c r="H113" s="64">
        <v>0</v>
      </c>
      <c r="I113" s="64">
        <f t="shared" si="3"/>
        <v>17</v>
      </c>
      <c r="J113" s="64">
        <f t="shared" si="4"/>
        <v>22</v>
      </c>
      <c r="K113" s="64">
        <f t="shared" si="5"/>
        <v>-5</v>
      </c>
      <c r="L113" s="64">
        <v>-5</v>
      </c>
    </row>
    <row r="114" spans="1:12" x14ac:dyDescent="0.25">
      <c r="A114" s="19">
        <v>113</v>
      </c>
      <c r="B114" s="19" t="s">
        <v>139</v>
      </c>
      <c r="C114" s="38">
        <f>VLOOKUP(B:B,Courts!B:F,2,FALSE())</f>
        <v>3</v>
      </c>
      <c r="D114" s="38">
        <f>VLOOKUP(B:B,Courts!B:E,4,FALSE())</f>
        <v>1</v>
      </c>
      <c r="E114" s="38">
        <f>VLOOKUP(B:B,Courts!B:D,3,FALSE())</f>
        <v>1</v>
      </c>
      <c r="F114" s="38">
        <v>2</v>
      </c>
      <c r="G114" s="63">
        <v>0</v>
      </c>
      <c r="H114" s="64">
        <v>0</v>
      </c>
      <c r="I114" s="64">
        <f t="shared" si="3"/>
        <v>2</v>
      </c>
      <c r="J114" s="64">
        <f t="shared" si="4"/>
        <v>5</v>
      </c>
      <c r="K114" s="64">
        <f t="shared" si="5"/>
        <v>-3</v>
      </c>
      <c r="L114" s="64">
        <v>-3</v>
      </c>
    </row>
    <row r="115" spans="1:12" x14ac:dyDescent="0.25">
      <c r="A115" s="19">
        <v>114</v>
      </c>
      <c r="B115" s="16" t="s">
        <v>140</v>
      </c>
      <c r="C115" s="38">
        <f>VLOOKUP(B:B,Courts!B:F,2,FALSE())</f>
        <v>11</v>
      </c>
      <c r="D115" s="38">
        <f>VLOOKUP(B:B,Courts!B:E,4,FALSE())</f>
        <v>0</v>
      </c>
      <c r="E115" s="38">
        <f>VLOOKUP(B:B,Courts!B:D,3,FALSE())</f>
        <v>1</v>
      </c>
      <c r="F115" s="38">
        <v>13</v>
      </c>
      <c r="G115" s="63">
        <v>0</v>
      </c>
      <c r="H115" s="64">
        <v>0</v>
      </c>
      <c r="I115" s="64">
        <f t="shared" si="3"/>
        <v>13</v>
      </c>
      <c r="J115" s="64">
        <f t="shared" si="4"/>
        <v>12</v>
      </c>
      <c r="K115" s="64">
        <f t="shared" si="5"/>
        <v>1</v>
      </c>
      <c r="L115" s="64">
        <v>0</v>
      </c>
    </row>
    <row r="116" spans="1:12" x14ac:dyDescent="0.25">
      <c r="A116" s="19">
        <v>115</v>
      </c>
      <c r="B116" s="19" t="s">
        <v>141</v>
      </c>
      <c r="C116" s="38">
        <f>VLOOKUP(B:B,Courts!B:F,2,FALSE())</f>
        <v>2</v>
      </c>
      <c r="D116" s="38">
        <f>VLOOKUP(B:B,Courts!B:E,4,FALSE())</f>
        <v>0</v>
      </c>
      <c r="E116" s="38">
        <f>VLOOKUP(B:B,Courts!B:D,3,FALSE())</f>
        <v>0</v>
      </c>
      <c r="F116" s="38">
        <v>2</v>
      </c>
      <c r="G116" s="63">
        <v>0</v>
      </c>
      <c r="H116" s="64">
        <v>0</v>
      </c>
      <c r="I116" s="64">
        <f t="shared" si="3"/>
        <v>2</v>
      </c>
      <c r="J116" s="64">
        <f t="shared" si="4"/>
        <v>2</v>
      </c>
      <c r="K116" s="64">
        <f t="shared" si="5"/>
        <v>0</v>
      </c>
      <c r="L116" s="64">
        <v>0</v>
      </c>
    </row>
    <row r="117" spans="1:12" x14ac:dyDescent="0.25">
      <c r="A117" s="19">
        <v>116</v>
      </c>
      <c r="B117" s="16" t="s">
        <v>1</v>
      </c>
      <c r="C117" s="38">
        <f>VLOOKUP(B:B,Courts!B:F,2,FALSE())</f>
        <v>18</v>
      </c>
      <c r="D117" s="38">
        <f>VLOOKUP(B:B,Courts!B:E,4,FALSE())</f>
        <v>0</v>
      </c>
      <c r="E117" s="38">
        <f>VLOOKUP(B:B,Courts!B:D,3,FALSE())</f>
        <v>3</v>
      </c>
      <c r="F117" s="38">
        <v>15</v>
      </c>
      <c r="G117" s="63">
        <v>0</v>
      </c>
      <c r="H117" s="64">
        <v>0</v>
      </c>
      <c r="I117" s="64">
        <f t="shared" si="3"/>
        <v>15</v>
      </c>
      <c r="J117" s="64">
        <f t="shared" si="4"/>
        <v>21</v>
      </c>
      <c r="K117" s="64">
        <f t="shared" si="5"/>
        <v>-6</v>
      </c>
      <c r="L117" s="64">
        <v>-6</v>
      </c>
    </row>
    <row r="118" spans="1:12" x14ac:dyDescent="0.25">
      <c r="A118" s="19">
        <v>117</v>
      </c>
      <c r="B118" s="19" t="s">
        <v>142</v>
      </c>
      <c r="C118" s="38">
        <f>VLOOKUP(B:B,Courts!B:F,2,FALSE())</f>
        <v>2</v>
      </c>
      <c r="D118" s="38">
        <f>VLOOKUP(B:B,Courts!B:E,4,FALSE())</f>
        <v>1</v>
      </c>
      <c r="E118" s="38">
        <f>VLOOKUP(B:B,Courts!B:D,3,FALSE())</f>
        <v>0</v>
      </c>
      <c r="F118" s="38">
        <v>1</v>
      </c>
      <c r="G118" s="63">
        <v>0</v>
      </c>
      <c r="H118" s="64">
        <v>1</v>
      </c>
      <c r="I118" s="64">
        <f t="shared" si="3"/>
        <v>2</v>
      </c>
      <c r="J118" s="64">
        <f t="shared" si="4"/>
        <v>3</v>
      </c>
      <c r="K118" s="64">
        <f t="shared" si="5"/>
        <v>-1</v>
      </c>
      <c r="L118" s="64">
        <v>-1</v>
      </c>
    </row>
    <row r="119" spans="1:12" x14ac:dyDescent="0.25">
      <c r="A119" s="19">
        <v>118</v>
      </c>
      <c r="B119" s="19" t="s">
        <v>143</v>
      </c>
      <c r="C119" s="38">
        <f>VLOOKUP(B:B,Courts!B:F,2,FALSE())</f>
        <v>2</v>
      </c>
      <c r="D119" s="38">
        <f>VLOOKUP(B:B,Courts!B:E,4,FALSE())</f>
        <v>1</v>
      </c>
      <c r="E119" s="38">
        <f>VLOOKUP(B:B,Courts!B:D,3,FALSE())</f>
        <v>0</v>
      </c>
      <c r="F119" s="38">
        <v>1</v>
      </c>
      <c r="G119" s="63">
        <v>0</v>
      </c>
      <c r="H119" s="64">
        <v>1</v>
      </c>
      <c r="I119" s="64">
        <f t="shared" si="3"/>
        <v>2</v>
      </c>
      <c r="J119" s="64">
        <f t="shared" si="4"/>
        <v>3</v>
      </c>
      <c r="K119" s="64">
        <f t="shared" si="5"/>
        <v>-1</v>
      </c>
      <c r="L119" s="64">
        <v>-1</v>
      </c>
    </row>
    <row r="120" spans="1:12" x14ac:dyDescent="0.25">
      <c r="A120" s="19">
        <v>119</v>
      </c>
      <c r="B120" s="16" t="s">
        <v>144</v>
      </c>
      <c r="C120" s="38">
        <f>VLOOKUP(B:B,Courts!B:F,2,FALSE())</f>
        <v>19</v>
      </c>
      <c r="D120" s="38">
        <f>VLOOKUP(B:B,Courts!B:E,4,FALSE())</f>
        <v>0</v>
      </c>
      <c r="E120" s="38">
        <f>VLOOKUP(B:B,Courts!B:D,3,FALSE())</f>
        <v>5</v>
      </c>
      <c r="F120" s="38">
        <v>17</v>
      </c>
      <c r="G120" s="63">
        <v>0</v>
      </c>
      <c r="H120" s="64">
        <v>0</v>
      </c>
      <c r="I120" s="64">
        <f t="shared" si="3"/>
        <v>17</v>
      </c>
      <c r="J120" s="64">
        <f t="shared" si="4"/>
        <v>24</v>
      </c>
      <c r="K120" s="64">
        <f t="shared" si="5"/>
        <v>-7</v>
      </c>
      <c r="L120" s="64">
        <v>-7</v>
      </c>
    </row>
    <row r="121" spans="1:12" x14ac:dyDescent="0.25">
      <c r="A121" s="19">
        <v>120</v>
      </c>
      <c r="B121" s="19" t="s">
        <v>145</v>
      </c>
      <c r="C121" s="38">
        <f>VLOOKUP(B:B,Courts!B:F,2,FALSE())</f>
        <v>1</v>
      </c>
      <c r="D121" s="38">
        <f>VLOOKUP(B:B,Courts!B:E,4,FALSE())</f>
        <v>1</v>
      </c>
      <c r="E121" s="38">
        <f>VLOOKUP(B:B,Courts!B:D,3,FALSE())</f>
        <v>0</v>
      </c>
      <c r="F121" s="38">
        <v>2</v>
      </c>
      <c r="G121" s="63">
        <v>0</v>
      </c>
      <c r="H121" s="64">
        <v>0</v>
      </c>
      <c r="I121" s="64">
        <f t="shared" si="3"/>
        <v>2</v>
      </c>
      <c r="J121" s="64">
        <f t="shared" si="4"/>
        <v>2</v>
      </c>
      <c r="K121" s="64">
        <f t="shared" si="5"/>
        <v>0</v>
      </c>
      <c r="L121" s="64">
        <v>0</v>
      </c>
    </row>
    <row r="122" spans="1:12" x14ac:dyDescent="0.25">
      <c r="A122" s="19">
        <v>121</v>
      </c>
      <c r="B122" s="16" t="s">
        <v>146</v>
      </c>
      <c r="C122" s="38">
        <f>VLOOKUP(B:B,Courts!B:F,2,FALSE())</f>
        <v>15</v>
      </c>
      <c r="D122" s="38">
        <f>VLOOKUP(B:B,Courts!B:E,4,FALSE())</f>
        <v>0</v>
      </c>
      <c r="E122" s="38">
        <f>VLOOKUP(B:B,Courts!B:D,3,FALSE())</f>
        <v>2</v>
      </c>
      <c r="F122" s="38">
        <v>12</v>
      </c>
      <c r="G122" s="63">
        <v>0</v>
      </c>
      <c r="H122" s="64">
        <v>0</v>
      </c>
      <c r="I122" s="64">
        <f t="shared" si="3"/>
        <v>12</v>
      </c>
      <c r="J122" s="64">
        <f t="shared" si="4"/>
        <v>17</v>
      </c>
      <c r="K122" s="64">
        <f t="shared" si="5"/>
        <v>-5</v>
      </c>
      <c r="L122" s="64">
        <v>-5</v>
      </c>
    </row>
    <row r="123" spans="1:12" x14ac:dyDescent="0.25">
      <c r="A123" s="19">
        <v>122</v>
      </c>
      <c r="B123" s="19" t="s">
        <v>147</v>
      </c>
      <c r="C123" s="38">
        <f>VLOOKUP(B:B,Courts!B:F,2,FALSE())</f>
        <v>2</v>
      </c>
      <c r="D123" s="38">
        <f>VLOOKUP(B:B,Courts!B:E,4,FALSE())</f>
        <v>1</v>
      </c>
      <c r="E123" s="38">
        <f>VLOOKUP(B:B,Courts!B:D,3,FALSE())</f>
        <v>1</v>
      </c>
      <c r="F123" s="38">
        <v>3</v>
      </c>
      <c r="G123" s="63">
        <v>0</v>
      </c>
      <c r="H123" s="64">
        <v>1</v>
      </c>
      <c r="I123" s="64">
        <f t="shared" si="3"/>
        <v>4</v>
      </c>
      <c r="J123" s="64">
        <f t="shared" si="4"/>
        <v>4</v>
      </c>
      <c r="K123" s="64">
        <f t="shared" si="5"/>
        <v>0</v>
      </c>
      <c r="L123" s="64">
        <v>0</v>
      </c>
    </row>
    <row r="124" spans="1:12" x14ac:dyDescent="0.25">
      <c r="A124" s="19">
        <v>123</v>
      </c>
      <c r="B124" s="19" t="s">
        <v>148</v>
      </c>
      <c r="C124" s="38">
        <f>VLOOKUP(B:B,Courts!B:F,2,FALSE())</f>
        <v>2</v>
      </c>
      <c r="D124" s="38">
        <f>VLOOKUP(B:B,Courts!B:E,4,FALSE())</f>
        <v>1</v>
      </c>
      <c r="E124" s="38">
        <f>VLOOKUP(B:B,Courts!B:D,3,FALSE())</f>
        <v>0</v>
      </c>
      <c r="F124" s="38">
        <v>2</v>
      </c>
      <c r="G124" s="63">
        <v>0</v>
      </c>
      <c r="H124" s="64">
        <v>1</v>
      </c>
      <c r="I124" s="64">
        <f t="shared" si="3"/>
        <v>3</v>
      </c>
      <c r="J124" s="64">
        <f t="shared" si="4"/>
        <v>3</v>
      </c>
      <c r="K124" s="64">
        <f t="shared" si="5"/>
        <v>0</v>
      </c>
      <c r="L124" s="64">
        <v>0</v>
      </c>
    </row>
    <row r="125" spans="1:12" ht="30" x14ac:dyDescent="0.25">
      <c r="A125" s="19">
        <v>124</v>
      </c>
      <c r="B125" s="19" t="s">
        <v>149</v>
      </c>
      <c r="C125" s="38">
        <f>VLOOKUP(B:B,Courts!B:F,2,FALSE())</f>
        <v>0</v>
      </c>
      <c r="D125" s="38">
        <f>VLOOKUP(B:B,Courts!B:E,4,FALSE())</f>
        <v>1</v>
      </c>
      <c r="E125" s="38">
        <f>VLOOKUP(B:B,Courts!B:D,3,FALSE())</f>
        <v>0</v>
      </c>
      <c r="F125" s="38">
        <v>0</v>
      </c>
      <c r="G125" s="63">
        <v>0</v>
      </c>
      <c r="H125" s="64">
        <v>1</v>
      </c>
      <c r="I125" s="64">
        <f t="shared" si="3"/>
        <v>1</v>
      </c>
      <c r="J125" s="64">
        <f t="shared" si="4"/>
        <v>1</v>
      </c>
      <c r="K125" s="64">
        <f t="shared" si="5"/>
        <v>0</v>
      </c>
      <c r="L125" s="64">
        <v>0</v>
      </c>
    </row>
    <row r="126" spans="1:12" x14ac:dyDescent="0.25">
      <c r="A126" s="19">
        <v>125</v>
      </c>
      <c r="B126" s="16" t="s">
        <v>150</v>
      </c>
      <c r="C126" s="38">
        <f>VLOOKUP(B:B,Courts!B:F,2,FALSE())</f>
        <v>18</v>
      </c>
      <c r="D126" s="38">
        <f>VLOOKUP(B:B,Courts!B:E,4,FALSE())</f>
        <v>0</v>
      </c>
      <c r="E126" s="38">
        <f>VLOOKUP(B:B,Courts!B:D,3,FALSE())</f>
        <v>3</v>
      </c>
      <c r="F126" s="38">
        <v>19</v>
      </c>
      <c r="G126" s="63">
        <v>0</v>
      </c>
      <c r="H126" s="64">
        <v>0</v>
      </c>
      <c r="I126" s="64">
        <f t="shared" si="3"/>
        <v>19</v>
      </c>
      <c r="J126" s="64">
        <f t="shared" si="4"/>
        <v>21</v>
      </c>
      <c r="K126" s="64">
        <f t="shared" si="5"/>
        <v>-2</v>
      </c>
      <c r="L126" s="64">
        <v>-2</v>
      </c>
    </row>
    <row r="127" spans="1:12" x14ac:dyDescent="0.25">
      <c r="A127" s="19">
        <v>126</v>
      </c>
      <c r="B127" s="19" t="s">
        <v>151</v>
      </c>
      <c r="C127" s="38">
        <f>VLOOKUP(B:B,Courts!B:F,2,FALSE())</f>
        <v>2</v>
      </c>
      <c r="D127" s="38">
        <f>VLOOKUP(B:B,Courts!B:E,4,FALSE())</f>
        <v>1</v>
      </c>
      <c r="E127" s="38">
        <f>VLOOKUP(B:B,Courts!B:D,3,FALSE())</f>
        <v>0</v>
      </c>
      <c r="F127" s="38">
        <v>1</v>
      </c>
      <c r="G127" s="63">
        <v>0</v>
      </c>
      <c r="H127" s="64">
        <v>1</v>
      </c>
      <c r="I127" s="64">
        <f t="shared" si="3"/>
        <v>2</v>
      </c>
      <c r="J127" s="64">
        <f t="shared" si="4"/>
        <v>3</v>
      </c>
      <c r="K127" s="64">
        <f t="shared" si="5"/>
        <v>-1</v>
      </c>
      <c r="L127" s="64">
        <v>-1</v>
      </c>
    </row>
    <row r="128" spans="1:12" x14ac:dyDescent="0.25">
      <c r="A128" s="19">
        <v>127</v>
      </c>
      <c r="B128" s="19" t="s">
        <v>152</v>
      </c>
      <c r="C128" s="38">
        <f>VLOOKUP(B:B,Courts!B:F,2,FALSE())</f>
        <v>3</v>
      </c>
      <c r="D128" s="38">
        <f>VLOOKUP(B:B,Courts!B:E,4,FALSE())</f>
        <v>1</v>
      </c>
      <c r="E128" s="38">
        <f>VLOOKUP(B:B,Courts!B:D,3,FALSE())</f>
        <v>1</v>
      </c>
      <c r="F128" s="38">
        <v>2</v>
      </c>
      <c r="G128" s="63">
        <v>0</v>
      </c>
      <c r="H128" s="64">
        <v>1</v>
      </c>
      <c r="I128" s="64">
        <f t="shared" si="3"/>
        <v>3</v>
      </c>
      <c r="J128" s="64">
        <f t="shared" si="4"/>
        <v>5</v>
      </c>
      <c r="K128" s="64">
        <f t="shared" si="5"/>
        <v>-2</v>
      </c>
      <c r="L128" s="64">
        <v>-2</v>
      </c>
    </row>
    <row r="129" spans="1:12" x14ac:dyDescent="0.25">
      <c r="A129" s="19">
        <v>128</v>
      </c>
      <c r="B129" s="19" t="s">
        <v>153</v>
      </c>
      <c r="C129" s="38">
        <f>VLOOKUP(B:B,Courts!B:F,2,FALSE())</f>
        <v>2</v>
      </c>
      <c r="D129" s="38">
        <f>VLOOKUP(B:B,Courts!B:E,4,FALSE())</f>
        <v>1</v>
      </c>
      <c r="E129" s="38">
        <f>VLOOKUP(B:B,Courts!B:D,3,FALSE())</f>
        <v>0</v>
      </c>
      <c r="F129" s="38">
        <v>1</v>
      </c>
      <c r="G129" s="63">
        <v>0</v>
      </c>
      <c r="H129" s="64">
        <v>1</v>
      </c>
      <c r="I129" s="64">
        <f t="shared" si="3"/>
        <v>2</v>
      </c>
      <c r="J129" s="64">
        <f t="shared" si="4"/>
        <v>3</v>
      </c>
      <c r="K129" s="64">
        <f t="shared" si="5"/>
        <v>-1</v>
      </c>
      <c r="L129" s="64">
        <v>-1</v>
      </c>
    </row>
    <row r="130" spans="1:12" ht="25.5" x14ac:dyDescent="0.25">
      <c r="A130" s="19">
        <v>129</v>
      </c>
      <c r="B130" s="16" t="s">
        <v>154</v>
      </c>
      <c r="C130" s="38">
        <f>VLOOKUP(B:B,Courts!B:F,2,FALSE())</f>
        <v>19</v>
      </c>
      <c r="D130" s="38">
        <f>VLOOKUP(B:B,Courts!B:E,4,FALSE())</f>
        <v>0</v>
      </c>
      <c r="E130" s="38">
        <f>VLOOKUP(B:B,Courts!B:D,3,FALSE())</f>
        <v>3</v>
      </c>
      <c r="F130" s="38">
        <v>20</v>
      </c>
      <c r="G130" s="63">
        <v>0</v>
      </c>
      <c r="H130" s="64">
        <v>0</v>
      </c>
      <c r="I130" s="64">
        <f t="shared" si="3"/>
        <v>20</v>
      </c>
      <c r="J130" s="64">
        <f t="shared" si="4"/>
        <v>22</v>
      </c>
      <c r="K130" s="64">
        <f t="shared" si="5"/>
        <v>-2</v>
      </c>
      <c r="L130" s="64">
        <v>-2</v>
      </c>
    </row>
    <row r="131" spans="1:12" x14ac:dyDescent="0.25">
      <c r="A131" s="19">
        <v>130</v>
      </c>
      <c r="B131" s="19" t="s">
        <v>155</v>
      </c>
      <c r="C131" s="38">
        <f>VLOOKUP(B:B,Courts!B:F,2,FALSE())</f>
        <v>4</v>
      </c>
      <c r="D131" s="38">
        <f>VLOOKUP(B:B,Courts!B:E,4,FALSE())</f>
        <v>1</v>
      </c>
      <c r="E131" s="38">
        <f>VLOOKUP(B:B,Courts!B:D,3,FALSE())</f>
        <v>2</v>
      </c>
      <c r="F131" s="38">
        <v>3</v>
      </c>
      <c r="G131" s="63">
        <v>0</v>
      </c>
      <c r="H131" s="64">
        <v>0</v>
      </c>
      <c r="I131" s="64">
        <f t="shared" si="3"/>
        <v>3</v>
      </c>
      <c r="J131" s="64">
        <f t="shared" si="4"/>
        <v>7</v>
      </c>
      <c r="K131" s="64">
        <f t="shared" si="5"/>
        <v>-4</v>
      </c>
      <c r="L131" s="64">
        <v>-4</v>
      </c>
    </row>
    <row r="132" spans="1:12" x14ac:dyDescent="0.25">
      <c r="B132" s="23" t="s">
        <v>156</v>
      </c>
      <c r="C132" s="65">
        <f t="shared" ref="C132:H132" si="6">SUM(C2:C131)</f>
        <v>1147</v>
      </c>
      <c r="D132" s="65">
        <f t="shared" si="6"/>
        <v>81</v>
      </c>
      <c r="E132" s="65">
        <f t="shared" si="6"/>
        <v>108</v>
      </c>
      <c r="F132" s="65">
        <f t="shared" si="6"/>
        <v>929</v>
      </c>
      <c r="G132" s="65">
        <f t="shared" si="6"/>
        <v>7</v>
      </c>
      <c r="H132" s="65">
        <f t="shared" si="6"/>
        <v>123</v>
      </c>
      <c r="I132" s="64">
        <f t="shared" si="3"/>
        <v>1059</v>
      </c>
      <c r="J132" s="64">
        <f t="shared" si="4"/>
        <v>1336</v>
      </c>
      <c r="K132" s="64">
        <f t="shared" si="5"/>
        <v>-277</v>
      </c>
      <c r="L132" s="65">
        <f>SUM(L2:L131)</f>
        <v>-282</v>
      </c>
    </row>
    <row r="134" spans="1:12" ht="15.75" x14ac:dyDescent="0.25">
      <c r="A134" s="22"/>
      <c r="B134" s="23" t="s">
        <v>156</v>
      </c>
      <c r="C134" s="27">
        <f t="shared" ref="C134:L134" si="7">SUM(C2:C131)</f>
        <v>1147</v>
      </c>
      <c r="D134" s="27">
        <f t="shared" si="7"/>
        <v>81</v>
      </c>
      <c r="E134" s="27">
        <f t="shared" si="7"/>
        <v>108</v>
      </c>
      <c r="F134" s="27">
        <f t="shared" si="7"/>
        <v>929</v>
      </c>
      <c r="G134" s="27">
        <f t="shared" si="7"/>
        <v>7</v>
      </c>
      <c r="H134" s="27">
        <f t="shared" si="7"/>
        <v>123</v>
      </c>
      <c r="I134" s="27">
        <f t="shared" si="7"/>
        <v>1059</v>
      </c>
      <c r="J134" s="27">
        <f t="shared" si="7"/>
        <v>1336</v>
      </c>
      <c r="K134" s="27">
        <f t="shared" si="7"/>
        <v>-277</v>
      </c>
      <c r="L134" s="27">
        <f t="shared" si="7"/>
        <v>-282</v>
      </c>
    </row>
    <row r="135" spans="1:12" x14ac:dyDescent="0.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1:12" ht="15.75" x14ac:dyDescent="0.25">
      <c r="A136" s="26">
        <v>1</v>
      </c>
      <c r="B136" s="27" t="s">
        <v>157</v>
      </c>
      <c r="C136" s="30">
        <f t="shared" ref="C136:L136" si="8">SUM(C2:C69)</f>
        <v>640</v>
      </c>
      <c r="D136" s="30">
        <f t="shared" si="8"/>
        <v>45</v>
      </c>
      <c r="E136" s="30">
        <f t="shared" si="8"/>
        <v>0</v>
      </c>
      <c r="F136" s="30">
        <f t="shared" si="8"/>
        <v>470</v>
      </c>
      <c r="G136" s="30">
        <f t="shared" si="8"/>
        <v>7</v>
      </c>
      <c r="H136" s="30">
        <f t="shared" si="8"/>
        <v>95</v>
      </c>
      <c r="I136" s="30">
        <f t="shared" si="8"/>
        <v>572</v>
      </c>
      <c r="J136" s="30">
        <f t="shared" si="8"/>
        <v>685</v>
      </c>
      <c r="K136" s="30">
        <f t="shared" si="8"/>
        <v>-113</v>
      </c>
      <c r="L136" s="30">
        <f t="shared" si="8"/>
        <v>-114</v>
      </c>
    </row>
    <row r="137" spans="1:12" ht="15.75" x14ac:dyDescent="0.25">
      <c r="A137" s="26">
        <v>2</v>
      </c>
      <c r="B137" s="27" t="s">
        <v>158</v>
      </c>
      <c r="C137" s="30">
        <f t="shared" ref="C137:L137" si="9">SUM(C71:C131)</f>
        <v>479</v>
      </c>
      <c r="D137" s="30">
        <f t="shared" si="9"/>
        <v>36</v>
      </c>
      <c r="E137" s="30">
        <f t="shared" si="9"/>
        <v>108</v>
      </c>
      <c r="F137" s="30">
        <f t="shared" si="9"/>
        <v>428</v>
      </c>
      <c r="G137" s="30">
        <f t="shared" si="9"/>
        <v>0</v>
      </c>
      <c r="H137" s="30">
        <f t="shared" si="9"/>
        <v>28</v>
      </c>
      <c r="I137" s="30">
        <f t="shared" si="9"/>
        <v>456</v>
      </c>
      <c r="J137" s="30">
        <f t="shared" si="9"/>
        <v>623</v>
      </c>
      <c r="K137" s="30">
        <f t="shared" si="9"/>
        <v>-167</v>
      </c>
      <c r="L137" s="30">
        <f t="shared" si="9"/>
        <v>-168</v>
      </c>
    </row>
    <row r="138" spans="1:12" ht="15.75" x14ac:dyDescent="0.25">
      <c r="A138" s="26">
        <v>3</v>
      </c>
      <c r="B138" s="27" t="s">
        <v>97</v>
      </c>
      <c r="C138" s="30">
        <f t="shared" ref="C138:L138" si="10">C70</f>
        <v>28</v>
      </c>
      <c r="D138" s="30">
        <f t="shared" si="10"/>
        <v>0</v>
      </c>
      <c r="E138" s="30">
        <f t="shared" si="10"/>
        <v>0</v>
      </c>
      <c r="F138" s="30">
        <f t="shared" si="10"/>
        <v>31</v>
      </c>
      <c r="G138" s="30">
        <f t="shared" si="10"/>
        <v>0</v>
      </c>
      <c r="H138" s="30">
        <f t="shared" si="10"/>
        <v>0</v>
      </c>
      <c r="I138" s="30">
        <f t="shared" si="10"/>
        <v>31</v>
      </c>
      <c r="J138" s="30">
        <f t="shared" si="10"/>
        <v>28</v>
      </c>
      <c r="K138" s="30">
        <f t="shared" si="10"/>
        <v>3</v>
      </c>
      <c r="L138" s="30">
        <f t="shared" si="10"/>
        <v>0</v>
      </c>
    </row>
    <row r="139" spans="1:12" ht="15.75" x14ac:dyDescent="0.25">
      <c r="A139" s="22"/>
      <c r="B139" s="27" t="s">
        <v>156</v>
      </c>
      <c r="C139" s="27">
        <f t="shared" ref="C139:L139" si="11">SUM(C136:C138)</f>
        <v>1147</v>
      </c>
      <c r="D139" s="27">
        <f t="shared" si="11"/>
        <v>81</v>
      </c>
      <c r="E139" s="27">
        <f t="shared" si="11"/>
        <v>108</v>
      </c>
      <c r="F139" s="27">
        <f t="shared" si="11"/>
        <v>929</v>
      </c>
      <c r="G139" s="27">
        <f t="shared" si="11"/>
        <v>7</v>
      </c>
      <c r="H139" s="27">
        <f t="shared" si="11"/>
        <v>123</v>
      </c>
      <c r="I139" s="27">
        <f t="shared" si="11"/>
        <v>1059</v>
      </c>
      <c r="J139" s="27">
        <f t="shared" si="11"/>
        <v>1336</v>
      </c>
      <c r="K139" s="27">
        <f t="shared" si="11"/>
        <v>-277</v>
      </c>
      <c r="L139" s="27">
        <f t="shared" si="11"/>
        <v>-282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38"/>
  <sheetViews>
    <sheetView workbookViewId="0">
      <pane ySplit="1" topLeftCell="A2" activePane="bottomLeft" state="frozen"/>
      <selection pane="bottomLeft" activeCell="O83" sqref="O83"/>
    </sheetView>
  </sheetViews>
  <sheetFormatPr defaultRowHeight="15" x14ac:dyDescent="0.25"/>
  <cols>
    <col min="1" max="1" width="6.7109375" bestFit="1" customWidth="1"/>
    <col min="2" max="2" width="27.5703125" customWidth="1"/>
    <col min="3" max="3" width="16.28515625" customWidth="1"/>
    <col min="4" max="4" width="14.5703125" customWidth="1"/>
    <col min="5" max="5" width="9.140625" customWidth="1"/>
    <col min="12" max="12" width="8" customWidth="1"/>
  </cols>
  <sheetData>
    <row r="1" spans="1:12" ht="123.75" x14ac:dyDescent="0.25">
      <c r="A1" s="32" t="s">
        <v>15</v>
      </c>
      <c r="B1" s="32" t="s">
        <v>16</v>
      </c>
      <c r="C1" s="33" t="s">
        <v>181</v>
      </c>
      <c r="D1" s="33" t="s">
        <v>182</v>
      </c>
      <c r="E1" s="33" t="s">
        <v>4</v>
      </c>
      <c r="F1" s="34" t="s">
        <v>189</v>
      </c>
      <c r="G1" s="34" t="s">
        <v>190</v>
      </c>
      <c r="H1" s="34" t="s">
        <v>191</v>
      </c>
      <c r="I1" s="34" t="s">
        <v>192</v>
      </c>
      <c r="J1" s="34" t="s">
        <v>193</v>
      </c>
      <c r="K1" s="34" t="s">
        <v>13</v>
      </c>
      <c r="L1" s="34" t="s">
        <v>186</v>
      </c>
    </row>
    <row r="2" spans="1:12" x14ac:dyDescent="0.25">
      <c r="A2" s="36">
        <v>1</v>
      </c>
      <c r="B2" s="37" t="s">
        <v>29</v>
      </c>
      <c r="C2" s="38">
        <f>VLOOKUP(B:B,Courts!B:C,2,FALSE())</f>
        <v>48</v>
      </c>
      <c r="D2" s="38">
        <f>VLOOKUP(B:B,Courts!B:E,4,FALSE())</f>
        <v>0</v>
      </c>
      <c r="E2" s="38">
        <f>VLOOKUP(B:B,Courts!B:D,3,FALSE())</f>
        <v>0</v>
      </c>
      <c r="F2" s="18">
        <v>35</v>
      </c>
      <c r="G2" s="18">
        <v>0</v>
      </c>
      <c r="H2" s="18">
        <v>0</v>
      </c>
      <c r="I2" s="18">
        <v>0</v>
      </c>
      <c r="J2" s="18">
        <f>SUM(F2:I2)</f>
        <v>35</v>
      </c>
      <c r="K2" s="18">
        <f>SUM(C2:E2)*1</f>
        <v>48</v>
      </c>
      <c r="L2" s="18">
        <f>J2-K2</f>
        <v>-13</v>
      </c>
    </row>
    <row r="3" spans="1:12" x14ac:dyDescent="0.25">
      <c r="A3" s="36">
        <v>2</v>
      </c>
      <c r="B3" s="36" t="s">
        <v>30</v>
      </c>
      <c r="C3" s="38">
        <f>VLOOKUP(B:B,Courts!B:C,2,FALSE())</f>
        <v>5</v>
      </c>
      <c r="D3" s="38">
        <f>VLOOKUP(B:B,Courts!B:E,4,FALSE())</f>
        <v>1</v>
      </c>
      <c r="E3" s="38">
        <f>VLOOKUP(B:B,Courts!B:D,3,FALSE())</f>
        <v>0</v>
      </c>
      <c r="F3" s="18">
        <v>4</v>
      </c>
      <c r="G3" s="18">
        <v>0</v>
      </c>
      <c r="H3" s="18">
        <v>0</v>
      </c>
      <c r="I3" s="18">
        <v>1</v>
      </c>
      <c r="J3" s="18">
        <f t="shared" ref="J3:J66" si="0">SUM(F3:I3)</f>
        <v>5</v>
      </c>
      <c r="K3" s="18">
        <f t="shared" ref="K3:K66" si="1">SUM(C3:E3)*1</f>
        <v>6</v>
      </c>
      <c r="L3" s="18">
        <f t="shared" ref="L3:L66" si="2">J3-K3</f>
        <v>-1</v>
      </c>
    </row>
    <row r="4" spans="1:12" x14ac:dyDescent="0.25">
      <c r="A4" s="36">
        <v>3</v>
      </c>
      <c r="B4" s="36" t="s">
        <v>31</v>
      </c>
      <c r="C4" s="38">
        <f>VLOOKUP(B:B,Courts!B:C,2,FALSE())</f>
        <v>4</v>
      </c>
      <c r="D4" s="38">
        <f>VLOOKUP(B:B,Courts!B:E,4,FALSE())</f>
        <v>1</v>
      </c>
      <c r="E4" s="38">
        <f>VLOOKUP(B:B,Courts!B:D,3,FALSE())</f>
        <v>0</v>
      </c>
      <c r="F4" s="18">
        <v>1</v>
      </c>
      <c r="G4" s="18">
        <v>0</v>
      </c>
      <c r="H4" s="18">
        <v>1</v>
      </c>
      <c r="I4" s="18">
        <v>0</v>
      </c>
      <c r="J4" s="18">
        <f t="shared" si="0"/>
        <v>2</v>
      </c>
      <c r="K4" s="18">
        <f t="shared" si="1"/>
        <v>5</v>
      </c>
      <c r="L4" s="18">
        <f t="shared" si="2"/>
        <v>-3</v>
      </c>
    </row>
    <row r="5" spans="1:12" x14ac:dyDescent="0.25">
      <c r="A5" s="36">
        <v>4</v>
      </c>
      <c r="B5" s="37" t="s">
        <v>32</v>
      </c>
      <c r="C5" s="38">
        <f>VLOOKUP(B:B,Courts!B:C,2,FALSE())</f>
        <v>11</v>
      </c>
      <c r="D5" s="38">
        <f>VLOOKUP(B:B,Courts!B:E,4,FALSE())</f>
        <v>0</v>
      </c>
      <c r="E5" s="38">
        <f>VLOOKUP(B:B,Courts!B:D,3,FALSE())</f>
        <v>0</v>
      </c>
      <c r="F5" s="18">
        <v>9</v>
      </c>
      <c r="G5" s="18">
        <v>0</v>
      </c>
      <c r="H5" s="18">
        <v>2</v>
      </c>
      <c r="I5" s="18">
        <v>0</v>
      </c>
      <c r="J5" s="18">
        <f t="shared" si="0"/>
        <v>11</v>
      </c>
      <c r="K5" s="18">
        <f t="shared" si="1"/>
        <v>11</v>
      </c>
      <c r="L5" s="18">
        <f t="shared" si="2"/>
        <v>0</v>
      </c>
    </row>
    <row r="6" spans="1:12" x14ac:dyDescent="0.25">
      <c r="A6" s="36">
        <v>5</v>
      </c>
      <c r="B6" s="37" t="s">
        <v>33</v>
      </c>
      <c r="C6" s="38">
        <f>VLOOKUP(B:B,Courts!B:C,2,FALSE())</f>
        <v>25</v>
      </c>
      <c r="D6" s="38">
        <f>VLOOKUP(B:B,Courts!B:E,4,FALSE())</f>
        <v>0</v>
      </c>
      <c r="E6" s="38">
        <f>VLOOKUP(B:B,Courts!B:D,3,FALSE())</f>
        <v>0</v>
      </c>
      <c r="F6" s="18">
        <v>19</v>
      </c>
      <c r="G6" s="18">
        <v>0</v>
      </c>
      <c r="H6" s="18">
        <v>0</v>
      </c>
      <c r="I6" s="18">
        <v>2</v>
      </c>
      <c r="J6" s="18">
        <f t="shared" si="0"/>
        <v>21</v>
      </c>
      <c r="K6" s="18">
        <f t="shared" si="1"/>
        <v>25</v>
      </c>
      <c r="L6" s="18">
        <f t="shared" si="2"/>
        <v>-4</v>
      </c>
    </row>
    <row r="7" spans="1:12" x14ac:dyDescent="0.25">
      <c r="A7" s="36">
        <v>6</v>
      </c>
      <c r="B7" s="36" t="s">
        <v>34</v>
      </c>
      <c r="C7" s="38">
        <f>VLOOKUP(B:B,Courts!B:C,2,FALSE())</f>
        <v>6</v>
      </c>
      <c r="D7" s="38">
        <f>VLOOKUP(B:B,Courts!B:E,4,FALSE())</f>
        <v>1</v>
      </c>
      <c r="E7" s="38">
        <f>VLOOKUP(B:B,Courts!B:D,3,FALSE())</f>
        <v>0</v>
      </c>
      <c r="F7" s="18">
        <v>2</v>
      </c>
      <c r="G7" s="18">
        <v>0</v>
      </c>
      <c r="H7" s="18">
        <v>2</v>
      </c>
      <c r="I7" s="18">
        <v>0</v>
      </c>
      <c r="J7" s="18">
        <f t="shared" si="0"/>
        <v>4</v>
      </c>
      <c r="K7" s="18">
        <f t="shared" si="1"/>
        <v>7</v>
      </c>
      <c r="L7" s="18">
        <f t="shared" si="2"/>
        <v>-3</v>
      </c>
    </row>
    <row r="8" spans="1:12" x14ac:dyDescent="0.25">
      <c r="A8" s="36">
        <v>7</v>
      </c>
      <c r="B8" s="36" t="s">
        <v>35</v>
      </c>
      <c r="C8" s="38">
        <f>VLOOKUP(B:B,Courts!B:C,2,FALSE())</f>
        <v>4</v>
      </c>
      <c r="D8" s="38">
        <f>VLOOKUP(B:B,Courts!B:E,4,FALSE())</f>
        <v>1</v>
      </c>
      <c r="E8" s="38">
        <f>VLOOKUP(B:B,Courts!B:D,3,FALSE())</f>
        <v>0</v>
      </c>
      <c r="F8" s="18">
        <v>2</v>
      </c>
      <c r="G8" s="18">
        <v>0</v>
      </c>
      <c r="H8" s="18">
        <v>1</v>
      </c>
      <c r="I8" s="18">
        <v>0</v>
      </c>
      <c r="J8" s="18">
        <f t="shared" si="0"/>
        <v>3</v>
      </c>
      <c r="K8" s="18">
        <f t="shared" si="1"/>
        <v>5</v>
      </c>
      <c r="L8" s="18">
        <f t="shared" si="2"/>
        <v>-2</v>
      </c>
    </row>
    <row r="9" spans="1:12" x14ac:dyDescent="0.25">
      <c r="A9" s="36">
        <v>8</v>
      </c>
      <c r="B9" s="37" t="s">
        <v>36</v>
      </c>
      <c r="C9" s="38">
        <f>VLOOKUP(B:B,Courts!B:C,2,FALSE())</f>
        <v>12</v>
      </c>
      <c r="D9" s="38">
        <f>VLOOKUP(B:B,Courts!B:E,4,FALSE())</f>
        <v>0</v>
      </c>
      <c r="E9" s="38">
        <f>VLOOKUP(B:B,Courts!B:D,3,FALSE())</f>
        <v>0</v>
      </c>
      <c r="F9" s="18">
        <v>11</v>
      </c>
      <c r="G9" s="18">
        <v>0</v>
      </c>
      <c r="H9" s="18">
        <v>0</v>
      </c>
      <c r="I9" s="18">
        <v>0</v>
      </c>
      <c r="J9" s="18">
        <f t="shared" si="0"/>
        <v>11</v>
      </c>
      <c r="K9" s="18">
        <f t="shared" si="1"/>
        <v>12</v>
      </c>
      <c r="L9" s="18">
        <f t="shared" si="2"/>
        <v>-1</v>
      </c>
    </row>
    <row r="10" spans="1:12" x14ac:dyDescent="0.25">
      <c r="A10" s="36">
        <v>9</v>
      </c>
      <c r="B10" s="36" t="s">
        <v>37</v>
      </c>
      <c r="C10" s="38">
        <f>VLOOKUP(B:B,Courts!B:C,2,FALSE())</f>
        <v>2</v>
      </c>
      <c r="D10" s="38">
        <f>VLOOKUP(B:B,Courts!B:E,4,FALSE())</f>
        <v>0</v>
      </c>
      <c r="E10" s="38">
        <f>VLOOKUP(B:B,Courts!B:D,3,FALSE())</f>
        <v>0</v>
      </c>
      <c r="F10" s="18">
        <v>1</v>
      </c>
      <c r="G10" s="18">
        <v>0</v>
      </c>
      <c r="H10" s="18">
        <v>0</v>
      </c>
      <c r="I10" s="18">
        <v>0</v>
      </c>
      <c r="J10" s="18">
        <f t="shared" si="0"/>
        <v>1</v>
      </c>
      <c r="K10" s="18">
        <f t="shared" si="1"/>
        <v>2</v>
      </c>
      <c r="L10" s="18">
        <f t="shared" si="2"/>
        <v>-1</v>
      </c>
    </row>
    <row r="11" spans="1:12" x14ac:dyDescent="0.25">
      <c r="A11" s="36">
        <v>10</v>
      </c>
      <c r="B11" s="37" t="s">
        <v>38</v>
      </c>
      <c r="C11" s="38">
        <f>VLOOKUP(B:B,Courts!B:C,2,FALSE())</f>
        <v>11</v>
      </c>
      <c r="D11" s="38">
        <f>VLOOKUP(B:B,Courts!B:E,4,FALSE())</f>
        <v>0</v>
      </c>
      <c r="E11" s="38">
        <f>VLOOKUP(B:B,Courts!B:D,3,FALSE())</f>
        <v>0</v>
      </c>
      <c r="F11" s="18">
        <v>12</v>
      </c>
      <c r="G11" s="18">
        <v>0</v>
      </c>
      <c r="H11" s="18">
        <v>0</v>
      </c>
      <c r="I11" s="18">
        <v>0</v>
      </c>
      <c r="J11" s="18">
        <f t="shared" si="0"/>
        <v>12</v>
      </c>
      <c r="K11" s="18">
        <f t="shared" si="1"/>
        <v>11</v>
      </c>
      <c r="L11" s="18">
        <f t="shared" si="2"/>
        <v>1</v>
      </c>
    </row>
    <row r="12" spans="1:12" x14ac:dyDescent="0.25">
      <c r="A12" s="36">
        <v>11</v>
      </c>
      <c r="B12" s="36" t="s">
        <v>39</v>
      </c>
      <c r="C12" s="38">
        <f>VLOOKUP(B:B,Courts!B:C,2,FALSE())</f>
        <v>4</v>
      </c>
      <c r="D12" s="38">
        <f>VLOOKUP(B:B,Courts!B:E,4,FALSE())</f>
        <v>1</v>
      </c>
      <c r="E12" s="38">
        <f>VLOOKUP(B:B,Courts!B:D,3,FALSE())</f>
        <v>0</v>
      </c>
      <c r="F12" s="18">
        <v>2</v>
      </c>
      <c r="G12" s="18">
        <v>0</v>
      </c>
      <c r="H12" s="18">
        <v>1</v>
      </c>
      <c r="I12" s="18">
        <v>0</v>
      </c>
      <c r="J12" s="18">
        <f t="shared" si="0"/>
        <v>3</v>
      </c>
      <c r="K12" s="18">
        <f t="shared" si="1"/>
        <v>5</v>
      </c>
      <c r="L12" s="18">
        <f t="shared" si="2"/>
        <v>-2</v>
      </c>
    </row>
    <row r="13" spans="1:12" x14ac:dyDescent="0.25">
      <c r="A13" s="36">
        <v>12</v>
      </c>
      <c r="B13" s="36" t="s">
        <v>40</v>
      </c>
      <c r="C13" s="38">
        <f>VLOOKUP(B:B,Courts!B:C,2,FALSE())</f>
        <v>2</v>
      </c>
      <c r="D13" s="38">
        <f>VLOOKUP(B:B,Courts!B:E,4,FALSE())</f>
        <v>1</v>
      </c>
      <c r="E13" s="38">
        <f>VLOOKUP(B:B,Courts!B:D,3,FALSE())</f>
        <v>0</v>
      </c>
      <c r="F13" s="18">
        <v>1</v>
      </c>
      <c r="G13" s="18">
        <v>0</v>
      </c>
      <c r="H13" s="18">
        <v>2</v>
      </c>
      <c r="I13" s="18">
        <v>0</v>
      </c>
      <c r="J13" s="18">
        <f t="shared" si="0"/>
        <v>3</v>
      </c>
      <c r="K13" s="18">
        <f t="shared" si="1"/>
        <v>3</v>
      </c>
      <c r="L13" s="18">
        <f t="shared" si="2"/>
        <v>0</v>
      </c>
    </row>
    <row r="14" spans="1:12" x14ac:dyDescent="0.25">
      <c r="A14" s="36">
        <v>13</v>
      </c>
      <c r="B14" s="37" t="s">
        <v>41</v>
      </c>
      <c r="C14" s="38">
        <f>VLOOKUP(B:B,Courts!B:C,2,FALSE())</f>
        <v>12</v>
      </c>
      <c r="D14" s="38">
        <f>VLOOKUP(B:B,Courts!B:E,4,FALSE())</f>
        <v>0</v>
      </c>
      <c r="E14" s="38">
        <f>VLOOKUP(B:B,Courts!B:D,3,FALSE())</f>
        <v>0</v>
      </c>
      <c r="F14" s="18">
        <v>8</v>
      </c>
      <c r="G14" s="18">
        <v>0</v>
      </c>
      <c r="H14" s="18">
        <v>2</v>
      </c>
      <c r="I14" s="18">
        <v>0</v>
      </c>
      <c r="J14" s="18">
        <f t="shared" si="0"/>
        <v>10</v>
      </c>
      <c r="K14" s="18">
        <f t="shared" si="1"/>
        <v>12</v>
      </c>
      <c r="L14" s="18">
        <f t="shared" si="2"/>
        <v>-2</v>
      </c>
    </row>
    <row r="15" spans="1:12" x14ac:dyDescent="0.25">
      <c r="A15" s="36">
        <v>14</v>
      </c>
      <c r="B15" s="36" t="s">
        <v>42</v>
      </c>
      <c r="C15" s="38">
        <f>VLOOKUP(B:B,Courts!B:C,2,FALSE())</f>
        <v>7</v>
      </c>
      <c r="D15" s="38">
        <f>VLOOKUP(B:B,Courts!B:E,4,FALSE())</f>
        <v>1</v>
      </c>
      <c r="E15" s="38">
        <f>VLOOKUP(B:B,Courts!B:D,3,FALSE())</f>
        <v>0</v>
      </c>
      <c r="F15" s="18">
        <v>4</v>
      </c>
      <c r="G15" s="18">
        <v>0</v>
      </c>
      <c r="H15" s="18">
        <v>3</v>
      </c>
      <c r="I15" s="18">
        <v>0</v>
      </c>
      <c r="J15" s="18">
        <f t="shared" si="0"/>
        <v>7</v>
      </c>
      <c r="K15" s="18">
        <f t="shared" si="1"/>
        <v>8</v>
      </c>
      <c r="L15" s="18">
        <f t="shared" si="2"/>
        <v>-1</v>
      </c>
    </row>
    <row r="16" spans="1:12" x14ac:dyDescent="0.25">
      <c r="A16" s="36">
        <v>15</v>
      </c>
      <c r="B16" s="36" t="s">
        <v>43</v>
      </c>
      <c r="C16" s="38">
        <f>VLOOKUP(B:B,Courts!B:C,2,FALSE())</f>
        <v>4</v>
      </c>
      <c r="D16" s="38">
        <f>VLOOKUP(B:B,Courts!B:E,4,FALSE())</f>
        <v>1</v>
      </c>
      <c r="E16" s="38">
        <f>VLOOKUP(B:B,Courts!B:D,3,FALSE())</f>
        <v>0</v>
      </c>
      <c r="F16" s="18">
        <v>2</v>
      </c>
      <c r="G16" s="18">
        <v>0</v>
      </c>
      <c r="H16" s="18">
        <v>2</v>
      </c>
      <c r="I16" s="18">
        <v>0</v>
      </c>
      <c r="J16" s="18">
        <f t="shared" si="0"/>
        <v>4</v>
      </c>
      <c r="K16" s="18">
        <f t="shared" si="1"/>
        <v>5</v>
      </c>
      <c r="L16" s="18">
        <f t="shared" si="2"/>
        <v>-1</v>
      </c>
    </row>
    <row r="17" spans="1:12" x14ac:dyDescent="0.25">
      <c r="A17" s="36">
        <v>16</v>
      </c>
      <c r="B17" s="37" t="s">
        <v>44</v>
      </c>
      <c r="C17" s="38">
        <f>VLOOKUP(B:B,Courts!B:C,2,FALSE())</f>
        <v>16</v>
      </c>
      <c r="D17" s="38">
        <f>VLOOKUP(B:B,Courts!B:E,4,FALSE())</f>
        <v>0</v>
      </c>
      <c r="E17" s="38">
        <f>VLOOKUP(B:B,Courts!B:D,3,FALSE())</f>
        <v>0</v>
      </c>
      <c r="F17" s="18">
        <v>15</v>
      </c>
      <c r="G17" s="18">
        <v>0</v>
      </c>
      <c r="H17" s="18">
        <v>0</v>
      </c>
      <c r="I17" s="18">
        <v>0</v>
      </c>
      <c r="J17" s="18">
        <f t="shared" si="0"/>
        <v>15</v>
      </c>
      <c r="K17" s="18">
        <f t="shared" si="1"/>
        <v>16</v>
      </c>
      <c r="L17" s="18">
        <f t="shared" si="2"/>
        <v>-1</v>
      </c>
    </row>
    <row r="18" spans="1:12" x14ac:dyDescent="0.25">
      <c r="A18" s="36">
        <v>17</v>
      </c>
      <c r="B18" s="36" t="s">
        <v>45</v>
      </c>
      <c r="C18" s="38">
        <f>VLOOKUP(B:B,Courts!B:C,2,FALSE())</f>
        <v>3</v>
      </c>
      <c r="D18" s="38">
        <f>VLOOKUP(B:B,Courts!B:E,4,FALSE())</f>
        <v>1</v>
      </c>
      <c r="E18" s="38">
        <f>VLOOKUP(B:B,Courts!B:D,3,FALSE())</f>
        <v>0</v>
      </c>
      <c r="F18" s="18">
        <v>1</v>
      </c>
      <c r="G18" s="18">
        <v>0</v>
      </c>
      <c r="H18" s="18">
        <v>2</v>
      </c>
      <c r="I18" s="18">
        <v>0</v>
      </c>
      <c r="J18" s="18">
        <f t="shared" si="0"/>
        <v>3</v>
      </c>
      <c r="K18" s="18">
        <f t="shared" si="1"/>
        <v>4</v>
      </c>
      <c r="L18" s="18">
        <f t="shared" si="2"/>
        <v>-1</v>
      </c>
    </row>
    <row r="19" spans="1:12" x14ac:dyDescent="0.25">
      <c r="A19" s="36">
        <v>18</v>
      </c>
      <c r="B19" s="36" t="s">
        <v>46</v>
      </c>
      <c r="C19" s="38">
        <f>VLOOKUP(B:B,Courts!B:C,2,FALSE())</f>
        <v>3</v>
      </c>
      <c r="D19" s="38">
        <f>VLOOKUP(B:B,Courts!B:E,4,FALSE())</f>
        <v>1</v>
      </c>
      <c r="E19" s="38">
        <f>VLOOKUP(B:B,Courts!B:D,3,FALSE())</f>
        <v>0</v>
      </c>
      <c r="F19" s="18">
        <v>3</v>
      </c>
      <c r="G19" s="18">
        <v>0</v>
      </c>
      <c r="H19" s="18">
        <v>1</v>
      </c>
      <c r="I19" s="18">
        <v>0</v>
      </c>
      <c r="J19" s="18">
        <f t="shared" si="0"/>
        <v>4</v>
      </c>
      <c r="K19" s="18">
        <f t="shared" si="1"/>
        <v>4</v>
      </c>
      <c r="L19" s="18">
        <f t="shared" si="2"/>
        <v>0</v>
      </c>
    </row>
    <row r="20" spans="1:12" x14ac:dyDescent="0.25">
      <c r="A20" s="36">
        <v>19</v>
      </c>
      <c r="B20" s="37" t="s">
        <v>47</v>
      </c>
      <c r="C20" s="38">
        <f>VLOOKUP(B:B,Courts!B:C,2,FALSE())</f>
        <v>18</v>
      </c>
      <c r="D20" s="38">
        <f>VLOOKUP(B:B,Courts!B:E,4,FALSE())</f>
        <v>0</v>
      </c>
      <c r="E20" s="38">
        <f>VLOOKUP(B:B,Courts!B:D,3,FALSE())</f>
        <v>0</v>
      </c>
      <c r="F20" s="18">
        <v>17</v>
      </c>
      <c r="G20" s="18">
        <v>0</v>
      </c>
      <c r="H20" s="18">
        <v>1</v>
      </c>
      <c r="I20" s="18">
        <v>1</v>
      </c>
      <c r="J20" s="18">
        <f t="shared" si="0"/>
        <v>19</v>
      </c>
      <c r="K20" s="18">
        <f t="shared" si="1"/>
        <v>18</v>
      </c>
      <c r="L20" s="18">
        <f t="shared" si="2"/>
        <v>1</v>
      </c>
    </row>
    <row r="21" spans="1:12" x14ac:dyDescent="0.25">
      <c r="A21" s="36">
        <v>20</v>
      </c>
      <c r="B21" s="36" t="s">
        <v>48</v>
      </c>
      <c r="C21" s="38">
        <f>VLOOKUP(B:B,Courts!B:C,2,FALSE())</f>
        <v>9</v>
      </c>
      <c r="D21" s="38">
        <f>VLOOKUP(B:B,Courts!B:E,4,FALSE())</f>
        <v>1</v>
      </c>
      <c r="E21" s="38">
        <f>VLOOKUP(B:B,Courts!B:D,3,FALSE())</f>
        <v>0</v>
      </c>
      <c r="F21" s="18">
        <v>6</v>
      </c>
      <c r="G21" s="18">
        <v>0</v>
      </c>
      <c r="H21" s="18">
        <v>2</v>
      </c>
      <c r="I21" s="18">
        <v>1</v>
      </c>
      <c r="J21" s="18">
        <f t="shared" si="0"/>
        <v>9</v>
      </c>
      <c r="K21" s="18">
        <f t="shared" si="1"/>
        <v>10</v>
      </c>
      <c r="L21" s="18">
        <f t="shared" si="2"/>
        <v>-1</v>
      </c>
    </row>
    <row r="22" spans="1:12" x14ac:dyDescent="0.25">
      <c r="A22" s="36">
        <v>21</v>
      </c>
      <c r="B22" s="37" t="s">
        <v>49</v>
      </c>
      <c r="C22" s="38">
        <f>VLOOKUP(B:B,Courts!B:C,2,FALSE())</f>
        <v>19</v>
      </c>
      <c r="D22" s="38">
        <f>VLOOKUP(B:B,Courts!B:E,4,FALSE())</f>
        <v>0</v>
      </c>
      <c r="E22" s="38">
        <f>VLOOKUP(B:B,Courts!B:D,3,FALSE())</f>
        <v>0</v>
      </c>
      <c r="F22" s="18">
        <v>18</v>
      </c>
      <c r="G22" s="18">
        <v>0</v>
      </c>
      <c r="H22" s="18">
        <v>0</v>
      </c>
      <c r="I22" s="18">
        <v>0</v>
      </c>
      <c r="J22" s="18">
        <f t="shared" si="0"/>
        <v>18</v>
      </c>
      <c r="K22" s="18">
        <f t="shared" si="1"/>
        <v>19</v>
      </c>
      <c r="L22" s="18">
        <f t="shared" si="2"/>
        <v>-1</v>
      </c>
    </row>
    <row r="23" spans="1:12" x14ac:dyDescent="0.25">
      <c r="A23" s="36">
        <v>22</v>
      </c>
      <c r="B23" s="36" t="s">
        <v>50</v>
      </c>
      <c r="C23" s="38">
        <f>VLOOKUP(B:B,Courts!B:C,2,FALSE())</f>
        <v>4</v>
      </c>
      <c r="D23" s="38">
        <f>VLOOKUP(B:B,Courts!B:E,4,FALSE())</f>
        <v>1</v>
      </c>
      <c r="E23" s="38">
        <f>VLOOKUP(B:B,Courts!B:D,3,FALSE())</f>
        <v>0</v>
      </c>
      <c r="F23" s="18">
        <v>5</v>
      </c>
      <c r="G23" s="18">
        <v>0</v>
      </c>
      <c r="H23" s="18">
        <v>1</v>
      </c>
      <c r="I23" s="18">
        <v>0</v>
      </c>
      <c r="J23" s="18">
        <f t="shared" si="0"/>
        <v>6</v>
      </c>
      <c r="K23" s="18">
        <f t="shared" si="1"/>
        <v>5</v>
      </c>
      <c r="L23" s="18">
        <f t="shared" si="2"/>
        <v>1</v>
      </c>
    </row>
    <row r="24" spans="1:12" x14ac:dyDescent="0.25">
      <c r="A24" s="36">
        <v>23</v>
      </c>
      <c r="B24" s="36" t="s">
        <v>51</v>
      </c>
      <c r="C24" s="38">
        <f>VLOOKUP(B:B,Courts!B:C,2,FALSE())</f>
        <v>3</v>
      </c>
      <c r="D24" s="38">
        <f>VLOOKUP(B:B,Courts!B:E,4,FALSE())</f>
        <v>1</v>
      </c>
      <c r="E24" s="38">
        <f>VLOOKUP(B:B,Courts!B:D,3,FALSE())</f>
        <v>0</v>
      </c>
      <c r="F24" s="18">
        <v>2</v>
      </c>
      <c r="G24" s="18">
        <v>0</v>
      </c>
      <c r="H24" s="18">
        <v>2</v>
      </c>
      <c r="I24" s="18">
        <v>0</v>
      </c>
      <c r="J24" s="18">
        <f t="shared" si="0"/>
        <v>4</v>
      </c>
      <c r="K24" s="18">
        <f t="shared" si="1"/>
        <v>4</v>
      </c>
      <c r="L24" s="18">
        <f t="shared" si="2"/>
        <v>0</v>
      </c>
    </row>
    <row r="25" spans="1:12" x14ac:dyDescent="0.25">
      <c r="A25" s="36">
        <v>24</v>
      </c>
      <c r="B25" s="36" t="s">
        <v>52</v>
      </c>
      <c r="C25" s="38">
        <f>VLOOKUP(B:B,Courts!B:C,2,FALSE())</f>
        <v>3</v>
      </c>
      <c r="D25" s="38">
        <f>VLOOKUP(B:B,Courts!B:E,4,FALSE())</f>
        <v>1</v>
      </c>
      <c r="E25" s="38">
        <f>VLOOKUP(B:B,Courts!B:D,3,FALSE())</f>
        <v>0</v>
      </c>
      <c r="F25" s="18">
        <v>3</v>
      </c>
      <c r="G25" s="18">
        <v>0</v>
      </c>
      <c r="H25" s="18">
        <v>1</v>
      </c>
      <c r="I25" s="18">
        <v>0</v>
      </c>
      <c r="J25" s="18">
        <f t="shared" si="0"/>
        <v>4</v>
      </c>
      <c r="K25" s="18">
        <f t="shared" si="1"/>
        <v>4</v>
      </c>
      <c r="L25" s="18">
        <f t="shared" si="2"/>
        <v>0</v>
      </c>
    </row>
    <row r="26" spans="1:12" x14ac:dyDescent="0.25">
      <c r="A26" s="36">
        <v>25</v>
      </c>
      <c r="B26" s="37" t="s">
        <v>53</v>
      </c>
      <c r="C26" s="38">
        <f>VLOOKUP(B:B,Courts!B:C,2,FALSE())</f>
        <v>45</v>
      </c>
      <c r="D26" s="38">
        <f>VLOOKUP(B:B,Courts!B:E,4,FALSE())</f>
        <v>0</v>
      </c>
      <c r="E26" s="38">
        <f>VLOOKUP(B:B,Courts!B:D,3,FALSE())</f>
        <v>0</v>
      </c>
      <c r="F26" s="18">
        <v>37</v>
      </c>
      <c r="G26" s="18">
        <v>0</v>
      </c>
      <c r="H26" s="18">
        <v>2</v>
      </c>
      <c r="I26" s="18">
        <v>2</v>
      </c>
      <c r="J26" s="18">
        <f t="shared" si="0"/>
        <v>41</v>
      </c>
      <c r="K26" s="18">
        <f t="shared" si="1"/>
        <v>45</v>
      </c>
      <c r="L26" s="18">
        <f t="shared" si="2"/>
        <v>-4</v>
      </c>
    </row>
    <row r="27" spans="1:12" x14ac:dyDescent="0.25">
      <c r="A27" s="36">
        <v>26</v>
      </c>
      <c r="B27" s="36" t="s">
        <v>54</v>
      </c>
      <c r="C27" s="38">
        <f>VLOOKUP(B:B,Courts!B:C,2,FALSE())</f>
        <v>3</v>
      </c>
      <c r="D27" s="38">
        <f>VLOOKUP(B:B,Courts!B:E,4,FALSE())</f>
        <v>1</v>
      </c>
      <c r="E27" s="38">
        <f>VLOOKUP(B:B,Courts!B:D,3,FALSE())</f>
        <v>0</v>
      </c>
      <c r="F27" s="18">
        <v>4</v>
      </c>
      <c r="G27" s="18">
        <v>0</v>
      </c>
      <c r="H27" s="18">
        <v>1</v>
      </c>
      <c r="I27" s="18">
        <v>0</v>
      </c>
      <c r="J27" s="18">
        <f t="shared" si="0"/>
        <v>5</v>
      </c>
      <c r="K27" s="18">
        <f t="shared" si="1"/>
        <v>4</v>
      </c>
      <c r="L27" s="18">
        <f t="shared" si="2"/>
        <v>1</v>
      </c>
    </row>
    <row r="28" spans="1:12" x14ac:dyDescent="0.25">
      <c r="A28" s="36">
        <v>27</v>
      </c>
      <c r="B28" s="36" t="s">
        <v>55</v>
      </c>
      <c r="C28" s="38">
        <f>VLOOKUP(B:B,Courts!B:C,2,FALSE())</f>
        <v>5</v>
      </c>
      <c r="D28" s="38">
        <f>VLOOKUP(B:B,Courts!B:E,4,FALSE())</f>
        <v>1</v>
      </c>
      <c r="E28" s="38">
        <f>VLOOKUP(B:B,Courts!B:D,3,FALSE())</f>
        <v>0</v>
      </c>
      <c r="F28" s="18">
        <v>4</v>
      </c>
      <c r="G28" s="18">
        <v>0</v>
      </c>
      <c r="H28" s="18">
        <v>1</v>
      </c>
      <c r="I28" s="18">
        <v>0</v>
      </c>
      <c r="J28" s="18">
        <f t="shared" si="0"/>
        <v>5</v>
      </c>
      <c r="K28" s="18">
        <f t="shared" si="1"/>
        <v>6</v>
      </c>
      <c r="L28" s="18">
        <f t="shared" si="2"/>
        <v>-1</v>
      </c>
    </row>
    <row r="29" spans="1:12" x14ac:dyDescent="0.25">
      <c r="A29" s="36">
        <v>28</v>
      </c>
      <c r="B29" s="37" t="s">
        <v>56</v>
      </c>
      <c r="C29" s="38">
        <f>VLOOKUP(B:B,Courts!B:C,2,FALSE())</f>
        <v>10</v>
      </c>
      <c r="D29" s="38">
        <f>VLOOKUP(B:B,Courts!B:E,4,FALSE())</f>
        <v>0</v>
      </c>
      <c r="E29" s="38">
        <f>VLOOKUP(B:B,Courts!B:D,3,FALSE())</f>
        <v>0</v>
      </c>
      <c r="F29" s="18">
        <v>12</v>
      </c>
      <c r="G29" s="18">
        <v>0</v>
      </c>
      <c r="H29" s="18">
        <v>2</v>
      </c>
      <c r="I29" s="18">
        <v>0</v>
      </c>
      <c r="J29" s="18">
        <f t="shared" si="0"/>
        <v>14</v>
      </c>
      <c r="K29" s="18">
        <f t="shared" si="1"/>
        <v>10</v>
      </c>
      <c r="L29" s="18">
        <f t="shared" si="2"/>
        <v>4</v>
      </c>
    </row>
    <row r="30" spans="1:12" x14ac:dyDescent="0.25">
      <c r="A30" s="36">
        <v>29</v>
      </c>
      <c r="B30" s="36" t="s">
        <v>57</v>
      </c>
      <c r="C30" s="38">
        <f>VLOOKUP(B:B,Courts!B:C,2,FALSE())</f>
        <v>4</v>
      </c>
      <c r="D30" s="38">
        <f>VLOOKUP(B:B,Courts!B:E,4,FALSE())</f>
        <v>1</v>
      </c>
      <c r="E30" s="38">
        <f>VLOOKUP(B:B,Courts!B:D,3,FALSE())</f>
        <v>0</v>
      </c>
      <c r="F30" s="18">
        <v>3</v>
      </c>
      <c r="G30" s="18">
        <v>0</v>
      </c>
      <c r="H30" s="18">
        <v>2</v>
      </c>
      <c r="I30" s="18">
        <v>0</v>
      </c>
      <c r="J30" s="18">
        <f t="shared" si="0"/>
        <v>5</v>
      </c>
      <c r="K30" s="18">
        <f t="shared" si="1"/>
        <v>5</v>
      </c>
      <c r="L30" s="18">
        <f t="shared" si="2"/>
        <v>0</v>
      </c>
    </row>
    <row r="31" spans="1:12" x14ac:dyDescent="0.25">
      <c r="A31" s="36">
        <v>30</v>
      </c>
      <c r="B31" s="36" t="s">
        <v>58</v>
      </c>
      <c r="C31" s="38">
        <f>VLOOKUP(B:B,Courts!B:C,2,FALSE())</f>
        <v>3</v>
      </c>
      <c r="D31" s="38">
        <f>VLOOKUP(B:B,Courts!B:E,4,FALSE())</f>
        <v>1</v>
      </c>
      <c r="E31" s="38">
        <f>VLOOKUP(B:B,Courts!B:D,3,FALSE())</f>
        <v>0</v>
      </c>
      <c r="F31" s="18">
        <v>2</v>
      </c>
      <c r="G31" s="18">
        <v>0</v>
      </c>
      <c r="H31" s="18">
        <v>1</v>
      </c>
      <c r="I31" s="18">
        <v>0</v>
      </c>
      <c r="J31" s="18">
        <f t="shared" si="0"/>
        <v>3</v>
      </c>
      <c r="K31" s="18">
        <f t="shared" si="1"/>
        <v>4</v>
      </c>
      <c r="L31" s="18">
        <f t="shared" si="2"/>
        <v>-1</v>
      </c>
    </row>
    <row r="32" spans="1:12" x14ac:dyDescent="0.25">
      <c r="A32" s="36">
        <v>31</v>
      </c>
      <c r="B32" s="36" t="s">
        <v>59</v>
      </c>
      <c r="C32" s="38">
        <f>VLOOKUP(B:B,Courts!B:C,2,FALSE())</f>
        <v>1</v>
      </c>
      <c r="D32" s="38">
        <f>VLOOKUP(B:B,Courts!B:E,4,FALSE())</f>
        <v>1</v>
      </c>
      <c r="E32" s="38">
        <f>VLOOKUP(B:B,Courts!B:D,3,FALSE())</f>
        <v>0</v>
      </c>
      <c r="F32" s="18">
        <v>0</v>
      </c>
      <c r="G32" s="18">
        <v>0</v>
      </c>
      <c r="H32" s="18">
        <v>2</v>
      </c>
      <c r="I32" s="18">
        <v>0</v>
      </c>
      <c r="J32" s="18">
        <f t="shared" si="0"/>
        <v>2</v>
      </c>
      <c r="K32" s="18">
        <f t="shared" si="1"/>
        <v>2</v>
      </c>
      <c r="L32" s="18">
        <f t="shared" si="2"/>
        <v>0</v>
      </c>
    </row>
    <row r="33" spans="1:12" x14ac:dyDescent="0.25">
      <c r="A33" s="36">
        <v>32</v>
      </c>
      <c r="B33" s="37" t="s">
        <v>60</v>
      </c>
      <c r="C33" s="38">
        <f>VLOOKUP(B:B,Courts!B:C,2,FALSE())</f>
        <v>73</v>
      </c>
      <c r="D33" s="38">
        <f>VLOOKUP(B:B,Courts!B:E,4,FALSE())</f>
        <v>0</v>
      </c>
      <c r="E33" s="38">
        <f>VLOOKUP(B:B,Courts!B:D,3,FALSE())</f>
        <v>0</v>
      </c>
      <c r="F33" s="18">
        <v>56</v>
      </c>
      <c r="G33" s="18">
        <v>0</v>
      </c>
      <c r="H33" s="18">
        <v>9</v>
      </c>
      <c r="I33" s="18">
        <v>9</v>
      </c>
      <c r="J33" s="18">
        <f t="shared" si="0"/>
        <v>74</v>
      </c>
      <c r="K33" s="18">
        <f t="shared" si="1"/>
        <v>73</v>
      </c>
      <c r="L33" s="18">
        <f t="shared" si="2"/>
        <v>1</v>
      </c>
    </row>
    <row r="34" spans="1:12" x14ac:dyDescent="0.25">
      <c r="A34" s="36">
        <v>33</v>
      </c>
      <c r="B34" s="36" t="s">
        <v>61</v>
      </c>
      <c r="C34" s="38">
        <f>VLOOKUP(B:B,Courts!B:C,2,FALSE())</f>
        <v>3</v>
      </c>
      <c r="D34" s="38">
        <f>VLOOKUP(B:B,Courts!B:E,4,FALSE())</f>
        <v>1</v>
      </c>
      <c r="E34" s="38">
        <f>VLOOKUP(B:B,Courts!B:D,3,FALSE())</f>
        <v>0</v>
      </c>
      <c r="F34" s="18">
        <v>3</v>
      </c>
      <c r="G34" s="18">
        <v>0</v>
      </c>
      <c r="H34" s="18">
        <v>1</v>
      </c>
      <c r="I34" s="18">
        <v>0</v>
      </c>
      <c r="J34" s="18">
        <f t="shared" si="0"/>
        <v>4</v>
      </c>
      <c r="K34" s="18">
        <f t="shared" si="1"/>
        <v>4</v>
      </c>
      <c r="L34" s="18">
        <f t="shared" si="2"/>
        <v>0</v>
      </c>
    </row>
    <row r="35" spans="1:12" x14ac:dyDescent="0.25">
      <c r="A35" s="36">
        <v>34</v>
      </c>
      <c r="B35" s="36" t="s">
        <v>62</v>
      </c>
      <c r="C35" s="38">
        <f>VLOOKUP(B:B,Courts!B:C,2,FALSE())</f>
        <v>4</v>
      </c>
      <c r="D35" s="38">
        <f>VLOOKUP(B:B,Courts!B:E,4,FALSE())</f>
        <v>1</v>
      </c>
      <c r="E35" s="38">
        <f>VLOOKUP(B:B,Courts!B:D,3,FALSE())</f>
        <v>0</v>
      </c>
      <c r="F35" s="18">
        <v>3</v>
      </c>
      <c r="G35" s="18">
        <v>0</v>
      </c>
      <c r="H35" s="18">
        <v>2</v>
      </c>
      <c r="I35" s="18">
        <v>0</v>
      </c>
      <c r="J35" s="18">
        <f t="shared" si="0"/>
        <v>5</v>
      </c>
      <c r="K35" s="18">
        <f t="shared" si="1"/>
        <v>5</v>
      </c>
      <c r="L35" s="18">
        <f t="shared" si="2"/>
        <v>0</v>
      </c>
    </row>
    <row r="36" spans="1:12" x14ac:dyDescent="0.25">
      <c r="A36" s="36">
        <v>35</v>
      </c>
      <c r="B36" s="36" t="s">
        <v>63</v>
      </c>
      <c r="C36" s="38">
        <f>VLOOKUP(B:B,Courts!B:C,2,FALSE())</f>
        <v>6</v>
      </c>
      <c r="D36" s="38">
        <f>VLOOKUP(B:B,Courts!B:E,4,FALSE())</f>
        <v>1</v>
      </c>
      <c r="E36" s="38">
        <f>VLOOKUP(B:B,Courts!B:D,3,FALSE())</f>
        <v>0</v>
      </c>
      <c r="F36" s="18">
        <v>5</v>
      </c>
      <c r="G36" s="18">
        <v>0</v>
      </c>
      <c r="H36" s="18">
        <v>0</v>
      </c>
      <c r="I36" s="18">
        <v>1</v>
      </c>
      <c r="J36" s="18">
        <f t="shared" si="0"/>
        <v>6</v>
      </c>
      <c r="K36" s="18">
        <f t="shared" si="1"/>
        <v>7</v>
      </c>
      <c r="L36" s="18">
        <f t="shared" si="2"/>
        <v>-1</v>
      </c>
    </row>
    <row r="37" spans="1:12" x14ac:dyDescent="0.25">
      <c r="A37" s="36">
        <v>36</v>
      </c>
      <c r="B37" s="36" t="s">
        <v>64</v>
      </c>
      <c r="C37" s="38">
        <f>VLOOKUP(B:B,Courts!B:C,2,FALSE())</f>
        <v>3</v>
      </c>
      <c r="D37" s="38">
        <f>VLOOKUP(B:B,Courts!B:E,4,FALSE())</f>
        <v>1</v>
      </c>
      <c r="E37" s="38">
        <f>VLOOKUP(B:B,Courts!B:D,3,FALSE())</f>
        <v>0</v>
      </c>
      <c r="F37" s="18">
        <v>2</v>
      </c>
      <c r="G37" s="18">
        <v>0</v>
      </c>
      <c r="H37" s="18">
        <v>1</v>
      </c>
      <c r="I37" s="18">
        <v>1</v>
      </c>
      <c r="J37" s="18">
        <f t="shared" si="0"/>
        <v>4</v>
      </c>
      <c r="K37" s="18">
        <f t="shared" si="1"/>
        <v>4</v>
      </c>
      <c r="L37" s="18">
        <f t="shared" si="2"/>
        <v>0</v>
      </c>
    </row>
    <row r="38" spans="1:12" x14ac:dyDescent="0.25">
      <c r="A38" s="36">
        <v>37</v>
      </c>
      <c r="B38" s="37" t="s">
        <v>65</v>
      </c>
      <c r="C38" s="38">
        <f>VLOOKUP(B:B,Courts!B:C,2,FALSE())</f>
        <v>10</v>
      </c>
      <c r="D38" s="38">
        <f>VLOOKUP(B:B,Courts!B:E,4,FALSE())</f>
        <v>0</v>
      </c>
      <c r="E38" s="38">
        <f>VLOOKUP(B:B,Courts!B:D,3,FALSE())</f>
        <v>0</v>
      </c>
      <c r="F38" s="18">
        <v>7</v>
      </c>
      <c r="G38" s="18">
        <v>0</v>
      </c>
      <c r="H38" s="18">
        <v>2</v>
      </c>
      <c r="I38" s="18">
        <v>0</v>
      </c>
      <c r="J38" s="18">
        <f t="shared" si="0"/>
        <v>9</v>
      </c>
      <c r="K38" s="18">
        <f t="shared" si="1"/>
        <v>10</v>
      </c>
      <c r="L38" s="18">
        <f t="shared" si="2"/>
        <v>-1</v>
      </c>
    </row>
    <row r="39" spans="1:12" x14ac:dyDescent="0.25">
      <c r="A39" s="36">
        <v>38</v>
      </c>
      <c r="B39" s="36" t="s">
        <v>66</v>
      </c>
      <c r="C39" s="38">
        <f>VLOOKUP(B:B,Courts!B:C,2,FALSE())</f>
        <v>2</v>
      </c>
      <c r="D39" s="38">
        <f>VLOOKUP(B:B,Courts!B:E,4,FALSE())</f>
        <v>1</v>
      </c>
      <c r="E39" s="38">
        <f>VLOOKUP(B:B,Courts!B:D,3,FALSE())</f>
        <v>0</v>
      </c>
      <c r="F39" s="18">
        <v>1</v>
      </c>
      <c r="G39" s="18">
        <v>0</v>
      </c>
      <c r="H39" s="18">
        <v>2</v>
      </c>
      <c r="I39" s="18">
        <v>0</v>
      </c>
      <c r="J39" s="18">
        <f t="shared" si="0"/>
        <v>3</v>
      </c>
      <c r="K39" s="18">
        <f t="shared" si="1"/>
        <v>3</v>
      </c>
      <c r="L39" s="18">
        <f t="shared" si="2"/>
        <v>0</v>
      </c>
    </row>
    <row r="40" spans="1:12" x14ac:dyDescent="0.25">
      <c r="A40" s="36">
        <v>39</v>
      </c>
      <c r="B40" s="36" t="s">
        <v>67</v>
      </c>
      <c r="C40" s="38">
        <f>VLOOKUP(B:B,Courts!B:C,2,FALSE())</f>
        <v>3</v>
      </c>
      <c r="D40" s="38">
        <f>VLOOKUP(B:B,Courts!B:E,4,FALSE())</f>
        <v>1</v>
      </c>
      <c r="E40" s="38">
        <f>VLOOKUP(B:B,Courts!B:D,3,FALSE())</f>
        <v>0</v>
      </c>
      <c r="F40" s="18">
        <v>2</v>
      </c>
      <c r="G40" s="18">
        <v>0</v>
      </c>
      <c r="H40" s="18">
        <v>1</v>
      </c>
      <c r="I40" s="18">
        <v>0</v>
      </c>
      <c r="J40" s="18">
        <f t="shared" si="0"/>
        <v>3</v>
      </c>
      <c r="K40" s="18">
        <f t="shared" si="1"/>
        <v>4</v>
      </c>
      <c r="L40" s="18">
        <f t="shared" si="2"/>
        <v>-1</v>
      </c>
    </row>
    <row r="41" spans="1:12" x14ac:dyDescent="0.25">
      <c r="A41" s="36">
        <v>40</v>
      </c>
      <c r="B41" s="37" t="s">
        <v>68</v>
      </c>
      <c r="C41" s="38">
        <f>VLOOKUP(B:B,Courts!B:C,2,FALSE())</f>
        <v>15</v>
      </c>
      <c r="D41" s="38">
        <f>VLOOKUP(B:B,Courts!B:E,4,FALSE())</f>
        <v>0</v>
      </c>
      <c r="E41" s="38">
        <f>VLOOKUP(B:B,Courts!B:D,3,FALSE())</f>
        <v>0</v>
      </c>
      <c r="F41" s="18">
        <v>13</v>
      </c>
      <c r="G41" s="18">
        <v>0</v>
      </c>
      <c r="H41" s="18">
        <v>0</v>
      </c>
      <c r="I41" s="18">
        <v>0</v>
      </c>
      <c r="J41" s="18">
        <f t="shared" si="0"/>
        <v>13</v>
      </c>
      <c r="K41" s="18">
        <f t="shared" si="1"/>
        <v>15</v>
      </c>
      <c r="L41" s="18">
        <f t="shared" si="2"/>
        <v>-2</v>
      </c>
    </row>
    <row r="42" spans="1:12" x14ac:dyDescent="0.25">
      <c r="A42" s="36">
        <v>41</v>
      </c>
      <c r="B42" s="36" t="s">
        <v>69</v>
      </c>
      <c r="C42" s="38">
        <f>VLOOKUP(B:B,Courts!B:C,2,FALSE())</f>
        <v>2</v>
      </c>
      <c r="D42" s="38">
        <f>VLOOKUP(B:B,Courts!B:E,4,FALSE())</f>
        <v>1</v>
      </c>
      <c r="E42" s="38">
        <f>VLOOKUP(B:B,Courts!B:D,3,FALSE())</f>
        <v>0</v>
      </c>
      <c r="F42" s="18">
        <v>1</v>
      </c>
      <c r="G42" s="18">
        <v>0</v>
      </c>
      <c r="H42" s="18">
        <v>1</v>
      </c>
      <c r="I42" s="18">
        <v>0</v>
      </c>
      <c r="J42" s="18">
        <f t="shared" si="0"/>
        <v>2</v>
      </c>
      <c r="K42" s="18">
        <f t="shared" si="1"/>
        <v>3</v>
      </c>
      <c r="L42" s="18">
        <f t="shared" si="2"/>
        <v>-1</v>
      </c>
    </row>
    <row r="43" spans="1:12" x14ac:dyDescent="0.25">
      <c r="A43" s="36">
        <v>42</v>
      </c>
      <c r="B43" s="36" t="s">
        <v>70</v>
      </c>
      <c r="C43" s="38">
        <f>VLOOKUP(B:B,Courts!B:C,2,FALSE())</f>
        <v>2</v>
      </c>
      <c r="D43" s="38">
        <f>VLOOKUP(B:B,Courts!B:E,4,FALSE())</f>
        <v>1</v>
      </c>
      <c r="E43" s="38">
        <f>VLOOKUP(B:B,Courts!B:D,3,FALSE())</f>
        <v>0</v>
      </c>
      <c r="F43" s="18">
        <v>1</v>
      </c>
      <c r="G43" s="18">
        <v>0</v>
      </c>
      <c r="H43" s="18">
        <v>1</v>
      </c>
      <c r="I43" s="18">
        <v>1</v>
      </c>
      <c r="J43" s="18">
        <f t="shared" si="0"/>
        <v>3</v>
      </c>
      <c r="K43" s="18">
        <f t="shared" si="1"/>
        <v>3</v>
      </c>
      <c r="L43" s="18">
        <f t="shared" si="2"/>
        <v>0</v>
      </c>
    </row>
    <row r="44" spans="1:12" x14ac:dyDescent="0.25">
      <c r="A44" s="36">
        <v>43</v>
      </c>
      <c r="B44" s="36" t="s">
        <v>71</v>
      </c>
      <c r="C44" s="38">
        <f>VLOOKUP(B:B,Courts!B:C,2,FALSE())</f>
        <v>0</v>
      </c>
      <c r="D44" s="38">
        <f>VLOOKUP(B:B,Courts!B:E,4,FALSE())</f>
        <v>1</v>
      </c>
      <c r="E44" s="38">
        <f>VLOOKUP(B:B,Courts!B:D,3,FALSE())</f>
        <v>0</v>
      </c>
      <c r="F44" s="18">
        <v>0</v>
      </c>
      <c r="G44" s="18">
        <v>0</v>
      </c>
      <c r="H44" s="18">
        <v>1</v>
      </c>
      <c r="I44" s="18">
        <v>0</v>
      </c>
      <c r="J44" s="18">
        <f t="shared" si="0"/>
        <v>1</v>
      </c>
      <c r="K44" s="18">
        <f t="shared" si="1"/>
        <v>1</v>
      </c>
      <c r="L44" s="18">
        <f t="shared" si="2"/>
        <v>0</v>
      </c>
    </row>
    <row r="45" spans="1:12" x14ac:dyDescent="0.25">
      <c r="A45" s="36">
        <v>44</v>
      </c>
      <c r="B45" s="37" t="s">
        <v>72</v>
      </c>
      <c r="C45" s="38">
        <f>VLOOKUP(B:B,Courts!B:C,2,FALSE())</f>
        <v>13</v>
      </c>
      <c r="D45" s="38">
        <f>VLOOKUP(B:B,Courts!B:E,4,FALSE())</f>
        <v>0</v>
      </c>
      <c r="E45" s="38">
        <f>VLOOKUP(B:B,Courts!B:D,3,FALSE())</f>
        <v>0</v>
      </c>
      <c r="F45" s="18">
        <v>10</v>
      </c>
      <c r="G45" s="18">
        <v>0</v>
      </c>
      <c r="H45" s="18">
        <v>0</v>
      </c>
      <c r="I45" s="18">
        <v>0</v>
      </c>
      <c r="J45" s="18">
        <f t="shared" si="0"/>
        <v>10</v>
      </c>
      <c r="K45" s="18">
        <f t="shared" si="1"/>
        <v>13</v>
      </c>
      <c r="L45" s="18">
        <f t="shared" si="2"/>
        <v>-3</v>
      </c>
    </row>
    <row r="46" spans="1:12" x14ac:dyDescent="0.25">
      <c r="A46" s="36">
        <v>45</v>
      </c>
      <c r="B46" s="37" t="s">
        <v>73</v>
      </c>
      <c r="C46" s="38">
        <f>VLOOKUP(B:B,Courts!B:C,2,FALSE())</f>
        <v>35</v>
      </c>
      <c r="D46" s="38">
        <f>VLOOKUP(B:B,Courts!B:E,4,FALSE())</f>
        <v>0</v>
      </c>
      <c r="E46" s="38">
        <f>VLOOKUP(B:B,Courts!B:D,3,FALSE())</f>
        <v>0</v>
      </c>
      <c r="F46" s="18">
        <v>27</v>
      </c>
      <c r="G46" s="18">
        <v>0</v>
      </c>
      <c r="H46" s="18">
        <v>1</v>
      </c>
      <c r="I46" s="18">
        <v>1</v>
      </c>
      <c r="J46" s="18">
        <f t="shared" si="0"/>
        <v>29</v>
      </c>
      <c r="K46" s="18">
        <f t="shared" si="1"/>
        <v>35</v>
      </c>
      <c r="L46" s="18">
        <f t="shared" si="2"/>
        <v>-6</v>
      </c>
    </row>
    <row r="47" spans="1:12" x14ac:dyDescent="0.25">
      <c r="A47" s="36">
        <v>46</v>
      </c>
      <c r="B47" s="36" t="s">
        <v>74</v>
      </c>
      <c r="C47" s="38">
        <f>VLOOKUP(B:B,Courts!B:C,2,FALSE())</f>
        <v>5</v>
      </c>
      <c r="D47" s="38">
        <f>VLOOKUP(B:B,Courts!B:E,4,FALSE())</f>
        <v>1</v>
      </c>
      <c r="E47" s="38">
        <f>VLOOKUP(B:B,Courts!B:D,3,FALSE())</f>
        <v>0</v>
      </c>
      <c r="F47" s="18">
        <v>3</v>
      </c>
      <c r="G47" s="18">
        <v>0</v>
      </c>
      <c r="H47" s="18">
        <v>1</v>
      </c>
      <c r="I47" s="18">
        <v>1</v>
      </c>
      <c r="J47" s="18">
        <f t="shared" si="0"/>
        <v>5</v>
      </c>
      <c r="K47" s="18">
        <f t="shared" si="1"/>
        <v>6</v>
      </c>
      <c r="L47" s="18">
        <f t="shared" si="2"/>
        <v>-1</v>
      </c>
    </row>
    <row r="48" spans="1:12" x14ac:dyDescent="0.25">
      <c r="A48" s="36">
        <v>47</v>
      </c>
      <c r="B48" s="36" t="s">
        <v>75</v>
      </c>
      <c r="C48" s="38">
        <f>VLOOKUP(B:B,Courts!B:C,2,FALSE())</f>
        <v>6</v>
      </c>
      <c r="D48" s="38">
        <f>VLOOKUP(B:B,Courts!B:E,4,FALSE())</f>
        <v>1</v>
      </c>
      <c r="E48" s="38">
        <f>VLOOKUP(B:B,Courts!B:D,3,FALSE())</f>
        <v>0</v>
      </c>
      <c r="F48" s="18">
        <v>5</v>
      </c>
      <c r="G48" s="18">
        <v>0</v>
      </c>
      <c r="H48" s="18">
        <v>1</v>
      </c>
      <c r="I48" s="18">
        <v>1</v>
      </c>
      <c r="J48" s="18">
        <f t="shared" si="0"/>
        <v>7</v>
      </c>
      <c r="K48" s="18">
        <f t="shared" si="1"/>
        <v>7</v>
      </c>
      <c r="L48" s="18">
        <f t="shared" si="2"/>
        <v>0</v>
      </c>
    </row>
    <row r="49" spans="1:12" x14ac:dyDescent="0.25">
      <c r="A49" s="36">
        <v>48</v>
      </c>
      <c r="B49" s="36" t="s">
        <v>76</v>
      </c>
      <c r="C49" s="38">
        <f>VLOOKUP(B:B,Courts!B:C,2,FALSE())</f>
        <v>6</v>
      </c>
      <c r="D49" s="38">
        <f>VLOOKUP(B:B,Courts!B:E,4,FALSE())</f>
        <v>1</v>
      </c>
      <c r="E49" s="38">
        <f>VLOOKUP(B:B,Courts!B:D,3,FALSE())</f>
        <v>0</v>
      </c>
      <c r="F49" s="18">
        <v>3</v>
      </c>
      <c r="G49" s="18">
        <v>0</v>
      </c>
      <c r="H49" s="18">
        <v>2</v>
      </c>
      <c r="I49" s="18">
        <v>0</v>
      </c>
      <c r="J49" s="18">
        <f t="shared" si="0"/>
        <v>5</v>
      </c>
      <c r="K49" s="18">
        <f t="shared" si="1"/>
        <v>7</v>
      </c>
      <c r="L49" s="18">
        <f t="shared" si="2"/>
        <v>-2</v>
      </c>
    </row>
    <row r="50" spans="1:12" x14ac:dyDescent="0.25">
      <c r="A50" s="36">
        <v>49</v>
      </c>
      <c r="B50" s="37" t="s">
        <v>77</v>
      </c>
      <c r="C50" s="38">
        <f>VLOOKUP(B:B,Courts!B:C,2,FALSE())</f>
        <v>14</v>
      </c>
      <c r="D50" s="38">
        <f>VLOOKUP(B:B,Courts!B:E,4,FALSE())</f>
        <v>0</v>
      </c>
      <c r="E50" s="38">
        <f>VLOOKUP(B:B,Courts!B:D,3,FALSE())</f>
        <v>0</v>
      </c>
      <c r="F50" s="18">
        <v>14</v>
      </c>
      <c r="G50" s="18">
        <v>0</v>
      </c>
      <c r="H50" s="18">
        <v>0</v>
      </c>
      <c r="I50" s="18">
        <v>0</v>
      </c>
      <c r="J50" s="18">
        <f t="shared" si="0"/>
        <v>14</v>
      </c>
      <c r="K50" s="18">
        <f t="shared" si="1"/>
        <v>14</v>
      </c>
      <c r="L50" s="18">
        <f t="shared" si="2"/>
        <v>0</v>
      </c>
    </row>
    <row r="51" spans="1:12" x14ac:dyDescent="0.25">
      <c r="A51" s="36">
        <v>50</v>
      </c>
      <c r="B51" s="36" t="s">
        <v>78</v>
      </c>
      <c r="C51" s="38">
        <f>VLOOKUP(B:B,Courts!B:C,2,FALSE())</f>
        <v>3</v>
      </c>
      <c r="D51" s="38">
        <f>VLOOKUP(B:B,Courts!B:E,4,FALSE())</f>
        <v>1</v>
      </c>
      <c r="E51" s="38">
        <f>VLOOKUP(B:B,Courts!B:D,3,FALSE())</f>
        <v>0</v>
      </c>
      <c r="F51" s="18">
        <v>3</v>
      </c>
      <c r="G51" s="18">
        <v>0</v>
      </c>
      <c r="H51" s="18">
        <v>2</v>
      </c>
      <c r="I51" s="18">
        <v>0</v>
      </c>
      <c r="J51" s="18">
        <f t="shared" si="0"/>
        <v>5</v>
      </c>
      <c r="K51" s="18">
        <f t="shared" si="1"/>
        <v>4</v>
      </c>
      <c r="L51" s="18">
        <f t="shared" si="2"/>
        <v>1</v>
      </c>
    </row>
    <row r="52" spans="1:12" x14ac:dyDescent="0.25">
      <c r="A52" s="36">
        <v>51</v>
      </c>
      <c r="B52" s="36" t="s">
        <v>79</v>
      </c>
      <c r="C52" s="38">
        <f>VLOOKUP(B:B,Courts!B:C,2,FALSE())</f>
        <v>2</v>
      </c>
      <c r="D52" s="38">
        <f>VLOOKUP(B:B,Courts!B:E,4,FALSE())</f>
        <v>1</v>
      </c>
      <c r="E52" s="38">
        <f>VLOOKUP(B:B,Courts!B:D,3,FALSE())</f>
        <v>0</v>
      </c>
      <c r="F52" s="18">
        <v>0</v>
      </c>
      <c r="G52" s="18">
        <v>0</v>
      </c>
      <c r="H52" s="18">
        <v>2</v>
      </c>
      <c r="I52" s="18">
        <v>0</v>
      </c>
      <c r="J52" s="18">
        <f t="shared" si="0"/>
        <v>2</v>
      </c>
      <c r="K52" s="18">
        <f t="shared" si="1"/>
        <v>3</v>
      </c>
      <c r="L52" s="18">
        <f t="shared" si="2"/>
        <v>-1</v>
      </c>
    </row>
    <row r="53" spans="1:12" x14ac:dyDescent="0.25">
      <c r="A53" s="36">
        <v>52</v>
      </c>
      <c r="B53" s="36" t="s">
        <v>80</v>
      </c>
      <c r="C53" s="38">
        <f>VLOOKUP(B:B,Courts!B:C,2,FALSE())</f>
        <v>0</v>
      </c>
      <c r="D53" s="38">
        <f>VLOOKUP(B:B,Courts!B:E,4,FALSE())</f>
        <v>1</v>
      </c>
      <c r="E53" s="38">
        <f>VLOOKUP(B:B,Courts!B:D,3,FALSE())</f>
        <v>0</v>
      </c>
      <c r="F53" s="18">
        <v>0</v>
      </c>
      <c r="G53" s="18">
        <v>1</v>
      </c>
      <c r="H53" s="18">
        <v>1</v>
      </c>
      <c r="I53" s="18">
        <v>0</v>
      </c>
      <c r="J53" s="18">
        <f t="shared" si="0"/>
        <v>2</v>
      </c>
      <c r="K53" s="18">
        <f t="shared" si="1"/>
        <v>1</v>
      </c>
      <c r="L53" s="18">
        <f t="shared" si="2"/>
        <v>1</v>
      </c>
    </row>
    <row r="54" spans="1:12" x14ac:dyDescent="0.25">
      <c r="A54" s="36">
        <v>53</v>
      </c>
      <c r="B54" s="37" t="s">
        <v>81</v>
      </c>
      <c r="C54" s="38">
        <f>VLOOKUP(B:B,Courts!B:C,2,FALSE())</f>
        <v>22</v>
      </c>
      <c r="D54" s="38">
        <f>VLOOKUP(B:B,Courts!B:E,4,FALSE())</f>
        <v>0</v>
      </c>
      <c r="E54" s="38">
        <f>VLOOKUP(B:B,Courts!B:D,3,FALSE())</f>
        <v>0</v>
      </c>
      <c r="F54" s="18">
        <v>16</v>
      </c>
      <c r="G54" s="18">
        <v>0</v>
      </c>
      <c r="H54" s="18">
        <v>4</v>
      </c>
      <c r="I54" s="18">
        <v>0</v>
      </c>
      <c r="J54" s="18">
        <f t="shared" si="0"/>
        <v>20</v>
      </c>
      <c r="K54" s="18">
        <f t="shared" si="1"/>
        <v>22</v>
      </c>
      <c r="L54" s="18">
        <f t="shared" si="2"/>
        <v>-2</v>
      </c>
    </row>
    <row r="55" spans="1:12" x14ac:dyDescent="0.25">
      <c r="A55" s="36">
        <v>54</v>
      </c>
      <c r="B55" s="36" t="s">
        <v>82</v>
      </c>
      <c r="C55" s="38">
        <f>VLOOKUP(B:B,Courts!B:C,2,FALSE())</f>
        <v>9</v>
      </c>
      <c r="D55" s="38">
        <f>VLOOKUP(B:B,Courts!B:E,4,FALSE())</f>
        <v>1</v>
      </c>
      <c r="E55" s="38">
        <f>VLOOKUP(B:B,Courts!B:D,3,FALSE())</f>
        <v>0</v>
      </c>
      <c r="F55" s="18">
        <v>3</v>
      </c>
      <c r="G55" s="18">
        <v>0</v>
      </c>
      <c r="H55" s="18">
        <v>1</v>
      </c>
      <c r="I55" s="18">
        <v>0</v>
      </c>
      <c r="J55" s="18">
        <f t="shared" si="0"/>
        <v>4</v>
      </c>
      <c r="K55" s="18">
        <f t="shared" si="1"/>
        <v>10</v>
      </c>
      <c r="L55" s="18">
        <f t="shared" si="2"/>
        <v>-6</v>
      </c>
    </row>
    <row r="56" spans="1:12" x14ac:dyDescent="0.25">
      <c r="A56" s="36">
        <v>55</v>
      </c>
      <c r="B56" s="36" t="s">
        <v>83</v>
      </c>
      <c r="C56" s="38">
        <f>VLOOKUP(B:B,Courts!B:C,2,FALSE())</f>
        <v>8</v>
      </c>
      <c r="D56" s="38">
        <f>VLOOKUP(B:B,Courts!B:E,4,FALSE())</f>
        <v>1</v>
      </c>
      <c r="E56" s="38">
        <f>VLOOKUP(B:B,Courts!B:D,3,FALSE())</f>
        <v>0</v>
      </c>
      <c r="F56" s="18">
        <v>5</v>
      </c>
      <c r="G56" s="18">
        <v>0</v>
      </c>
      <c r="H56" s="18">
        <v>0</v>
      </c>
      <c r="I56" s="18">
        <v>0</v>
      </c>
      <c r="J56" s="18">
        <f t="shared" si="0"/>
        <v>5</v>
      </c>
      <c r="K56" s="18">
        <f t="shared" si="1"/>
        <v>9</v>
      </c>
      <c r="L56" s="18">
        <f t="shared" si="2"/>
        <v>-4</v>
      </c>
    </row>
    <row r="57" spans="1:12" x14ac:dyDescent="0.25">
      <c r="A57" s="36">
        <v>56</v>
      </c>
      <c r="B57" s="37" t="s">
        <v>84</v>
      </c>
      <c r="C57" s="38">
        <f>VLOOKUP(B:B,Courts!B:C,2,FALSE())</f>
        <v>17</v>
      </c>
      <c r="D57" s="38">
        <f>VLOOKUP(B:B,Courts!B:E,4,FALSE())</f>
        <v>0</v>
      </c>
      <c r="E57" s="38">
        <f>VLOOKUP(B:B,Courts!B:D,3,FALSE())</f>
        <v>0</v>
      </c>
      <c r="F57" s="18">
        <v>2</v>
      </c>
      <c r="G57" s="18">
        <v>0</v>
      </c>
      <c r="H57" s="18">
        <v>4</v>
      </c>
      <c r="I57" s="18">
        <v>0</v>
      </c>
      <c r="J57" s="18">
        <f t="shared" si="0"/>
        <v>6</v>
      </c>
      <c r="K57" s="18">
        <f t="shared" si="1"/>
        <v>17</v>
      </c>
      <c r="L57" s="18">
        <f t="shared" si="2"/>
        <v>-11</v>
      </c>
    </row>
    <row r="58" spans="1:12" x14ac:dyDescent="0.25">
      <c r="A58" s="36">
        <v>57</v>
      </c>
      <c r="B58" s="36" t="s">
        <v>85</v>
      </c>
      <c r="C58" s="38">
        <f>VLOOKUP(B:B,Courts!B:C,2,FALSE())</f>
        <v>7</v>
      </c>
      <c r="D58" s="38">
        <f>VLOOKUP(B:B,Courts!B:E,4,FALSE())</f>
        <v>1</v>
      </c>
      <c r="E58" s="38">
        <f>VLOOKUP(B:B,Courts!B:D,3,FALSE())</f>
        <v>0</v>
      </c>
      <c r="F58" s="18">
        <v>1</v>
      </c>
      <c r="G58" s="18">
        <v>0</v>
      </c>
      <c r="H58" s="18">
        <v>0</v>
      </c>
      <c r="I58" s="18">
        <v>0</v>
      </c>
      <c r="J58" s="18">
        <f t="shared" si="0"/>
        <v>1</v>
      </c>
      <c r="K58" s="18">
        <f t="shared" si="1"/>
        <v>8</v>
      </c>
      <c r="L58" s="18">
        <f t="shared" si="2"/>
        <v>-7</v>
      </c>
    </row>
    <row r="59" spans="1:12" x14ac:dyDescent="0.25">
      <c r="A59" s="36">
        <v>58</v>
      </c>
      <c r="B59" s="36" t="s">
        <v>86</v>
      </c>
      <c r="C59" s="38">
        <f>VLOOKUP(B:B,Courts!B:C,2,FALSE())</f>
        <v>5</v>
      </c>
      <c r="D59" s="38">
        <f>VLOOKUP(B:B,Courts!B:E,4,FALSE())</f>
        <v>1</v>
      </c>
      <c r="E59" s="38">
        <f>VLOOKUP(B:B,Courts!B:D,3,FALSE())</f>
        <v>0</v>
      </c>
      <c r="F59" s="18">
        <v>0</v>
      </c>
      <c r="G59" s="18">
        <v>0</v>
      </c>
      <c r="H59" s="18">
        <v>1</v>
      </c>
      <c r="I59" s="18">
        <v>0</v>
      </c>
      <c r="J59" s="18">
        <f t="shared" si="0"/>
        <v>1</v>
      </c>
      <c r="K59" s="18">
        <f t="shared" si="1"/>
        <v>6</v>
      </c>
      <c r="L59" s="18">
        <f t="shared" si="2"/>
        <v>-5</v>
      </c>
    </row>
    <row r="60" spans="1:12" x14ac:dyDescent="0.25">
      <c r="A60" s="36">
        <v>59</v>
      </c>
      <c r="B60" s="36" t="s">
        <v>87</v>
      </c>
      <c r="C60" s="38">
        <f>VLOOKUP(B:B,Courts!B:C,2,FALSE())</f>
        <v>3</v>
      </c>
      <c r="D60" s="38">
        <f>VLOOKUP(B:B,Courts!B:E,4,FALSE())</f>
        <v>1</v>
      </c>
      <c r="E60" s="38">
        <f>VLOOKUP(B:B,Courts!B:D,3,FALSE())</f>
        <v>0</v>
      </c>
      <c r="F60" s="18">
        <v>0</v>
      </c>
      <c r="G60" s="18">
        <v>0</v>
      </c>
      <c r="H60" s="18">
        <v>1</v>
      </c>
      <c r="I60" s="18">
        <v>0</v>
      </c>
      <c r="J60" s="18">
        <f t="shared" si="0"/>
        <v>1</v>
      </c>
      <c r="K60" s="18">
        <f t="shared" si="1"/>
        <v>4</v>
      </c>
      <c r="L60" s="18">
        <f t="shared" si="2"/>
        <v>-3</v>
      </c>
    </row>
    <row r="61" spans="1:12" x14ac:dyDescent="0.25">
      <c r="A61" s="36">
        <v>60</v>
      </c>
      <c r="B61" s="36" t="s">
        <v>88</v>
      </c>
      <c r="C61" s="38">
        <f>VLOOKUP(B:B,Courts!B:C,2,FALSE())</f>
        <v>5</v>
      </c>
      <c r="D61" s="38">
        <f>VLOOKUP(B:B,Courts!B:E,4,FALSE())</f>
        <v>1</v>
      </c>
      <c r="E61" s="38">
        <f>VLOOKUP(B:B,Courts!B:D,3,FALSE())</f>
        <v>0</v>
      </c>
      <c r="F61" s="18">
        <v>1</v>
      </c>
      <c r="G61" s="18">
        <v>0</v>
      </c>
      <c r="H61" s="18">
        <v>0</v>
      </c>
      <c r="I61" s="18">
        <v>0</v>
      </c>
      <c r="J61" s="18">
        <f t="shared" si="0"/>
        <v>1</v>
      </c>
      <c r="K61" s="18">
        <f t="shared" si="1"/>
        <v>6</v>
      </c>
      <c r="L61" s="18">
        <f t="shared" si="2"/>
        <v>-5</v>
      </c>
    </row>
    <row r="62" spans="1:12" x14ac:dyDescent="0.25">
      <c r="A62" s="36">
        <v>61</v>
      </c>
      <c r="B62" s="37" t="s">
        <v>89</v>
      </c>
      <c r="C62" s="38">
        <f>VLOOKUP(B:B,Courts!B:C,2,FALSE())</f>
        <v>9</v>
      </c>
      <c r="D62" s="38">
        <f>VLOOKUP(B:B,Courts!B:E,4,FALSE())</f>
        <v>0</v>
      </c>
      <c r="E62" s="38">
        <f>VLOOKUP(B:B,Courts!B:D,3,FALSE())</f>
        <v>0</v>
      </c>
      <c r="F62" s="18">
        <v>6</v>
      </c>
      <c r="G62" s="18">
        <v>0</v>
      </c>
      <c r="H62" s="18">
        <v>2</v>
      </c>
      <c r="I62" s="18">
        <v>0</v>
      </c>
      <c r="J62" s="18">
        <f t="shared" si="0"/>
        <v>8</v>
      </c>
      <c r="K62" s="18">
        <f t="shared" si="1"/>
        <v>9</v>
      </c>
      <c r="L62" s="18">
        <f t="shared" si="2"/>
        <v>-1</v>
      </c>
    </row>
    <row r="63" spans="1:12" x14ac:dyDescent="0.25">
      <c r="A63" s="36">
        <v>62</v>
      </c>
      <c r="B63" s="36" t="s">
        <v>90</v>
      </c>
      <c r="C63" s="38">
        <f>VLOOKUP(B:B,Courts!B:C,2,FALSE())</f>
        <v>3</v>
      </c>
      <c r="D63" s="38">
        <f>VLOOKUP(B:B,Courts!B:E,4,FALSE())</f>
        <v>1</v>
      </c>
      <c r="E63" s="38">
        <f>VLOOKUP(B:B,Courts!B:D,3,FALSE())</f>
        <v>0</v>
      </c>
      <c r="F63" s="18">
        <v>2</v>
      </c>
      <c r="G63" s="18">
        <v>0</v>
      </c>
      <c r="H63" s="18">
        <v>1</v>
      </c>
      <c r="I63" s="18">
        <v>0</v>
      </c>
      <c r="J63" s="18">
        <f t="shared" si="0"/>
        <v>3</v>
      </c>
      <c r="K63" s="18">
        <f t="shared" si="1"/>
        <v>4</v>
      </c>
      <c r="L63" s="18">
        <f t="shared" si="2"/>
        <v>-1</v>
      </c>
    </row>
    <row r="64" spans="1:12" x14ac:dyDescent="0.25">
      <c r="A64" s="36">
        <v>63</v>
      </c>
      <c r="B64" s="36" t="s">
        <v>91</v>
      </c>
      <c r="C64" s="38">
        <f>VLOOKUP(B:B,Courts!B:C,2,FALSE())</f>
        <v>6</v>
      </c>
      <c r="D64" s="38">
        <f>VLOOKUP(B:B,Courts!B:E,4,FALSE())</f>
        <v>1</v>
      </c>
      <c r="E64" s="38">
        <f>VLOOKUP(B:B,Courts!B:D,3,FALSE())</f>
        <v>0</v>
      </c>
      <c r="F64" s="18">
        <v>3</v>
      </c>
      <c r="G64" s="18">
        <v>0</v>
      </c>
      <c r="H64" s="18">
        <v>0</v>
      </c>
      <c r="I64" s="18">
        <v>1</v>
      </c>
      <c r="J64" s="18">
        <f t="shared" si="0"/>
        <v>4</v>
      </c>
      <c r="K64" s="18">
        <f t="shared" si="1"/>
        <v>7</v>
      </c>
      <c r="L64" s="18">
        <f t="shared" si="2"/>
        <v>-3</v>
      </c>
    </row>
    <row r="65" spans="1:12" x14ac:dyDescent="0.25">
      <c r="A65" s="36">
        <v>64</v>
      </c>
      <c r="B65" s="37" t="s">
        <v>92</v>
      </c>
      <c r="C65" s="38">
        <f>VLOOKUP(B:B,Courts!B:C,2,FALSE())</f>
        <v>13</v>
      </c>
      <c r="D65" s="38">
        <f>VLOOKUP(B:B,Courts!B:E,4,FALSE())</f>
        <v>0</v>
      </c>
      <c r="E65" s="38">
        <f>VLOOKUP(B:B,Courts!B:D,3,FALSE())</f>
        <v>0</v>
      </c>
      <c r="F65" s="18">
        <v>10</v>
      </c>
      <c r="G65" s="18">
        <v>0</v>
      </c>
      <c r="H65" s="18">
        <v>0</v>
      </c>
      <c r="I65" s="18">
        <v>2</v>
      </c>
      <c r="J65" s="18">
        <f t="shared" si="0"/>
        <v>12</v>
      </c>
      <c r="K65" s="18">
        <f t="shared" si="1"/>
        <v>13</v>
      </c>
      <c r="L65" s="18">
        <f t="shared" si="2"/>
        <v>-1</v>
      </c>
    </row>
    <row r="66" spans="1:12" x14ac:dyDescent="0.25">
      <c r="A66" s="36">
        <v>65</v>
      </c>
      <c r="B66" s="36" t="s">
        <v>93</v>
      </c>
      <c r="C66" s="38">
        <f>VLOOKUP(B:B,Courts!B:C,2,FALSE())</f>
        <v>2</v>
      </c>
      <c r="D66" s="38">
        <f>VLOOKUP(B:B,Courts!B:E,4,FALSE())</f>
        <v>1</v>
      </c>
      <c r="E66" s="38">
        <f>VLOOKUP(B:B,Courts!B:D,3,FALSE())</f>
        <v>0</v>
      </c>
      <c r="F66" s="18">
        <v>1</v>
      </c>
      <c r="G66" s="18">
        <v>0</v>
      </c>
      <c r="H66" s="18">
        <v>2</v>
      </c>
      <c r="I66" s="18">
        <v>1</v>
      </c>
      <c r="J66" s="18">
        <f t="shared" si="0"/>
        <v>4</v>
      </c>
      <c r="K66" s="18">
        <f t="shared" si="1"/>
        <v>3</v>
      </c>
      <c r="L66" s="18">
        <f t="shared" si="2"/>
        <v>1</v>
      </c>
    </row>
    <row r="67" spans="1:12" x14ac:dyDescent="0.25">
      <c r="A67" s="36">
        <v>66</v>
      </c>
      <c r="B67" s="37" t="s">
        <v>94</v>
      </c>
      <c r="C67" s="38">
        <f>VLOOKUP(B:B,Courts!B:C,2,FALSE())</f>
        <v>10</v>
      </c>
      <c r="D67" s="38">
        <f>VLOOKUP(B:B,Courts!B:E,4,FALSE())</f>
        <v>0</v>
      </c>
      <c r="E67" s="38">
        <f>VLOOKUP(B:B,Courts!B:D,3,FALSE())</f>
        <v>0</v>
      </c>
      <c r="F67" s="18">
        <v>10</v>
      </c>
      <c r="G67" s="18">
        <v>0</v>
      </c>
      <c r="H67" s="18">
        <v>0</v>
      </c>
      <c r="I67" s="18">
        <v>2</v>
      </c>
      <c r="J67" s="18">
        <f t="shared" ref="J67:J131" si="3">SUM(F67:I67)</f>
        <v>12</v>
      </c>
      <c r="K67" s="18">
        <f t="shared" ref="K67:K131" si="4">SUM(C67:E67)*1</f>
        <v>10</v>
      </c>
      <c r="L67" s="18">
        <f t="shared" ref="L67:L131" si="5">J67-K67</f>
        <v>2</v>
      </c>
    </row>
    <row r="68" spans="1:12" x14ac:dyDescent="0.25">
      <c r="A68" s="36">
        <v>67</v>
      </c>
      <c r="B68" s="36" t="s">
        <v>95</v>
      </c>
      <c r="C68" s="38">
        <f>VLOOKUP(B:B,Courts!B:C,2,FALSE())</f>
        <v>6</v>
      </c>
      <c r="D68" s="38">
        <f>VLOOKUP(B:B,Courts!B:E,4,FALSE())</f>
        <v>1</v>
      </c>
      <c r="E68" s="38">
        <f>VLOOKUP(B:B,Courts!B:D,3,FALSE())</f>
        <v>0</v>
      </c>
      <c r="F68" s="18">
        <v>3</v>
      </c>
      <c r="G68" s="18">
        <v>0</v>
      </c>
      <c r="H68" s="18">
        <v>1</v>
      </c>
      <c r="I68" s="18">
        <v>0</v>
      </c>
      <c r="J68" s="18">
        <f t="shared" si="3"/>
        <v>4</v>
      </c>
      <c r="K68" s="18">
        <f t="shared" si="4"/>
        <v>7</v>
      </c>
      <c r="L68" s="18">
        <f t="shared" si="5"/>
        <v>-3</v>
      </c>
    </row>
    <row r="69" spans="1:12" x14ac:dyDescent="0.25">
      <c r="A69" s="36">
        <v>68</v>
      </c>
      <c r="B69" s="36" t="s">
        <v>96</v>
      </c>
      <c r="C69" s="38">
        <f>VLOOKUP(B:B,Courts!B:C,2,FALSE())</f>
        <v>2</v>
      </c>
      <c r="D69" s="38">
        <f>VLOOKUP(B:B,Courts!B:E,4,FALSE())</f>
        <v>1</v>
      </c>
      <c r="E69" s="38">
        <f>VLOOKUP(B:B,Courts!B:D,3,FALSE())</f>
        <v>0</v>
      </c>
      <c r="F69" s="18">
        <v>1</v>
      </c>
      <c r="G69" s="18">
        <v>0</v>
      </c>
      <c r="H69" s="18">
        <v>1</v>
      </c>
      <c r="I69" s="18">
        <v>0</v>
      </c>
      <c r="J69" s="18">
        <f t="shared" si="3"/>
        <v>2</v>
      </c>
      <c r="K69" s="18">
        <f t="shared" si="4"/>
        <v>3</v>
      </c>
      <c r="L69" s="18">
        <f t="shared" si="5"/>
        <v>-1</v>
      </c>
    </row>
    <row r="70" spans="1:12" x14ac:dyDescent="0.25">
      <c r="A70" s="36">
        <v>69</v>
      </c>
      <c r="B70" s="37" t="s">
        <v>97</v>
      </c>
      <c r="C70" s="38">
        <f>VLOOKUP(B:B,Courts!B:C,2,FALSE())</f>
        <v>28</v>
      </c>
      <c r="D70" s="38">
        <f>VLOOKUP(B:B,Courts!B:E,4,FALSE())</f>
        <v>0</v>
      </c>
      <c r="E70" s="38">
        <f>VLOOKUP(B:B,Courts!B:D,3,FALSE())</f>
        <v>0</v>
      </c>
      <c r="F70" s="18">
        <v>31</v>
      </c>
      <c r="G70" s="18">
        <v>0</v>
      </c>
      <c r="H70" s="18">
        <v>0</v>
      </c>
      <c r="I70" s="18">
        <v>0</v>
      </c>
      <c r="J70" s="18">
        <f t="shared" si="3"/>
        <v>31</v>
      </c>
      <c r="K70" s="18">
        <f t="shared" si="4"/>
        <v>28</v>
      </c>
      <c r="L70" s="18">
        <f t="shared" si="5"/>
        <v>3</v>
      </c>
    </row>
    <row r="71" spans="1:12" x14ac:dyDescent="0.25">
      <c r="A71" s="36">
        <v>70</v>
      </c>
      <c r="B71" s="37" t="s">
        <v>98</v>
      </c>
      <c r="C71" s="38">
        <f>VLOOKUP(B:B,Courts!B:C,2,FALSE())</f>
        <v>22</v>
      </c>
      <c r="D71" s="38">
        <f>VLOOKUP(B:B,Courts!B:E,4,FALSE())</f>
        <v>0</v>
      </c>
      <c r="E71" s="38">
        <f>VLOOKUP(B:B,Courts!B:D,3,FALSE())</f>
        <v>5</v>
      </c>
      <c r="F71" s="18">
        <v>19</v>
      </c>
      <c r="G71" s="18">
        <v>0</v>
      </c>
      <c r="H71" s="18">
        <v>0</v>
      </c>
      <c r="I71" s="18">
        <v>7</v>
      </c>
      <c r="J71" s="18">
        <f t="shared" si="3"/>
        <v>26</v>
      </c>
      <c r="K71" s="18">
        <f t="shared" si="4"/>
        <v>27</v>
      </c>
      <c r="L71" s="18">
        <f t="shared" si="5"/>
        <v>-1</v>
      </c>
    </row>
    <row r="72" spans="1:12" x14ac:dyDescent="0.25">
      <c r="A72" s="36">
        <v>71</v>
      </c>
      <c r="B72" s="36" t="s">
        <v>99</v>
      </c>
      <c r="C72" s="38">
        <f>VLOOKUP(B:B,Courts!B:C,2,FALSE())</f>
        <v>2</v>
      </c>
      <c r="D72" s="38">
        <f>VLOOKUP(B:B,Courts!B:E,4,FALSE())</f>
        <v>1</v>
      </c>
      <c r="E72" s="38">
        <f>VLOOKUP(B:B,Courts!B:D,3,FALSE())</f>
        <v>1</v>
      </c>
      <c r="F72" s="18">
        <v>3</v>
      </c>
      <c r="G72" s="18">
        <v>0</v>
      </c>
      <c r="H72" s="18">
        <v>0</v>
      </c>
      <c r="I72" s="18">
        <v>0</v>
      </c>
      <c r="J72" s="18">
        <f t="shared" si="3"/>
        <v>3</v>
      </c>
      <c r="K72" s="18">
        <f t="shared" si="4"/>
        <v>4</v>
      </c>
      <c r="L72" s="18">
        <f t="shared" si="5"/>
        <v>-1</v>
      </c>
    </row>
    <row r="73" spans="1:12" x14ac:dyDescent="0.25">
      <c r="A73" s="36">
        <v>72</v>
      </c>
      <c r="B73" s="37" t="s">
        <v>100</v>
      </c>
      <c r="C73" s="38">
        <f>VLOOKUP(B:B,Courts!B:C,2,FALSE())</f>
        <v>15</v>
      </c>
      <c r="D73" s="38">
        <f>VLOOKUP(B:B,Courts!B:E,4,FALSE())</f>
        <v>0</v>
      </c>
      <c r="E73" s="38">
        <f>VLOOKUP(B:B,Courts!B:D,3,FALSE())</f>
        <v>3</v>
      </c>
      <c r="F73" s="18">
        <v>16</v>
      </c>
      <c r="G73" s="18">
        <v>0</v>
      </c>
      <c r="H73" s="18">
        <v>0</v>
      </c>
      <c r="I73" s="18">
        <v>1</v>
      </c>
      <c r="J73" s="18">
        <f t="shared" si="3"/>
        <v>17</v>
      </c>
      <c r="K73" s="18">
        <f t="shared" si="4"/>
        <v>18</v>
      </c>
      <c r="L73" s="18">
        <f t="shared" si="5"/>
        <v>-1</v>
      </c>
    </row>
    <row r="74" spans="1:12" x14ac:dyDescent="0.25">
      <c r="A74" s="36">
        <v>73</v>
      </c>
      <c r="B74" s="36" t="s">
        <v>101</v>
      </c>
      <c r="C74" s="38">
        <f>VLOOKUP(B:B,Courts!B:C,2,FALSE())</f>
        <v>2</v>
      </c>
      <c r="D74" s="38">
        <f>VLOOKUP(B:B,Courts!B:E,4,FALSE())</f>
        <v>1</v>
      </c>
      <c r="E74" s="38">
        <f>VLOOKUP(B:B,Courts!B:D,3,FALSE())</f>
        <v>0</v>
      </c>
      <c r="F74" s="18">
        <v>1</v>
      </c>
      <c r="G74" s="18">
        <v>0</v>
      </c>
      <c r="H74" s="18">
        <v>1</v>
      </c>
      <c r="I74" s="18">
        <v>1</v>
      </c>
      <c r="J74" s="18">
        <f t="shared" si="3"/>
        <v>3</v>
      </c>
      <c r="K74" s="18">
        <f t="shared" si="4"/>
        <v>3</v>
      </c>
      <c r="L74" s="18">
        <f t="shared" si="5"/>
        <v>0</v>
      </c>
    </row>
    <row r="75" spans="1:12" x14ac:dyDescent="0.25">
      <c r="A75" s="36">
        <v>74</v>
      </c>
      <c r="B75" s="36" t="s">
        <v>102</v>
      </c>
      <c r="C75" s="38">
        <f>VLOOKUP(B:B,Courts!B:C,2,FALSE())</f>
        <v>1</v>
      </c>
      <c r="D75" s="38">
        <f>VLOOKUP(B:B,Courts!B:E,4,FALSE())</f>
        <v>1</v>
      </c>
      <c r="E75" s="38">
        <f>VLOOKUP(B:B,Courts!B:D,3,FALSE())</f>
        <v>0</v>
      </c>
      <c r="F75" s="18">
        <v>1</v>
      </c>
      <c r="G75" s="18">
        <v>0</v>
      </c>
      <c r="H75" s="18">
        <v>0</v>
      </c>
      <c r="I75" s="18">
        <v>0</v>
      </c>
      <c r="J75" s="18">
        <f t="shared" si="3"/>
        <v>1</v>
      </c>
      <c r="K75" s="18">
        <f t="shared" si="4"/>
        <v>2</v>
      </c>
      <c r="L75" s="18">
        <f t="shared" si="5"/>
        <v>-1</v>
      </c>
    </row>
    <row r="76" spans="1:12" x14ac:dyDescent="0.25">
      <c r="A76" s="36">
        <v>75</v>
      </c>
      <c r="B76" s="36" t="s">
        <v>103</v>
      </c>
      <c r="C76" s="38">
        <f>VLOOKUP(B:B,Courts!B:C,2,FALSE())</f>
        <v>1</v>
      </c>
      <c r="D76" s="38">
        <f>VLOOKUP(B:B,Courts!B:E,4,FALSE())</f>
        <v>1</v>
      </c>
      <c r="E76" s="38">
        <f>VLOOKUP(B:B,Courts!B:D,3,FALSE())</f>
        <v>0</v>
      </c>
      <c r="F76" s="18">
        <v>1</v>
      </c>
      <c r="G76" s="18">
        <v>0</v>
      </c>
      <c r="H76" s="18">
        <v>0</v>
      </c>
      <c r="I76" s="18">
        <v>2</v>
      </c>
      <c r="J76" s="18">
        <f t="shared" si="3"/>
        <v>3</v>
      </c>
      <c r="K76" s="18">
        <f t="shared" si="4"/>
        <v>2</v>
      </c>
      <c r="L76" s="18">
        <f t="shared" si="5"/>
        <v>1</v>
      </c>
    </row>
    <row r="77" spans="1:12" x14ac:dyDescent="0.25">
      <c r="A77" s="36">
        <v>76</v>
      </c>
      <c r="B77" s="37" t="s">
        <v>104</v>
      </c>
      <c r="C77" s="38">
        <f>VLOOKUP(B:B,Courts!B:C,2,FALSE())</f>
        <v>8</v>
      </c>
      <c r="D77" s="38">
        <f>VLOOKUP(B:B,Courts!B:E,4,FALSE())</f>
        <v>0</v>
      </c>
      <c r="E77" s="38">
        <f>VLOOKUP(B:B,Courts!B:D,3,FALSE())</f>
        <v>1</v>
      </c>
      <c r="F77" s="18">
        <v>6</v>
      </c>
      <c r="G77" s="18">
        <v>0</v>
      </c>
      <c r="H77" s="18">
        <v>0</v>
      </c>
      <c r="I77" s="18">
        <v>3</v>
      </c>
      <c r="J77" s="18">
        <f t="shared" si="3"/>
        <v>9</v>
      </c>
      <c r="K77" s="18">
        <f t="shared" si="4"/>
        <v>9</v>
      </c>
      <c r="L77" s="18">
        <f t="shared" si="5"/>
        <v>0</v>
      </c>
    </row>
    <row r="78" spans="1:12" x14ac:dyDescent="0.25">
      <c r="A78" s="36">
        <v>77</v>
      </c>
      <c r="B78" s="37" t="s">
        <v>105</v>
      </c>
      <c r="C78" s="38">
        <f>VLOOKUP(B:B,Courts!B:C,2,FALSE())</f>
        <v>39</v>
      </c>
      <c r="D78" s="38">
        <f>VLOOKUP(B:B,Courts!B:E,4,FALSE())</f>
        <v>0</v>
      </c>
      <c r="E78" s="38">
        <f>VLOOKUP(B:B,Courts!B:D,3,FALSE())</f>
        <v>10</v>
      </c>
      <c r="F78" s="18">
        <v>34</v>
      </c>
      <c r="G78" s="18">
        <v>1</v>
      </c>
      <c r="H78" s="18">
        <v>0</v>
      </c>
      <c r="I78" s="18">
        <v>12</v>
      </c>
      <c r="J78" s="18">
        <f t="shared" si="3"/>
        <v>47</v>
      </c>
      <c r="K78" s="18">
        <f t="shared" si="4"/>
        <v>49</v>
      </c>
      <c r="L78" s="18">
        <f t="shared" si="5"/>
        <v>-2</v>
      </c>
    </row>
    <row r="79" spans="1:12" x14ac:dyDescent="0.25">
      <c r="A79" s="36">
        <v>78</v>
      </c>
      <c r="B79" s="37" t="s">
        <v>106</v>
      </c>
      <c r="C79" s="38">
        <f>VLOOKUP(B:B,Courts!B:C,2,FALSE())</f>
        <v>11</v>
      </c>
      <c r="D79" s="38">
        <f>VLOOKUP(B:B,Courts!B:E,4,FALSE())</f>
        <v>0</v>
      </c>
      <c r="E79" s="38">
        <f>VLOOKUP(B:B,Courts!B:D,3,FALSE())</f>
        <v>1</v>
      </c>
      <c r="F79" s="18">
        <v>9</v>
      </c>
      <c r="G79" s="18">
        <v>0</v>
      </c>
      <c r="H79" s="18">
        <v>1</v>
      </c>
      <c r="I79" s="18">
        <v>0</v>
      </c>
      <c r="J79" s="18">
        <f t="shared" si="3"/>
        <v>10</v>
      </c>
      <c r="K79" s="18">
        <f t="shared" si="4"/>
        <v>12</v>
      </c>
      <c r="L79" s="18">
        <f t="shared" si="5"/>
        <v>-2</v>
      </c>
    </row>
    <row r="80" spans="1:12" x14ac:dyDescent="0.25">
      <c r="A80" s="36">
        <v>79</v>
      </c>
      <c r="B80" s="36" t="s">
        <v>107</v>
      </c>
      <c r="C80" s="38">
        <f>VLOOKUP(B:B,Courts!B:C,2,FALSE())</f>
        <v>2</v>
      </c>
      <c r="D80" s="38">
        <f>VLOOKUP(B:B,Courts!B:E,4,FALSE())</f>
        <v>1</v>
      </c>
      <c r="E80" s="38">
        <f>VLOOKUP(B:B,Courts!B:D,3,FALSE())</f>
        <v>0</v>
      </c>
      <c r="F80" s="18">
        <v>3</v>
      </c>
      <c r="G80" s="18">
        <v>0</v>
      </c>
      <c r="H80" s="18">
        <v>1</v>
      </c>
      <c r="I80" s="18">
        <v>0</v>
      </c>
      <c r="J80" s="18">
        <f t="shared" si="3"/>
        <v>4</v>
      </c>
      <c r="K80" s="18">
        <f t="shared" si="4"/>
        <v>3</v>
      </c>
      <c r="L80" s="18">
        <f t="shared" si="5"/>
        <v>1</v>
      </c>
    </row>
    <row r="81" spans="1:12" x14ac:dyDescent="0.25">
      <c r="A81" s="36">
        <v>80</v>
      </c>
      <c r="B81" s="36" t="s">
        <v>108</v>
      </c>
      <c r="C81" s="38">
        <f>VLOOKUP(B:B,Courts!B:C,2,FALSE())</f>
        <v>2</v>
      </c>
      <c r="D81" s="38">
        <f>VLOOKUP(B:B,Courts!B:E,4,FALSE())</f>
        <v>1</v>
      </c>
      <c r="E81" s="38">
        <f>VLOOKUP(B:B,Courts!B:D,3,FALSE())</f>
        <v>1</v>
      </c>
      <c r="F81" s="18">
        <v>1</v>
      </c>
      <c r="G81" s="18">
        <v>0</v>
      </c>
      <c r="H81" s="18">
        <v>2</v>
      </c>
      <c r="I81" s="18">
        <v>0</v>
      </c>
      <c r="J81" s="18">
        <f t="shared" si="3"/>
        <v>3</v>
      </c>
      <c r="K81" s="18">
        <f t="shared" si="4"/>
        <v>4</v>
      </c>
      <c r="L81" s="18">
        <f t="shared" si="5"/>
        <v>-1</v>
      </c>
    </row>
    <row r="82" spans="1:12" x14ac:dyDescent="0.25">
      <c r="A82" s="36">
        <v>81</v>
      </c>
      <c r="B82" s="37" t="s">
        <v>109</v>
      </c>
      <c r="C82" s="38">
        <f>VLOOKUP(B:B,Courts!B:C,2,FALSE())</f>
        <v>48</v>
      </c>
      <c r="D82" s="38">
        <f>VLOOKUP(B:B,Courts!B:E,4,FALSE())</f>
        <v>0</v>
      </c>
      <c r="E82" s="38">
        <f>VLOOKUP(B:B,Courts!B:D,3,FALSE())</f>
        <v>14</v>
      </c>
      <c r="F82" s="18">
        <v>38</v>
      </c>
      <c r="G82" s="18">
        <v>1</v>
      </c>
      <c r="H82" s="18">
        <v>2</v>
      </c>
      <c r="I82" s="18">
        <v>13</v>
      </c>
      <c r="J82" s="18">
        <f t="shared" si="3"/>
        <v>54</v>
      </c>
      <c r="K82" s="18">
        <f t="shared" si="4"/>
        <v>62</v>
      </c>
      <c r="L82" s="18">
        <f t="shared" si="5"/>
        <v>-8</v>
      </c>
    </row>
    <row r="83" spans="1:12" x14ac:dyDescent="0.25">
      <c r="A83" s="36">
        <v>82</v>
      </c>
      <c r="B83" s="36" t="s">
        <v>110</v>
      </c>
      <c r="C83" s="38">
        <f>VLOOKUP(B:B,Courts!B:C,2,FALSE())</f>
        <v>3</v>
      </c>
      <c r="D83" s="38">
        <f>VLOOKUP(B:B,Courts!B:E,4,FALSE())</f>
        <v>1</v>
      </c>
      <c r="E83" s="38">
        <f>VLOOKUP(B:B,Courts!B:D,3,FALSE())</f>
        <v>1</v>
      </c>
      <c r="F83" s="18">
        <v>3</v>
      </c>
      <c r="G83" s="18">
        <v>0</v>
      </c>
      <c r="H83" s="18">
        <v>1</v>
      </c>
      <c r="I83" s="18">
        <v>0</v>
      </c>
      <c r="J83" s="18">
        <f t="shared" si="3"/>
        <v>4</v>
      </c>
      <c r="K83" s="18">
        <f t="shared" si="4"/>
        <v>5</v>
      </c>
      <c r="L83" s="18">
        <f t="shared" si="5"/>
        <v>-1</v>
      </c>
    </row>
    <row r="84" spans="1:12" x14ac:dyDescent="0.25">
      <c r="A84" s="36">
        <v>83</v>
      </c>
      <c r="B84" s="36" t="s">
        <v>111</v>
      </c>
      <c r="C84" s="38">
        <f>VLOOKUP(B:B,Courts!B:C,2,FALSE())</f>
        <v>3</v>
      </c>
      <c r="D84" s="38">
        <f>VLOOKUP(B:B,Courts!B:E,4,FALSE())</f>
        <v>1</v>
      </c>
      <c r="E84" s="38">
        <f>VLOOKUP(B:B,Courts!B:D,3,FALSE())</f>
        <v>1</v>
      </c>
      <c r="F84" s="18">
        <v>3</v>
      </c>
      <c r="G84" s="18">
        <v>0</v>
      </c>
      <c r="H84" s="18">
        <v>1</v>
      </c>
      <c r="I84" s="18">
        <v>0</v>
      </c>
      <c r="J84" s="18">
        <f t="shared" si="3"/>
        <v>4</v>
      </c>
      <c r="K84" s="18">
        <f t="shared" si="4"/>
        <v>5</v>
      </c>
      <c r="L84" s="18">
        <f t="shared" si="5"/>
        <v>-1</v>
      </c>
    </row>
    <row r="85" spans="1:12" x14ac:dyDescent="0.25">
      <c r="A85" s="36">
        <v>84</v>
      </c>
      <c r="B85" s="37" t="s">
        <v>112</v>
      </c>
      <c r="C85" s="38">
        <f>VLOOKUP(B:B,Courts!B:C,2,FALSE())</f>
        <v>23</v>
      </c>
      <c r="D85" s="38">
        <f>VLOOKUP(B:B,Courts!B:E,4,FALSE())</f>
        <v>0</v>
      </c>
      <c r="E85" s="38">
        <f>VLOOKUP(B:B,Courts!B:D,3,FALSE())</f>
        <v>9</v>
      </c>
      <c r="F85" s="18">
        <v>24</v>
      </c>
      <c r="G85" s="18">
        <v>0</v>
      </c>
      <c r="H85" s="18">
        <v>0</v>
      </c>
      <c r="I85" s="18">
        <v>0</v>
      </c>
      <c r="J85" s="18">
        <f t="shared" si="3"/>
        <v>24</v>
      </c>
      <c r="K85" s="18">
        <f t="shared" si="4"/>
        <v>32</v>
      </c>
      <c r="L85" s="18">
        <f t="shared" si="5"/>
        <v>-8</v>
      </c>
    </row>
    <row r="86" spans="1:12" x14ac:dyDescent="0.25">
      <c r="A86" s="36">
        <v>85</v>
      </c>
      <c r="B86" s="36" t="s">
        <v>113</v>
      </c>
      <c r="C86" s="38">
        <f>VLOOKUP(B:B,Courts!B:C,2,FALSE())</f>
        <v>3</v>
      </c>
      <c r="D86" s="38">
        <f>VLOOKUP(B:B,Courts!B:E,4,FALSE())</f>
        <v>1</v>
      </c>
      <c r="E86" s="38">
        <f>VLOOKUP(B:B,Courts!B:D,3,FALSE())</f>
        <v>1</v>
      </c>
      <c r="F86" s="18">
        <v>4</v>
      </c>
      <c r="G86" s="18">
        <v>0</v>
      </c>
      <c r="H86" s="18">
        <v>0</v>
      </c>
      <c r="I86" s="18">
        <v>1</v>
      </c>
      <c r="J86" s="18">
        <f t="shared" si="3"/>
        <v>5</v>
      </c>
      <c r="K86" s="18">
        <f t="shared" si="4"/>
        <v>5</v>
      </c>
      <c r="L86" s="18">
        <f t="shared" si="5"/>
        <v>0</v>
      </c>
    </row>
    <row r="87" spans="1:12" x14ac:dyDescent="0.25">
      <c r="A87" s="36">
        <v>86</v>
      </c>
      <c r="B87" s="19" t="s">
        <v>221</v>
      </c>
      <c r="C87" s="38">
        <f>VLOOKUP(B:B,Courts!B:C,2,FALSE())</f>
        <v>1</v>
      </c>
      <c r="D87" s="38">
        <f>VLOOKUP(B:B,Courts!B:E,4,FALSE())</f>
        <v>1</v>
      </c>
      <c r="E87" s="38">
        <f>VLOOKUP(B:B,Courts!B:D,3,FALSE())</f>
        <v>0</v>
      </c>
      <c r="F87" s="18">
        <v>0</v>
      </c>
      <c r="G87" s="18">
        <v>0</v>
      </c>
      <c r="H87" s="18">
        <v>0</v>
      </c>
      <c r="I87" s="18">
        <v>0</v>
      </c>
      <c r="J87" s="18">
        <f t="shared" si="3"/>
        <v>0</v>
      </c>
      <c r="K87" s="18">
        <f t="shared" si="4"/>
        <v>2</v>
      </c>
      <c r="L87" s="18">
        <f t="shared" si="5"/>
        <v>-2</v>
      </c>
    </row>
    <row r="88" spans="1:12" x14ac:dyDescent="0.25">
      <c r="A88" s="36">
        <v>87</v>
      </c>
      <c r="B88" s="19" t="s">
        <v>222</v>
      </c>
      <c r="C88" s="38">
        <f>VLOOKUP(B:B,Courts!B:C,2,FALSE())</f>
        <v>2</v>
      </c>
      <c r="D88" s="38">
        <f>VLOOKUP(B:B,Courts!B:E,4,FALSE())</f>
        <v>1</v>
      </c>
      <c r="E88" s="38">
        <f>VLOOKUP(B:B,Courts!B:D,3,FALSE())</f>
        <v>0</v>
      </c>
      <c r="F88" s="18">
        <v>0</v>
      </c>
      <c r="G88" s="18">
        <v>0</v>
      </c>
      <c r="H88" s="18">
        <v>0</v>
      </c>
      <c r="I88" s="18">
        <v>0</v>
      </c>
      <c r="J88" s="18">
        <f t="shared" si="3"/>
        <v>0</v>
      </c>
      <c r="K88" s="18">
        <f t="shared" si="4"/>
        <v>3</v>
      </c>
      <c r="L88" s="18">
        <f t="shared" si="5"/>
        <v>-3</v>
      </c>
    </row>
    <row r="89" spans="1:12" x14ac:dyDescent="0.25">
      <c r="A89" s="36">
        <v>88</v>
      </c>
      <c r="B89" s="37" t="s">
        <v>114</v>
      </c>
      <c r="C89" s="38">
        <f>VLOOKUP(B:B,Courts!B:C,2,FALSE())</f>
        <v>11</v>
      </c>
      <c r="D89" s="38">
        <f>VLOOKUP(B:B,Courts!B:E,4,FALSE())</f>
        <v>0</v>
      </c>
      <c r="E89" s="38">
        <f>VLOOKUP(B:B,Courts!B:D,3,FALSE())</f>
        <v>2</v>
      </c>
      <c r="F89" s="18">
        <v>15</v>
      </c>
      <c r="G89" s="18">
        <v>0</v>
      </c>
      <c r="H89" s="18">
        <v>0</v>
      </c>
      <c r="I89" s="18">
        <v>0</v>
      </c>
      <c r="J89" s="18">
        <f t="shared" si="3"/>
        <v>15</v>
      </c>
      <c r="K89" s="18">
        <f t="shared" si="4"/>
        <v>13</v>
      </c>
      <c r="L89" s="18">
        <f t="shared" si="5"/>
        <v>2</v>
      </c>
    </row>
    <row r="90" spans="1:12" x14ac:dyDescent="0.25">
      <c r="A90" s="36">
        <v>89</v>
      </c>
      <c r="B90" s="36" t="s">
        <v>115</v>
      </c>
      <c r="C90" s="38">
        <f>VLOOKUP(B:B,Courts!B:C,2,FALSE())</f>
        <v>4</v>
      </c>
      <c r="D90" s="38">
        <f>VLOOKUP(B:B,Courts!B:E,4,FALSE())</f>
        <v>1</v>
      </c>
      <c r="E90" s="38">
        <f>VLOOKUP(B:B,Courts!B:D,3,FALSE())</f>
        <v>2</v>
      </c>
      <c r="F90" s="18">
        <v>5</v>
      </c>
      <c r="G90" s="18">
        <v>0</v>
      </c>
      <c r="H90" s="18">
        <v>0</v>
      </c>
      <c r="I90" s="18">
        <v>2</v>
      </c>
      <c r="J90" s="18">
        <f t="shared" si="3"/>
        <v>7</v>
      </c>
      <c r="K90" s="18">
        <f t="shared" si="4"/>
        <v>7</v>
      </c>
      <c r="L90" s="18">
        <f t="shared" si="5"/>
        <v>0</v>
      </c>
    </row>
    <row r="91" spans="1:12" x14ac:dyDescent="0.25">
      <c r="A91" s="36">
        <v>90</v>
      </c>
      <c r="B91" s="37" t="s">
        <v>116</v>
      </c>
      <c r="C91" s="38">
        <f>VLOOKUP(B:B,Courts!B:C,2,FALSE())</f>
        <v>10</v>
      </c>
      <c r="D91" s="38">
        <f>VLOOKUP(B:B,Courts!B:E,4,FALSE())</f>
        <v>0</v>
      </c>
      <c r="E91" s="38">
        <f>VLOOKUP(B:B,Courts!B:D,3,FALSE())</f>
        <v>3</v>
      </c>
      <c r="F91" s="18">
        <v>10</v>
      </c>
      <c r="G91" s="18">
        <v>1</v>
      </c>
      <c r="H91" s="18">
        <v>0</v>
      </c>
      <c r="I91" s="18">
        <v>1</v>
      </c>
      <c r="J91" s="18">
        <f t="shared" si="3"/>
        <v>12</v>
      </c>
      <c r="K91" s="18">
        <f t="shared" si="4"/>
        <v>13</v>
      </c>
      <c r="L91" s="18">
        <f t="shared" si="5"/>
        <v>-1</v>
      </c>
    </row>
    <row r="92" spans="1:12" x14ac:dyDescent="0.25">
      <c r="A92" s="36">
        <v>91</v>
      </c>
      <c r="B92" s="36" t="s">
        <v>117</v>
      </c>
      <c r="C92" s="38">
        <f>VLOOKUP(B:B,Courts!B:C,2,FALSE())</f>
        <v>2</v>
      </c>
      <c r="D92" s="38">
        <f>VLOOKUP(B:B,Courts!B:E,4,FALSE())</f>
        <v>1</v>
      </c>
      <c r="E92" s="38">
        <f>VLOOKUP(B:B,Courts!B:D,3,FALSE())</f>
        <v>1</v>
      </c>
      <c r="F92" s="18">
        <v>3</v>
      </c>
      <c r="G92" s="18">
        <v>0</v>
      </c>
      <c r="H92" s="18">
        <v>1</v>
      </c>
      <c r="I92" s="18">
        <v>0</v>
      </c>
      <c r="J92" s="18">
        <f t="shared" si="3"/>
        <v>4</v>
      </c>
      <c r="K92" s="18">
        <f t="shared" si="4"/>
        <v>4</v>
      </c>
      <c r="L92" s="18">
        <f t="shared" si="5"/>
        <v>0</v>
      </c>
    </row>
    <row r="93" spans="1:12" x14ac:dyDescent="0.25">
      <c r="A93" s="36">
        <v>92</v>
      </c>
      <c r="B93" s="36" t="s">
        <v>118</v>
      </c>
      <c r="C93" s="38">
        <f>VLOOKUP(B:B,Courts!B:C,2,FALSE())</f>
        <v>2</v>
      </c>
      <c r="D93" s="38">
        <f>VLOOKUP(B:B,Courts!B:E,4,FALSE())</f>
        <v>1</v>
      </c>
      <c r="E93" s="38">
        <f>VLOOKUP(B:B,Courts!B:D,3,FALSE())</f>
        <v>1</v>
      </c>
      <c r="F93" s="18">
        <v>2</v>
      </c>
      <c r="G93" s="18">
        <v>0</v>
      </c>
      <c r="H93" s="18">
        <v>2</v>
      </c>
      <c r="I93" s="18">
        <v>0</v>
      </c>
      <c r="J93" s="18">
        <f t="shared" si="3"/>
        <v>4</v>
      </c>
      <c r="K93" s="18">
        <f t="shared" si="4"/>
        <v>4</v>
      </c>
      <c r="L93" s="18">
        <f t="shared" si="5"/>
        <v>0</v>
      </c>
    </row>
    <row r="94" spans="1:12" x14ac:dyDescent="0.25">
      <c r="A94" s="36">
        <v>93</v>
      </c>
      <c r="B94" s="37" t="s">
        <v>119</v>
      </c>
      <c r="C94" s="38">
        <f>VLOOKUP(B:B,Courts!B:C,2,FALSE())</f>
        <v>15</v>
      </c>
      <c r="D94" s="38">
        <f>VLOOKUP(B:B,Courts!B:E,4,FALSE())</f>
        <v>0</v>
      </c>
      <c r="E94" s="38">
        <f>VLOOKUP(B:B,Courts!B:D,3,FALSE())</f>
        <v>4</v>
      </c>
      <c r="F94" s="18">
        <v>15</v>
      </c>
      <c r="G94" s="18">
        <v>0</v>
      </c>
      <c r="H94" s="18">
        <v>0</v>
      </c>
      <c r="I94" s="18">
        <v>2</v>
      </c>
      <c r="J94" s="18">
        <f t="shared" si="3"/>
        <v>17</v>
      </c>
      <c r="K94" s="18">
        <f t="shared" si="4"/>
        <v>19</v>
      </c>
      <c r="L94" s="18">
        <f t="shared" si="5"/>
        <v>-2</v>
      </c>
    </row>
    <row r="95" spans="1:12" x14ac:dyDescent="0.25">
      <c r="A95" s="36">
        <v>94</v>
      </c>
      <c r="B95" s="36" t="s">
        <v>120</v>
      </c>
      <c r="C95" s="38">
        <f>VLOOKUP(B:B,Courts!B:C,2,FALSE())</f>
        <v>2</v>
      </c>
      <c r="D95" s="38">
        <f>VLOOKUP(B:B,Courts!B:E,4,FALSE())</f>
        <v>1</v>
      </c>
      <c r="E95" s="38">
        <f>VLOOKUP(B:B,Courts!B:D,3,FALSE())</f>
        <v>0</v>
      </c>
      <c r="F95" s="18">
        <v>1</v>
      </c>
      <c r="G95" s="18">
        <v>0</v>
      </c>
      <c r="H95" s="18">
        <v>1</v>
      </c>
      <c r="I95" s="18">
        <v>0</v>
      </c>
      <c r="J95" s="18">
        <f t="shared" si="3"/>
        <v>2</v>
      </c>
      <c r="K95" s="18">
        <f t="shared" si="4"/>
        <v>3</v>
      </c>
      <c r="L95" s="18">
        <f t="shared" si="5"/>
        <v>-1</v>
      </c>
    </row>
    <row r="96" spans="1:12" x14ac:dyDescent="0.25">
      <c r="A96" s="36">
        <v>95</v>
      </c>
      <c r="B96" s="37" t="s">
        <v>121</v>
      </c>
      <c r="C96" s="38">
        <f>VLOOKUP(B:B,Courts!B:C,2,FALSE())</f>
        <v>26</v>
      </c>
      <c r="D96" s="38">
        <f>VLOOKUP(B:B,Courts!B:E,4,FALSE())</f>
        <v>0</v>
      </c>
      <c r="E96" s="38">
        <f>VLOOKUP(B:B,Courts!B:D,3,FALSE())</f>
        <v>7</v>
      </c>
      <c r="F96" s="18">
        <v>23</v>
      </c>
      <c r="G96" s="18">
        <v>0</v>
      </c>
      <c r="H96" s="18">
        <v>0</v>
      </c>
      <c r="I96" s="18">
        <v>5</v>
      </c>
      <c r="J96" s="18">
        <f t="shared" si="3"/>
        <v>28</v>
      </c>
      <c r="K96" s="18">
        <f t="shared" si="4"/>
        <v>33</v>
      </c>
      <c r="L96" s="18">
        <f t="shared" si="5"/>
        <v>-5</v>
      </c>
    </row>
    <row r="97" spans="1:12" x14ac:dyDescent="0.25">
      <c r="A97" s="36">
        <v>96</v>
      </c>
      <c r="B97" s="36" t="s">
        <v>122</v>
      </c>
      <c r="C97" s="38">
        <f>VLOOKUP(B:B,Courts!B:C,2,FALSE())</f>
        <v>2</v>
      </c>
      <c r="D97" s="38">
        <f>VLOOKUP(B:B,Courts!B:E,4,FALSE())</f>
        <v>1</v>
      </c>
      <c r="E97" s="38">
        <f>VLOOKUP(B:B,Courts!B:D,3,FALSE())</f>
        <v>0</v>
      </c>
      <c r="F97" s="18">
        <v>2</v>
      </c>
      <c r="G97" s="18">
        <v>0</v>
      </c>
      <c r="H97" s="18">
        <v>1</v>
      </c>
      <c r="I97" s="18">
        <v>1</v>
      </c>
      <c r="J97" s="18">
        <f t="shared" si="3"/>
        <v>4</v>
      </c>
      <c r="K97" s="18">
        <f t="shared" si="4"/>
        <v>3</v>
      </c>
      <c r="L97" s="18">
        <f t="shared" si="5"/>
        <v>1</v>
      </c>
    </row>
    <row r="98" spans="1:12" x14ac:dyDescent="0.25">
      <c r="A98" s="36">
        <v>97</v>
      </c>
      <c r="B98" s="36" t="s">
        <v>123</v>
      </c>
      <c r="C98" s="38">
        <f>VLOOKUP(B:B,Courts!B:C,2,FALSE())</f>
        <v>1</v>
      </c>
      <c r="D98" s="38">
        <f>VLOOKUP(B:B,Courts!B:E,4,FALSE())</f>
        <v>0</v>
      </c>
      <c r="E98" s="38">
        <f>VLOOKUP(B:B,Courts!B:D,3,FALSE())</f>
        <v>0</v>
      </c>
      <c r="F98" s="18">
        <v>0</v>
      </c>
      <c r="G98" s="18">
        <v>0</v>
      </c>
      <c r="H98" s="18">
        <v>0</v>
      </c>
      <c r="I98" s="18">
        <v>0</v>
      </c>
      <c r="J98" s="18">
        <f t="shared" si="3"/>
        <v>0</v>
      </c>
      <c r="K98" s="18">
        <f t="shared" si="4"/>
        <v>1</v>
      </c>
      <c r="L98" s="18">
        <f t="shared" si="5"/>
        <v>-1</v>
      </c>
    </row>
    <row r="99" spans="1:12" x14ac:dyDescent="0.25">
      <c r="A99" s="36">
        <v>98</v>
      </c>
      <c r="B99" s="36" t="s">
        <v>124</v>
      </c>
      <c r="C99" s="38">
        <f>VLOOKUP(B:B,Courts!B:C,2,FALSE())</f>
        <v>1</v>
      </c>
      <c r="D99" s="38">
        <f>VLOOKUP(B:B,Courts!B:E,4,FALSE())</f>
        <v>1</v>
      </c>
      <c r="E99" s="38">
        <f>VLOOKUP(B:B,Courts!B:D,3,FALSE())</f>
        <v>0</v>
      </c>
      <c r="F99" s="18">
        <v>2</v>
      </c>
      <c r="G99" s="18">
        <v>0</v>
      </c>
      <c r="H99" s="18">
        <v>0</v>
      </c>
      <c r="I99" s="18">
        <v>1</v>
      </c>
      <c r="J99" s="18">
        <f t="shared" si="3"/>
        <v>3</v>
      </c>
      <c r="K99" s="18">
        <f t="shared" si="4"/>
        <v>2</v>
      </c>
      <c r="L99" s="18">
        <f t="shared" si="5"/>
        <v>1</v>
      </c>
    </row>
    <row r="100" spans="1:12" x14ac:dyDescent="0.25">
      <c r="A100" s="36">
        <v>99</v>
      </c>
      <c r="B100" s="37" t="s">
        <v>125</v>
      </c>
      <c r="C100" s="38">
        <f>VLOOKUP(B:B,Courts!B:C,2,FALSE())</f>
        <v>15</v>
      </c>
      <c r="D100" s="38">
        <f>VLOOKUP(B:B,Courts!B:E,4,FALSE())</f>
        <v>0</v>
      </c>
      <c r="E100" s="38">
        <f>VLOOKUP(B:B,Courts!B:D,3,FALSE())</f>
        <v>1</v>
      </c>
      <c r="F100" s="18">
        <v>17</v>
      </c>
      <c r="G100" s="18">
        <v>0</v>
      </c>
      <c r="H100" s="18">
        <v>0</v>
      </c>
      <c r="I100" s="18">
        <v>4</v>
      </c>
      <c r="J100" s="18">
        <f t="shared" si="3"/>
        <v>21</v>
      </c>
      <c r="K100" s="18">
        <f t="shared" si="4"/>
        <v>16</v>
      </c>
      <c r="L100" s="18">
        <f t="shared" si="5"/>
        <v>5</v>
      </c>
    </row>
    <row r="101" spans="1:12" x14ac:dyDescent="0.25">
      <c r="A101" s="36">
        <v>100</v>
      </c>
      <c r="B101" s="36" t="s">
        <v>126</v>
      </c>
      <c r="C101" s="38">
        <f>VLOOKUP(B:B,Courts!B:C,2,FALSE())</f>
        <v>2</v>
      </c>
      <c r="D101" s="38">
        <f>VLOOKUP(B:B,Courts!B:E,4,FALSE())</f>
        <v>1</v>
      </c>
      <c r="E101" s="38">
        <f>VLOOKUP(B:B,Courts!B:D,3,FALSE())</f>
        <v>1</v>
      </c>
      <c r="F101" s="18">
        <v>3</v>
      </c>
      <c r="G101" s="18">
        <v>0</v>
      </c>
      <c r="H101" s="18">
        <v>0</v>
      </c>
      <c r="I101" s="18">
        <v>1</v>
      </c>
      <c r="J101" s="18">
        <f t="shared" si="3"/>
        <v>4</v>
      </c>
      <c r="K101" s="18">
        <f t="shared" si="4"/>
        <v>4</v>
      </c>
      <c r="L101" s="18">
        <f t="shared" si="5"/>
        <v>0</v>
      </c>
    </row>
    <row r="102" spans="1:12" x14ac:dyDescent="0.25">
      <c r="A102" s="36">
        <v>101</v>
      </c>
      <c r="B102" s="36" t="s">
        <v>127</v>
      </c>
      <c r="C102" s="38">
        <f>VLOOKUP(B:B,Courts!B:C,2,FALSE())</f>
        <v>2</v>
      </c>
      <c r="D102" s="38">
        <f>VLOOKUP(B:B,Courts!B:E,4,FALSE())</f>
        <v>1</v>
      </c>
      <c r="E102" s="38">
        <f>VLOOKUP(B:B,Courts!B:D,3,FALSE())</f>
        <v>0</v>
      </c>
      <c r="F102" s="18">
        <v>2</v>
      </c>
      <c r="G102" s="18">
        <v>0</v>
      </c>
      <c r="H102" s="18">
        <v>0</v>
      </c>
      <c r="I102" s="18">
        <v>1</v>
      </c>
      <c r="J102" s="18">
        <f t="shared" si="3"/>
        <v>3</v>
      </c>
      <c r="K102" s="18">
        <f t="shared" si="4"/>
        <v>3</v>
      </c>
      <c r="L102" s="18">
        <f t="shared" si="5"/>
        <v>0</v>
      </c>
    </row>
    <row r="103" spans="1:12" x14ac:dyDescent="0.25">
      <c r="A103" s="36">
        <v>102</v>
      </c>
      <c r="B103" s="36" t="s">
        <v>128</v>
      </c>
      <c r="C103" s="38">
        <f>VLOOKUP(B:B,Courts!B:C,2,FALSE())</f>
        <v>0</v>
      </c>
      <c r="D103" s="38">
        <f>VLOOKUP(B:B,Courts!B:E,4,FALSE())</f>
        <v>1</v>
      </c>
      <c r="E103" s="38">
        <f>VLOOKUP(B:B,Courts!B:D,3,FALSE())</f>
        <v>0</v>
      </c>
      <c r="F103" s="18">
        <v>0</v>
      </c>
      <c r="G103" s="18">
        <v>0</v>
      </c>
      <c r="H103" s="18">
        <v>1</v>
      </c>
      <c r="I103" s="18">
        <v>0</v>
      </c>
      <c r="J103" s="18">
        <f t="shared" si="3"/>
        <v>1</v>
      </c>
      <c r="K103" s="18">
        <f t="shared" si="4"/>
        <v>1</v>
      </c>
      <c r="L103" s="18">
        <f t="shared" si="5"/>
        <v>0</v>
      </c>
    </row>
    <row r="104" spans="1:12" x14ac:dyDescent="0.25">
      <c r="A104" s="36">
        <v>103</v>
      </c>
      <c r="B104" s="37" t="s">
        <v>129</v>
      </c>
      <c r="C104" s="38">
        <f>VLOOKUP(B:B,Courts!B:C,2,FALSE())</f>
        <v>12</v>
      </c>
      <c r="D104" s="38">
        <f>VLOOKUP(B:B,Courts!B:E,4,FALSE())</f>
        <v>0</v>
      </c>
      <c r="E104" s="38">
        <f>VLOOKUP(B:B,Courts!B:D,3,FALSE())</f>
        <v>3</v>
      </c>
      <c r="F104" s="18">
        <v>13</v>
      </c>
      <c r="G104" s="18">
        <v>0</v>
      </c>
      <c r="H104" s="18">
        <v>0</v>
      </c>
      <c r="I104" s="18">
        <v>0</v>
      </c>
      <c r="J104" s="18">
        <f t="shared" si="3"/>
        <v>13</v>
      </c>
      <c r="K104" s="18">
        <f t="shared" si="4"/>
        <v>15</v>
      </c>
      <c r="L104" s="18">
        <f t="shared" si="5"/>
        <v>-2</v>
      </c>
    </row>
    <row r="105" spans="1:12" x14ac:dyDescent="0.25">
      <c r="A105" s="36">
        <v>104</v>
      </c>
      <c r="B105" s="36" t="s">
        <v>130</v>
      </c>
      <c r="C105" s="38">
        <f>VLOOKUP(B:B,Courts!B:C,2,FALSE())</f>
        <v>3</v>
      </c>
      <c r="D105" s="38">
        <f>VLOOKUP(B:B,Courts!B:E,4,FALSE())</f>
        <v>1</v>
      </c>
      <c r="E105" s="38">
        <f>VLOOKUP(B:B,Courts!B:D,3,FALSE())</f>
        <v>1</v>
      </c>
      <c r="F105" s="18">
        <v>3</v>
      </c>
      <c r="G105" s="18">
        <v>0</v>
      </c>
      <c r="H105" s="18">
        <v>1</v>
      </c>
      <c r="I105" s="18">
        <v>0</v>
      </c>
      <c r="J105" s="18">
        <f t="shared" si="3"/>
        <v>4</v>
      </c>
      <c r="K105" s="18">
        <f t="shared" si="4"/>
        <v>5</v>
      </c>
      <c r="L105" s="18">
        <f t="shared" si="5"/>
        <v>-1</v>
      </c>
    </row>
    <row r="106" spans="1:12" x14ac:dyDescent="0.25">
      <c r="A106" s="36">
        <v>105</v>
      </c>
      <c r="B106" s="36" t="s">
        <v>131</v>
      </c>
      <c r="C106" s="38">
        <f>VLOOKUP(B:B,Courts!B:C,2,FALSE())</f>
        <v>2</v>
      </c>
      <c r="D106" s="38">
        <f>VLOOKUP(B:B,Courts!B:E,4,FALSE())</f>
        <v>1</v>
      </c>
      <c r="E106" s="38">
        <f>VLOOKUP(B:B,Courts!B:D,3,FALSE())</f>
        <v>1</v>
      </c>
      <c r="F106" s="18">
        <v>1</v>
      </c>
      <c r="G106" s="18">
        <v>0</v>
      </c>
      <c r="H106" s="18">
        <v>2</v>
      </c>
      <c r="I106" s="18">
        <v>0</v>
      </c>
      <c r="J106" s="18">
        <f t="shared" si="3"/>
        <v>3</v>
      </c>
      <c r="K106" s="18">
        <f t="shared" si="4"/>
        <v>4</v>
      </c>
      <c r="L106" s="18">
        <f t="shared" si="5"/>
        <v>-1</v>
      </c>
    </row>
    <row r="107" spans="1:12" x14ac:dyDescent="0.25">
      <c r="A107" s="36">
        <v>106</v>
      </c>
      <c r="B107" s="37" t="s">
        <v>132</v>
      </c>
      <c r="C107" s="38">
        <f>VLOOKUP(B:B,Courts!B:C,2,FALSE())</f>
        <v>13</v>
      </c>
      <c r="D107" s="38">
        <f>VLOOKUP(B:B,Courts!B:E,4,FALSE())</f>
        <v>0</v>
      </c>
      <c r="E107" s="38">
        <f>VLOOKUP(B:B,Courts!B:D,3,FALSE())</f>
        <v>1</v>
      </c>
      <c r="F107" s="18">
        <v>9</v>
      </c>
      <c r="G107" s="18">
        <v>0</v>
      </c>
      <c r="H107" s="18">
        <v>1</v>
      </c>
      <c r="I107" s="18">
        <v>5</v>
      </c>
      <c r="J107" s="18">
        <f t="shared" si="3"/>
        <v>15</v>
      </c>
      <c r="K107" s="18">
        <f t="shared" si="4"/>
        <v>14</v>
      </c>
      <c r="L107" s="18">
        <f t="shared" si="5"/>
        <v>1</v>
      </c>
    </row>
    <row r="108" spans="1:12" x14ac:dyDescent="0.25">
      <c r="A108" s="36">
        <v>107</v>
      </c>
      <c r="B108" s="36" t="s">
        <v>133</v>
      </c>
      <c r="C108" s="38">
        <f>VLOOKUP(B:B,Courts!B:C,2,FALSE())</f>
        <v>2</v>
      </c>
      <c r="D108" s="38">
        <f>VLOOKUP(B:B,Courts!B:E,4,FALSE())</f>
        <v>1</v>
      </c>
      <c r="E108" s="38">
        <f>VLOOKUP(B:B,Courts!B:D,3,FALSE())</f>
        <v>0</v>
      </c>
      <c r="F108" s="18">
        <v>3</v>
      </c>
      <c r="G108" s="18">
        <v>0</v>
      </c>
      <c r="H108" s="18">
        <v>1</v>
      </c>
      <c r="I108" s="18">
        <v>1</v>
      </c>
      <c r="J108" s="18">
        <f t="shared" si="3"/>
        <v>5</v>
      </c>
      <c r="K108" s="18">
        <f t="shared" si="4"/>
        <v>3</v>
      </c>
      <c r="L108" s="18">
        <f t="shared" si="5"/>
        <v>2</v>
      </c>
    </row>
    <row r="109" spans="1:12" x14ac:dyDescent="0.25">
      <c r="A109" s="36">
        <v>108</v>
      </c>
      <c r="B109" s="36" t="s">
        <v>134</v>
      </c>
      <c r="C109" s="38">
        <f>VLOOKUP(B:B,Courts!B:C,2,FALSE())</f>
        <v>3</v>
      </c>
      <c r="D109" s="38">
        <f>VLOOKUP(B:B,Courts!B:E,4,FALSE())</f>
        <v>0</v>
      </c>
      <c r="E109" s="38">
        <f>VLOOKUP(B:B,Courts!B:D,3,FALSE())</f>
        <v>2</v>
      </c>
      <c r="F109" s="18">
        <v>0</v>
      </c>
      <c r="G109" s="18">
        <v>0</v>
      </c>
      <c r="H109" s="18">
        <v>0</v>
      </c>
      <c r="I109" s="18">
        <v>1</v>
      </c>
      <c r="J109" s="18">
        <f t="shared" si="3"/>
        <v>1</v>
      </c>
      <c r="K109" s="18">
        <f t="shared" si="4"/>
        <v>5</v>
      </c>
      <c r="L109" s="18">
        <f t="shared" si="5"/>
        <v>-4</v>
      </c>
    </row>
    <row r="110" spans="1:12" x14ac:dyDescent="0.25">
      <c r="A110" s="36">
        <v>109</v>
      </c>
      <c r="B110" s="37" t="s">
        <v>135</v>
      </c>
      <c r="C110" s="38">
        <f>VLOOKUP(B:B,Courts!B:C,2,FALSE())</f>
        <v>13</v>
      </c>
      <c r="D110" s="38">
        <f>VLOOKUP(B:B,Courts!B:E,4,FALSE())</f>
        <v>0</v>
      </c>
      <c r="E110" s="38">
        <f>VLOOKUP(B:B,Courts!B:D,3,FALSE())</f>
        <v>4</v>
      </c>
      <c r="F110" s="18">
        <v>12</v>
      </c>
      <c r="G110" s="18">
        <v>0</v>
      </c>
      <c r="H110" s="18">
        <v>0</v>
      </c>
      <c r="I110" s="18">
        <v>2</v>
      </c>
      <c r="J110" s="18">
        <f t="shared" si="3"/>
        <v>14</v>
      </c>
      <c r="K110" s="18">
        <f t="shared" si="4"/>
        <v>17</v>
      </c>
      <c r="L110" s="18">
        <f t="shared" si="5"/>
        <v>-3</v>
      </c>
    </row>
    <row r="111" spans="1:12" x14ac:dyDescent="0.25">
      <c r="A111" s="36">
        <v>110</v>
      </c>
      <c r="B111" s="36" t="s">
        <v>136</v>
      </c>
      <c r="C111" s="38">
        <f>VLOOKUP(B:B,Courts!B:C,2,FALSE())</f>
        <v>2</v>
      </c>
      <c r="D111" s="38">
        <f>VLOOKUP(B:B,Courts!B:E,4,FALSE())</f>
        <v>1</v>
      </c>
      <c r="E111" s="38">
        <f>VLOOKUP(B:B,Courts!B:D,3,FALSE())</f>
        <v>1</v>
      </c>
      <c r="F111" s="18">
        <v>2</v>
      </c>
      <c r="G111" s="18">
        <v>0</v>
      </c>
      <c r="H111" s="18">
        <v>1</v>
      </c>
      <c r="I111" s="18">
        <v>1</v>
      </c>
      <c r="J111" s="18">
        <f t="shared" si="3"/>
        <v>4</v>
      </c>
      <c r="K111" s="18">
        <f t="shared" si="4"/>
        <v>4</v>
      </c>
      <c r="L111" s="18">
        <f t="shared" si="5"/>
        <v>0</v>
      </c>
    </row>
    <row r="112" spans="1:12" x14ac:dyDescent="0.25">
      <c r="A112" s="36">
        <v>111</v>
      </c>
      <c r="B112" s="36" t="s">
        <v>137</v>
      </c>
      <c r="C112" s="38">
        <f>VLOOKUP(B:B,Courts!B:C,2,FALSE())</f>
        <v>2</v>
      </c>
      <c r="D112" s="38">
        <f>VLOOKUP(B:B,Courts!B:E,4,FALSE())</f>
        <v>1</v>
      </c>
      <c r="E112" s="38">
        <f>VLOOKUP(B:B,Courts!B:D,3,FALSE())</f>
        <v>0</v>
      </c>
      <c r="F112" s="18">
        <v>2</v>
      </c>
      <c r="G112" s="18">
        <v>0</v>
      </c>
      <c r="H112" s="18">
        <v>1</v>
      </c>
      <c r="I112" s="18">
        <v>1</v>
      </c>
      <c r="J112" s="18">
        <f t="shared" si="3"/>
        <v>4</v>
      </c>
      <c r="K112" s="18">
        <f t="shared" si="4"/>
        <v>3</v>
      </c>
      <c r="L112" s="18">
        <f t="shared" si="5"/>
        <v>1</v>
      </c>
    </row>
    <row r="113" spans="1:12" x14ac:dyDescent="0.25">
      <c r="A113" s="36">
        <v>112</v>
      </c>
      <c r="B113" s="37" t="s">
        <v>138</v>
      </c>
      <c r="C113" s="38">
        <f>VLOOKUP(B:B,Courts!B:C,2,FALSE())</f>
        <v>19</v>
      </c>
      <c r="D113" s="38">
        <f>VLOOKUP(B:B,Courts!B:E,4,FALSE())</f>
        <v>0</v>
      </c>
      <c r="E113" s="38">
        <f>VLOOKUP(B:B,Courts!B:D,3,FALSE())</f>
        <v>3</v>
      </c>
      <c r="F113" s="18">
        <v>17</v>
      </c>
      <c r="G113" s="18">
        <v>0</v>
      </c>
      <c r="H113" s="18">
        <v>1</v>
      </c>
      <c r="I113" s="18">
        <v>2</v>
      </c>
      <c r="J113" s="18">
        <f t="shared" si="3"/>
        <v>20</v>
      </c>
      <c r="K113" s="18">
        <f t="shared" si="4"/>
        <v>22</v>
      </c>
      <c r="L113" s="18">
        <f t="shared" si="5"/>
        <v>-2</v>
      </c>
    </row>
    <row r="114" spans="1:12" x14ac:dyDescent="0.25">
      <c r="A114" s="36">
        <v>113</v>
      </c>
      <c r="B114" s="36" t="s">
        <v>139</v>
      </c>
      <c r="C114" s="38">
        <f>VLOOKUP(B:B,Courts!B:C,2,FALSE())</f>
        <v>3</v>
      </c>
      <c r="D114" s="38">
        <f>VLOOKUP(B:B,Courts!B:E,4,FALSE())</f>
        <v>1</v>
      </c>
      <c r="E114" s="38">
        <f>VLOOKUP(B:B,Courts!B:D,3,FALSE())</f>
        <v>1</v>
      </c>
      <c r="F114" s="18">
        <v>1</v>
      </c>
      <c r="G114" s="18">
        <v>0</v>
      </c>
      <c r="H114" s="18">
        <v>2</v>
      </c>
      <c r="I114" s="18">
        <v>2</v>
      </c>
      <c r="J114" s="18">
        <f t="shared" si="3"/>
        <v>5</v>
      </c>
      <c r="K114" s="18">
        <f t="shared" si="4"/>
        <v>5</v>
      </c>
      <c r="L114" s="18">
        <f t="shared" si="5"/>
        <v>0</v>
      </c>
    </row>
    <row r="115" spans="1:12" x14ac:dyDescent="0.25">
      <c r="A115" s="36">
        <v>114</v>
      </c>
      <c r="B115" s="37" t="s">
        <v>140</v>
      </c>
      <c r="C115" s="38">
        <f>VLOOKUP(B:B,Courts!B:C,2,FALSE())</f>
        <v>11</v>
      </c>
      <c r="D115" s="38">
        <f>VLOOKUP(B:B,Courts!B:E,4,FALSE())</f>
        <v>0</v>
      </c>
      <c r="E115" s="38">
        <f>VLOOKUP(B:B,Courts!B:D,3,FALSE())</f>
        <v>1</v>
      </c>
      <c r="F115" s="18">
        <v>11</v>
      </c>
      <c r="G115" s="18">
        <v>0</v>
      </c>
      <c r="H115" s="18">
        <v>0</v>
      </c>
      <c r="I115" s="18">
        <v>0</v>
      </c>
      <c r="J115" s="18">
        <f t="shared" si="3"/>
        <v>11</v>
      </c>
      <c r="K115" s="18">
        <f t="shared" si="4"/>
        <v>12</v>
      </c>
      <c r="L115" s="18">
        <f t="shared" si="5"/>
        <v>-1</v>
      </c>
    </row>
    <row r="116" spans="1:12" x14ac:dyDescent="0.25">
      <c r="A116" s="36">
        <v>115</v>
      </c>
      <c r="B116" s="36" t="s">
        <v>141</v>
      </c>
      <c r="C116" s="38">
        <f>VLOOKUP(B:B,Courts!B:C,2,FALSE())</f>
        <v>2</v>
      </c>
      <c r="D116" s="38">
        <f>VLOOKUP(B:B,Courts!B:E,4,FALSE())</f>
        <v>0</v>
      </c>
      <c r="E116" s="38">
        <f>VLOOKUP(B:B,Courts!B:D,3,FALSE())</f>
        <v>0</v>
      </c>
      <c r="F116" s="18">
        <v>2</v>
      </c>
      <c r="G116" s="18">
        <v>0</v>
      </c>
      <c r="H116" s="18">
        <v>0</v>
      </c>
      <c r="I116" s="18">
        <v>0</v>
      </c>
      <c r="J116" s="18">
        <f t="shared" si="3"/>
        <v>2</v>
      </c>
      <c r="K116" s="18">
        <f t="shared" si="4"/>
        <v>2</v>
      </c>
      <c r="L116" s="18">
        <f t="shared" si="5"/>
        <v>0</v>
      </c>
    </row>
    <row r="117" spans="1:12" x14ac:dyDescent="0.25">
      <c r="A117" s="36">
        <v>116</v>
      </c>
      <c r="B117" s="37" t="s">
        <v>1</v>
      </c>
      <c r="C117" s="38">
        <f>VLOOKUP(B:B,Courts!B:C,2,FALSE())</f>
        <v>18</v>
      </c>
      <c r="D117" s="38">
        <f>VLOOKUP(B:B,Courts!B:E,4,FALSE())</f>
        <v>0</v>
      </c>
      <c r="E117" s="38">
        <f>VLOOKUP(B:B,Courts!B:D,3,FALSE())</f>
        <v>3</v>
      </c>
      <c r="F117" s="18">
        <v>17</v>
      </c>
      <c r="G117" s="18">
        <v>0</v>
      </c>
      <c r="H117" s="18">
        <v>0</v>
      </c>
      <c r="I117" s="18">
        <v>4</v>
      </c>
      <c r="J117" s="18">
        <f t="shared" si="3"/>
        <v>21</v>
      </c>
      <c r="K117" s="18">
        <f t="shared" si="4"/>
        <v>21</v>
      </c>
      <c r="L117" s="18">
        <f t="shared" si="5"/>
        <v>0</v>
      </c>
    </row>
    <row r="118" spans="1:12" x14ac:dyDescent="0.25">
      <c r="A118" s="36">
        <v>117</v>
      </c>
      <c r="B118" s="36" t="s">
        <v>142</v>
      </c>
      <c r="C118" s="38">
        <f>VLOOKUP(B:B,Courts!B:C,2,FALSE())</f>
        <v>2</v>
      </c>
      <c r="D118" s="38">
        <f>VLOOKUP(B:B,Courts!B:E,4,FALSE())</f>
        <v>1</v>
      </c>
      <c r="E118" s="38">
        <f>VLOOKUP(B:B,Courts!B:D,3,FALSE())</f>
        <v>0</v>
      </c>
      <c r="F118" s="18">
        <v>1</v>
      </c>
      <c r="G118" s="18">
        <v>0</v>
      </c>
      <c r="H118" s="18">
        <v>1</v>
      </c>
      <c r="I118" s="18">
        <v>0</v>
      </c>
      <c r="J118" s="18">
        <f t="shared" si="3"/>
        <v>2</v>
      </c>
      <c r="K118" s="18">
        <f t="shared" si="4"/>
        <v>3</v>
      </c>
      <c r="L118" s="18">
        <f t="shared" si="5"/>
        <v>-1</v>
      </c>
    </row>
    <row r="119" spans="1:12" x14ac:dyDescent="0.25">
      <c r="A119" s="36">
        <v>118</v>
      </c>
      <c r="B119" s="36" t="s">
        <v>143</v>
      </c>
      <c r="C119" s="38">
        <f>VLOOKUP(B:B,Courts!B:C,2,FALSE())</f>
        <v>2</v>
      </c>
      <c r="D119" s="38">
        <f>VLOOKUP(B:B,Courts!B:E,4,FALSE())</f>
        <v>1</v>
      </c>
      <c r="E119" s="38">
        <f>VLOOKUP(B:B,Courts!B:D,3,FALSE())</f>
        <v>0</v>
      </c>
      <c r="F119" s="18">
        <v>1</v>
      </c>
      <c r="G119" s="18">
        <v>0</v>
      </c>
      <c r="H119" s="18">
        <v>2</v>
      </c>
      <c r="I119" s="18">
        <v>0</v>
      </c>
      <c r="J119" s="18">
        <f t="shared" si="3"/>
        <v>3</v>
      </c>
      <c r="K119" s="18">
        <f t="shared" si="4"/>
        <v>3</v>
      </c>
      <c r="L119" s="18">
        <f t="shared" si="5"/>
        <v>0</v>
      </c>
    </row>
    <row r="120" spans="1:12" x14ac:dyDescent="0.25">
      <c r="A120" s="36">
        <v>119</v>
      </c>
      <c r="B120" s="37" t="s">
        <v>144</v>
      </c>
      <c r="C120" s="38">
        <f>VLOOKUP(B:B,Courts!B:C,2,FALSE())</f>
        <v>19</v>
      </c>
      <c r="D120" s="38">
        <f>VLOOKUP(B:B,Courts!B:E,4,FALSE())</f>
        <v>0</v>
      </c>
      <c r="E120" s="38">
        <f>VLOOKUP(B:B,Courts!B:D,3,FALSE())</f>
        <v>5</v>
      </c>
      <c r="F120" s="18">
        <v>19</v>
      </c>
      <c r="G120" s="18">
        <v>0</v>
      </c>
      <c r="H120" s="18">
        <v>0</v>
      </c>
      <c r="I120" s="18">
        <v>5</v>
      </c>
      <c r="J120" s="18">
        <f t="shared" si="3"/>
        <v>24</v>
      </c>
      <c r="K120" s="18">
        <f t="shared" si="4"/>
        <v>24</v>
      </c>
      <c r="L120" s="18">
        <f t="shared" si="5"/>
        <v>0</v>
      </c>
    </row>
    <row r="121" spans="1:12" x14ac:dyDescent="0.25">
      <c r="A121" s="36">
        <v>120</v>
      </c>
      <c r="B121" s="36" t="s">
        <v>145</v>
      </c>
      <c r="C121" s="38">
        <f>VLOOKUP(B:B,Courts!B:C,2,FALSE())</f>
        <v>1</v>
      </c>
      <c r="D121" s="38">
        <f>VLOOKUP(B:B,Courts!B:E,4,FALSE())</f>
        <v>1</v>
      </c>
      <c r="E121" s="38">
        <f>VLOOKUP(B:B,Courts!B:D,3,FALSE())</f>
        <v>0</v>
      </c>
      <c r="F121" s="18">
        <v>1</v>
      </c>
      <c r="G121" s="18">
        <v>0</v>
      </c>
      <c r="H121" s="18">
        <v>1</v>
      </c>
      <c r="I121" s="18">
        <v>1</v>
      </c>
      <c r="J121" s="18">
        <f t="shared" si="3"/>
        <v>3</v>
      </c>
      <c r="K121" s="18">
        <f t="shared" si="4"/>
        <v>2</v>
      </c>
      <c r="L121" s="18">
        <f t="shared" si="5"/>
        <v>1</v>
      </c>
    </row>
    <row r="122" spans="1:12" x14ac:dyDescent="0.25">
      <c r="A122" s="36">
        <v>121</v>
      </c>
      <c r="B122" s="37" t="s">
        <v>146</v>
      </c>
      <c r="C122" s="38">
        <f>VLOOKUP(B:B,Courts!B:C,2,FALSE())</f>
        <v>15</v>
      </c>
      <c r="D122" s="38">
        <f>VLOOKUP(B:B,Courts!B:E,4,FALSE())</f>
        <v>0</v>
      </c>
      <c r="E122" s="38">
        <f>VLOOKUP(B:B,Courts!B:D,3,FALSE())</f>
        <v>2</v>
      </c>
      <c r="F122" s="18">
        <v>14</v>
      </c>
      <c r="G122" s="18">
        <v>0</v>
      </c>
      <c r="H122" s="18">
        <v>0</v>
      </c>
      <c r="I122" s="18">
        <v>0</v>
      </c>
      <c r="J122" s="18">
        <f t="shared" si="3"/>
        <v>14</v>
      </c>
      <c r="K122" s="18">
        <f t="shared" si="4"/>
        <v>17</v>
      </c>
      <c r="L122" s="18">
        <f t="shared" si="5"/>
        <v>-3</v>
      </c>
    </row>
    <row r="123" spans="1:12" x14ac:dyDescent="0.25">
      <c r="A123" s="36">
        <v>122</v>
      </c>
      <c r="B123" s="36" t="s">
        <v>147</v>
      </c>
      <c r="C123" s="38">
        <f>VLOOKUP(B:B,Courts!B:C,2,FALSE())</f>
        <v>2</v>
      </c>
      <c r="D123" s="38">
        <f>VLOOKUP(B:B,Courts!B:E,4,FALSE())</f>
        <v>1</v>
      </c>
      <c r="E123" s="38">
        <f>VLOOKUP(B:B,Courts!B:D,3,FALSE())</f>
        <v>1</v>
      </c>
      <c r="F123" s="18">
        <v>3</v>
      </c>
      <c r="G123" s="18">
        <v>0</v>
      </c>
      <c r="H123" s="18">
        <v>0</v>
      </c>
      <c r="I123" s="18">
        <v>0</v>
      </c>
      <c r="J123" s="18">
        <f t="shared" si="3"/>
        <v>3</v>
      </c>
      <c r="K123" s="18">
        <f t="shared" si="4"/>
        <v>4</v>
      </c>
      <c r="L123" s="18">
        <f t="shared" si="5"/>
        <v>-1</v>
      </c>
    </row>
    <row r="124" spans="1:12" x14ac:dyDescent="0.25">
      <c r="A124" s="36">
        <v>123</v>
      </c>
      <c r="B124" s="36" t="s">
        <v>148</v>
      </c>
      <c r="C124" s="38">
        <f>VLOOKUP(B:B,Courts!B:C,2,FALSE())</f>
        <v>2</v>
      </c>
      <c r="D124" s="38">
        <f>VLOOKUP(B:B,Courts!B:E,4,FALSE())</f>
        <v>1</v>
      </c>
      <c r="E124" s="38">
        <f>VLOOKUP(B:B,Courts!B:D,3,FALSE())</f>
        <v>0</v>
      </c>
      <c r="F124" s="18">
        <v>2</v>
      </c>
      <c r="G124" s="18">
        <v>0</v>
      </c>
      <c r="H124" s="18">
        <v>1</v>
      </c>
      <c r="I124" s="18">
        <v>0</v>
      </c>
      <c r="J124" s="18">
        <f t="shared" si="3"/>
        <v>3</v>
      </c>
      <c r="K124" s="18">
        <f t="shared" si="4"/>
        <v>3</v>
      </c>
      <c r="L124" s="18">
        <f t="shared" si="5"/>
        <v>0</v>
      </c>
    </row>
    <row r="125" spans="1:12" x14ac:dyDescent="0.25">
      <c r="A125" s="36">
        <v>124</v>
      </c>
      <c r="B125" s="36" t="s">
        <v>149</v>
      </c>
      <c r="C125" s="38">
        <f>VLOOKUP(B:B,Courts!B:C,2,FALSE())</f>
        <v>0</v>
      </c>
      <c r="D125" s="38">
        <f>VLOOKUP(B:B,Courts!B:E,4,FALSE())</f>
        <v>1</v>
      </c>
      <c r="E125" s="38">
        <f>VLOOKUP(B:B,Courts!B:D,3,FALSE())</f>
        <v>0</v>
      </c>
      <c r="F125" s="18">
        <v>0</v>
      </c>
      <c r="G125" s="18">
        <v>0</v>
      </c>
      <c r="H125" s="18">
        <v>1</v>
      </c>
      <c r="I125" s="18">
        <v>0</v>
      </c>
      <c r="J125" s="18">
        <f t="shared" si="3"/>
        <v>1</v>
      </c>
      <c r="K125" s="18">
        <f t="shared" si="4"/>
        <v>1</v>
      </c>
      <c r="L125" s="18">
        <f t="shared" si="5"/>
        <v>0</v>
      </c>
    </row>
    <row r="126" spans="1:12" x14ac:dyDescent="0.25">
      <c r="A126" s="36">
        <v>125</v>
      </c>
      <c r="B126" s="37" t="s">
        <v>150</v>
      </c>
      <c r="C126" s="38">
        <f>VLOOKUP(B:B,Courts!B:C,2,FALSE())</f>
        <v>18</v>
      </c>
      <c r="D126" s="38">
        <f>VLOOKUP(B:B,Courts!B:E,4,FALSE())</f>
        <v>0</v>
      </c>
      <c r="E126" s="38">
        <f>VLOOKUP(B:B,Courts!B:D,3,FALSE())</f>
        <v>3</v>
      </c>
      <c r="F126" s="18">
        <v>18</v>
      </c>
      <c r="G126" s="18">
        <v>1</v>
      </c>
      <c r="H126" s="18">
        <v>0</v>
      </c>
      <c r="I126" s="18">
        <v>4</v>
      </c>
      <c r="J126" s="18">
        <f t="shared" si="3"/>
        <v>23</v>
      </c>
      <c r="K126" s="18">
        <f t="shared" si="4"/>
        <v>21</v>
      </c>
      <c r="L126" s="18">
        <f t="shared" si="5"/>
        <v>2</v>
      </c>
    </row>
    <row r="127" spans="1:12" x14ac:dyDescent="0.25">
      <c r="A127" s="36">
        <v>126</v>
      </c>
      <c r="B127" s="36" t="s">
        <v>151</v>
      </c>
      <c r="C127" s="38">
        <f>VLOOKUP(B:B,Courts!B:C,2,FALSE())</f>
        <v>2</v>
      </c>
      <c r="D127" s="38">
        <f>VLOOKUP(B:B,Courts!B:E,4,FALSE())</f>
        <v>1</v>
      </c>
      <c r="E127" s="38">
        <f>VLOOKUP(B:B,Courts!B:D,3,FALSE())</f>
        <v>0</v>
      </c>
      <c r="F127" s="18">
        <v>1</v>
      </c>
      <c r="G127" s="18">
        <v>0</v>
      </c>
      <c r="H127" s="18">
        <v>2</v>
      </c>
      <c r="I127" s="18">
        <v>0</v>
      </c>
      <c r="J127" s="18">
        <f t="shared" si="3"/>
        <v>3</v>
      </c>
      <c r="K127" s="18">
        <f t="shared" si="4"/>
        <v>3</v>
      </c>
      <c r="L127" s="18">
        <f t="shared" si="5"/>
        <v>0</v>
      </c>
    </row>
    <row r="128" spans="1:12" x14ac:dyDescent="0.25">
      <c r="A128" s="36">
        <v>127</v>
      </c>
      <c r="B128" s="36" t="s">
        <v>152</v>
      </c>
      <c r="C128" s="38">
        <f>VLOOKUP(B:B,Courts!B:C,2,FALSE())</f>
        <v>3</v>
      </c>
      <c r="D128" s="38">
        <f>VLOOKUP(B:B,Courts!B:E,4,FALSE())</f>
        <v>1</v>
      </c>
      <c r="E128" s="38">
        <f>VLOOKUP(B:B,Courts!B:D,3,FALSE())</f>
        <v>1</v>
      </c>
      <c r="F128" s="18">
        <v>2</v>
      </c>
      <c r="G128" s="18">
        <v>0</v>
      </c>
      <c r="H128" s="18">
        <v>1</v>
      </c>
      <c r="I128" s="18">
        <v>1</v>
      </c>
      <c r="J128" s="18">
        <f t="shared" si="3"/>
        <v>4</v>
      </c>
      <c r="K128" s="18">
        <f t="shared" si="4"/>
        <v>5</v>
      </c>
      <c r="L128" s="18">
        <f t="shared" si="5"/>
        <v>-1</v>
      </c>
    </row>
    <row r="129" spans="1:12" x14ac:dyDescent="0.25">
      <c r="A129" s="36">
        <v>128</v>
      </c>
      <c r="B129" s="36" t="s">
        <v>153</v>
      </c>
      <c r="C129" s="38">
        <f>VLOOKUP(B:B,Courts!B:C,2,FALSE())</f>
        <v>2</v>
      </c>
      <c r="D129" s="38">
        <f>VLOOKUP(B:B,Courts!B:E,4,FALSE())</f>
        <v>1</v>
      </c>
      <c r="E129" s="38">
        <f>VLOOKUP(B:B,Courts!B:D,3,FALSE())</f>
        <v>0</v>
      </c>
      <c r="F129" s="18">
        <v>1</v>
      </c>
      <c r="G129" s="18">
        <v>0</v>
      </c>
      <c r="H129" s="18">
        <v>1</v>
      </c>
      <c r="I129" s="18">
        <v>1</v>
      </c>
      <c r="J129" s="18">
        <f t="shared" si="3"/>
        <v>3</v>
      </c>
      <c r="K129" s="18">
        <f t="shared" si="4"/>
        <v>3</v>
      </c>
      <c r="L129" s="18">
        <f t="shared" si="5"/>
        <v>0</v>
      </c>
    </row>
    <row r="130" spans="1:12" x14ac:dyDescent="0.25">
      <c r="A130" s="36">
        <v>129</v>
      </c>
      <c r="B130" s="37" t="s">
        <v>154</v>
      </c>
      <c r="C130" s="38">
        <f>VLOOKUP(B:B,Courts!B:C,2,FALSE())</f>
        <v>19</v>
      </c>
      <c r="D130" s="38">
        <f>VLOOKUP(B:B,Courts!B:E,4,FALSE())</f>
        <v>0</v>
      </c>
      <c r="E130" s="38">
        <f>VLOOKUP(B:B,Courts!B:D,3,FALSE())</f>
        <v>3</v>
      </c>
      <c r="F130" s="18">
        <v>20</v>
      </c>
      <c r="G130" s="18">
        <v>0</v>
      </c>
      <c r="H130" s="18">
        <v>0</v>
      </c>
      <c r="I130" s="18">
        <v>2</v>
      </c>
      <c r="J130" s="18">
        <f t="shared" si="3"/>
        <v>22</v>
      </c>
      <c r="K130" s="18">
        <f t="shared" si="4"/>
        <v>22</v>
      </c>
      <c r="L130" s="18">
        <f t="shared" si="5"/>
        <v>0</v>
      </c>
    </row>
    <row r="131" spans="1:12" x14ac:dyDescent="0.25">
      <c r="A131" s="36">
        <v>130</v>
      </c>
      <c r="B131" s="36" t="s">
        <v>155</v>
      </c>
      <c r="C131" s="38">
        <f>VLOOKUP(B:B,Courts!B:C,2,FALSE())</f>
        <v>4</v>
      </c>
      <c r="D131" s="38">
        <f>VLOOKUP(B:B,Courts!B:E,4,FALSE())</f>
        <v>1</v>
      </c>
      <c r="E131" s="38">
        <f>VLOOKUP(B:B,Courts!B:D,3,FALSE())</f>
        <v>2</v>
      </c>
      <c r="F131" s="18">
        <v>3</v>
      </c>
      <c r="G131" s="18">
        <v>0</v>
      </c>
      <c r="H131" s="18">
        <v>0</v>
      </c>
      <c r="I131" s="18">
        <v>2</v>
      </c>
      <c r="J131" s="18">
        <f t="shared" si="3"/>
        <v>5</v>
      </c>
      <c r="K131" s="18">
        <f t="shared" si="4"/>
        <v>7</v>
      </c>
      <c r="L131" s="18">
        <f t="shared" si="5"/>
        <v>-2</v>
      </c>
    </row>
    <row r="133" spans="1:12" ht="15.75" x14ac:dyDescent="0.25">
      <c r="B133" s="44" t="s">
        <v>156</v>
      </c>
      <c r="C133" s="45">
        <f t="shared" ref="C133:L133" si="6">SUM(C2:C131)</f>
        <v>1147</v>
      </c>
      <c r="D133" s="45">
        <f t="shared" si="6"/>
        <v>81</v>
      </c>
      <c r="E133" s="45">
        <f t="shared" si="6"/>
        <v>108</v>
      </c>
      <c r="F133" s="45">
        <f t="shared" si="6"/>
        <v>944</v>
      </c>
      <c r="G133" s="45">
        <f t="shared" si="6"/>
        <v>5</v>
      </c>
      <c r="H133" s="45">
        <f t="shared" si="6"/>
        <v>121</v>
      </c>
      <c r="I133" s="45">
        <f t="shared" si="6"/>
        <v>121</v>
      </c>
      <c r="J133" s="45">
        <f t="shared" si="6"/>
        <v>1191</v>
      </c>
      <c r="K133" s="45">
        <f t="shared" si="6"/>
        <v>1336</v>
      </c>
      <c r="L133" s="45">
        <f t="shared" si="6"/>
        <v>-145</v>
      </c>
    </row>
    <row r="134" spans="1:12" ht="15.75" x14ac:dyDescent="0.25">
      <c r="C134" s="46"/>
      <c r="D134" s="46"/>
      <c r="E134" s="46"/>
      <c r="F134" s="46"/>
      <c r="G134" s="46"/>
      <c r="H134" s="46"/>
      <c r="I134" s="46"/>
      <c r="J134" s="46"/>
      <c r="K134" s="46"/>
      <c r="L134" s="46"/>
    </row>
    <row r="135" spans="1:12" ht="15.75" x14ac:dyDescent="0.25">
      <c r="A135" s="49">
        <v>1</v>
      </c>
      <c r="B135" s="50" t="s">
        <v>157</v>
      </c>
      <c r="C135" s="45">
        <f t="shared" ref="C135:L135" si="7">SUM(C2:C69)</f>
        <v>640</v>
      </c>
      <c r="D135" s="45">
        <f t="shared" si="7"/>
        <v>45</v>
      </c>
      <c r="E135" s="45">
        <f t="shared" si="7"/>
        <v>0</v>
      </c>
      <c r="F135" s="45">
        <f t="shared" si="7"/>
        <v>468</v>
      </c>
      <c r="G135" s="45">
        <f t="shared" si="7"/>
        <v>1</v>
      </c>
      <c r="H135" s="45">
        <f t="shared" si="7"/>
        <v>86</v>
      </c>
      <c r="I135" s="45">
        <f t="shared" si="7"/>
        <v>28</v>
      </c>
      <c r="J135" s="45">
        <f t="shared" si="7"/>
        <v>583</v>
      </c>
      <c r="K135" s="45">
        <f t="shared" si="7"/>
        <v>685</v>
      </c>
      <c r="L135" s="45">
        <f t="shared" si="7"/>
        <v>-102</v>
      </c>
    </row>
    <row r="136" spans="1:12" ht="15.75" x14ac:dyDescent="0.25">
      <c r="A136" s="49">
        <v>2</v>
      </c>
      <c r="B136" s="50" t="s">
        <v>158</v>
      </c>
      <c r="C136" s="45">
        <f t="shared" ref="C136:L136" si="8">SUM(C71:C131)</f>
        <v>479</v>
      </c>
      <c r="D136" s="45">
        <f t="shared" si="8"/>
        <v>36</v>
      </c>
      <c r="E136" s="45">
        <f t="shared" si="8"/>
        <v>108</v>
      </c>
      <c r="F136" s="45">
        <f t="shared" si="8"/>
        <v>445</v>
      </c>
      <c r="G136" s="45">
        <f t="shared" si="8"/>
        <v>4</v>
      </c>
      <c r="H136" s="45">
        <f t="shared" si="8"/>
        <v>35</v>
      </c>
      <c r="I136" s="45">
        <f t="shared" si="8"/>
        <v>93</v>
      </c>
      <c r="J136" s="45">
        <f t="shared" si="8"/>
        <v>577</v>
      </c>
      <c r="K136" s="45">
        <f t="shared" si="8"/>
        <v>623</v>
      </c>
      <c r="L136" s="45">
        <f t="shared" si="8"/>
        <v>-46</v>
      </c>
    </row>
    <row r="137" spans="1:12" ht="15.75" x14ac:dyDescent="0.25">
      <c r="A137" s="49">
        <v>3</v>
      </c>
      <c r="B137" s="50" t="s">
        <v>97</v>
      </c>
      <c r="C137" s="45">
        <f t="shared" ref="C137:L137" si="9">SUM(C70)</f>
        <v>28</v>
      </c>
      <c r="D137" s="45">
        <f t="shared" si="9"/>
        <v>0</v>
      </c>
      <c r="E137" s="45">
        <f t="shared" si="9"/>
        <v>0</v>
      </c>
      <c r="F137" s="45">
        <f t="shared" si="9"/>
        <v>31</v>
      </c>
      <c r="G137" s="45">
        <f t="shared" si="9"/>
        <v>0</v>
      </c>
      <c r="H137" s="45">
        <f t="shared" si="9"/>
        <v>0</v>
      </c>
      <c r="I137" s="45">
        <f t="shared" si="9"/>
        <v>0</v>
      </c>
      <c r="J137" s="45">
        <f t="shared" si="9"/>
        <v>31</v>
      </c>
      <c r="K137" s="45">
        <f t="shared" si="9"/>
        <v>28</v>
      </c>
      <c r="L137" s="45">
        <f t="shared" si="9"/>
        <v>3</v>
      </c>
    </row>
    <row r="138" spans="1:12" ht="15.75" x14ac:dyDescent="0.25">
      <c r="A138" s="51"/>
      <c r="B138" s="52" t="str">
        <f t="shared" ref="B138" si="10">B133</f>
        <v>Total</v>
      </c>
      <c r="C138" s="45">
        <f t="shared" ref="C138:L138" si="11">SUM(C135:C137)</f>
        <v>1147</v>
      </c>
      <c r="D138" s="45">
        <f t="shared" si="11"/>
        <v>81</v>
      </c>
      <c r="E138" s="45">
        <f t="shared" si="11"/>
        <v>108</v>
      </c>
      <c r="F138" s="45">
        <f t="shared" si="11"/>
        <v>944</v>
      </c>
      <c r="G138" s="45">
        <f t="shared" si="11"/>
        <v>5</v>
      </c>
      <c r="H138" s="45">
        <f t="shared" si="11"/>
        <v>121</v>
      </c>
      <c r="I138" s="45">
        <f t="shared" si="11"/>
        <v>121</v>
      </c>
      <c r="J138" s="45">
        <f t="shared" si="11"/>
        <v>1191</v>
      </c>
      <c r="K138" s="45">
        <f t="shared" si="11"/>
        <v>1336</v>
      </c>
      <c r="L138" s="45">
        <f t="shared" si="11"/>
        <v>-145</v>
      </c>
    </row>
  </sheetData>
  <autoFilter ref="A1:I133" xr:uid="{00000000-0009-0000-0000-000007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BMDAABQSwMEFAACAAgAKm5wW/lhB/SjAAAA9gAAABIAHABDb25maWcvUGFja2FnZS54bWwgohgAKKAUAAAAAAAAAAAAAAAAAAAAAAAAAAAAhY+xDoIwFEV/hXSnLehAyKMMrpKYEI1rUyo2wsPQYvk3Bz/JXxCjqJvjPfcM996vN8jHtgkuuremw4xElJNAo+oqg3VGBncIE5IL2Eh1krUOJhltOtoqI0fnzilj3nvqF7TraxZzHrF9sS7VUbeSfGTzXw4NWidRaSJg9xojYhotExrzaROwGUJh8CvEU/dsfyCshsYNvRYaw20JbI7A3h/EA1BLAwQUAAIACAAqbnB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Km5wWyiKR7gOAAAAEQAAABMAHABGb3JtdWxhcy9TZWN0aW9uMS5tIKIYACigFAAAAAAAAAAAAAAAAAAAAAAAAAAAACtOTS7JzM9TCIbQhtYAUEsBAi0AFAACAAgAKm5wW/lhB/SjAAAA9gAAABIAAAAAAAAAAAAAAAAAAAAAAENvbmZpZy9QYWNrYWdlLnhtbFBLAQItABQAAgAIACpucFsPyumrpAAAAOkAAAATAAAAAAAAAAAAAAAAAO8AAABbQ29udGVudF9UeXBlc10ueG1sUEsBAi0AFAACAAgAKm5wWyiKR7gOAAAAEQAAABMAAAAAAAAAAAAAAAAA4AEAAEZvcm11bGFzL1NlY3Rpb24xLm1QSwUGAAAAAAMAAwDCAAAAOwI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wEAAAAAAAB1AQ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L0l0ZW1zPjwvTG9jYWxQYWNrYWdlTWV0YWRhdGFGaWxlPhYAAABQSwUGAAAAAAAAAAAAAAAAAAAAAAAAJgEAAAEAAADQjJ3fARXREYx6AMBPwpfrAQAAAPrOw3pn0ZNEuTKdTdIbGg0AAAAAAgAAAAAAEGYAAAABAAAgAAAAizhqhgPw+4G8ZwB5Y8amarQpZBfGmOzz3sSSB73+KaYAAAAADoAAAAACAAAgAAAAccv9yIAHlIzxV1Xg45iVLBH9MLeMNWpWIAli4jWSVMFQAAAAwOVEkF2AdKvEsM8Vc4rEX7dsmp53L2vLzCzknflhrODlkDbEUa9gYhcLDjN6TZh04DyAaNvXbhAxDNu7/NdmIdP02AmmTmnp8uR+BXoxsyNAAAAAvDhLHa1Qrw9tRNqDQ41yPbXedPqC0cxBSJQghXXpwfpFWXfUYkwbprrmhsxXVkmKl6hWXNd1FqszGQneuTkzvA==</DataMashup>
</file>

<file path=customXml/itemProps1.xml><?xml version="1.0" encoding="utf-8"?>
<ds:datastoreItem xmlns:ds="http://schemas.openxmlformats.org/officeDocument/2006/customXml" ds:itemID="{86DC94B6-EFAD-45A4-B7AC-084B4E87CE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LookUP</vt:lpstr>
      <vt:lpstr>TooliD</vt:lpstr>
      <vt:lpstr>Tooli</vt:lpstr>
      <vt:lpstr>Courts</vt:lpstr>
      <vt:lpstr>MFP</vt:lpstr>
      <vt:lpstr>AIO</vt:lpstr>
      <vt:lpstr>DLP</vt:lpstr>
      <vt:lpstr>Scanners</vt:lpstr>
      <vt:lpstr>DisBo</vt:lpstr>
      <vt:lpstr>PAS</vt:lpstr>
      <vt:lpstr>Courts!Print_Area</vt:lpstr>
      <vt:lpstr>MFP!Print_Area</vt:lpstr>
      <vt:lpstr>Courts!Print_Titles</vt:lpstr>
      <vt:lpstr>MFP!Print_Titles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Acer</dc:creator>
  <dc:description/>
  <cp:lastModifiedBy>Balbir Singh</cp:lastModifiedBy>
  <cp:revision>10</cp:revision>
  <cp:lastPrinted>2025-11-29T06:49:45Z</cp:lastPrinted>
  <dcterms:created xsi:type="dcterms:W3CDTF">2025-11-14T04:50:08Z</dcterms:created>
  <dcterms:modified xsi:type="dcterms:W3CDTF">2026-01-01T09:52:39Z</dcterms:modified>
  <dc:language>en-US</dc:language>
</cp:coreProperties>
</file>